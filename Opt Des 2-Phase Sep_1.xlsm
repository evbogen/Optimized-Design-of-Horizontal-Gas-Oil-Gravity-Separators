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udntnu-my.sharepoint.com/personal/eliasvb_ntnu_no/Documents/NTNU/Spe. Project/LEVERING/"/>
    </mc:Choice>
  </mc:AlternateContent>
  <xr:revisionPtr revIDLastSave="20" documentId="8_{FC4EAA96-E59B-488F-9FE7-D03D9D80D3DD}" xr6:coauthVersionLast="47" xr6:coauthVersionMax="47" xr10:uidLastSave="{4BADFA24-DDE4-44B6-8093-32FFE6BB72C2}"/>
  <bookViews>
    <workbookView xWindow="-120" yWindow="-120" windowWidth="29040" windowHeight="15840" xr2:uid="{24599C38-37B0-4EB5-B4A6-7099C34426D1}"/>
  </bookViews>
  <sheets>
    <sheet name="2-phase calc" sheetId="1" r:id="rId1"/>
    <sheet name="Height" sheetId="7" r:id="rId2"/>
    <sheet name="Velo" sheetId="3" r:id="rId3"/>
  </sheets>
  <functionGroups builtInGroupCount="19"/>
  <definedNames>
    <definedName name="solver_adj" localSheetId="0" hidden="1">'2-phase calc'!$U$15:$U$17</definedName>
    <definedName name="solver_cvg" localSheetId="0" hidden="1">"""0,0001"""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'2-phase calc'!$C$58</definedName>
    <definedName name="solver_lhs10" localSheetId="0" hidden="1">'2-phase calc'!$U$17</definedName>
    <definedName name="solver_lhs100" localSheetId="0" hidden="1">'2-phase calc'!$U$16</definedName>
    <definedName name="solver_lhs101" localSheetId="0" hidden="1">'2-phase calc'!$U$17</definedName>
    <definedName name="solver_lhs102" localSheetId="0" hidden="1">'2-phase calc'!$U$17</definedName>
    <definedName name="solver_lhs103" localSheetId="0" hidden="1">'2-phase calc'!$U$17</definedName>
    <definedName name="solver_lhs104" localSheetId="0" hidden="1">'2-phase calc'!$U$17</definedName>
    <definedName name="solver_lhs105" localSheetId="0" hidden="1">'2-phase calc'!$U$17</definedName>
    <definedName name="solver_lhs106" localSheetId="0" hidden="1">'2-phase calc'!$U$17</definedName>
    <definedName name="solver_lhs107" localSheetId="0" hidden="1">'2-phase calc'!$U$17</definedName>
    <definedName name="solver_lhs108" localSheetId="0" hidden="1">'2-phase calc'!$U$17</definedName>
    <definedName name="solver_lhs109" localSheetId="0" hidden="1">'2-phase calc'!$U$17</definedName>
    <definedName name="solver_lhs11" localSheetId="0" hidden="1">'2-phase calc'!$C$61</definedName>
    <definedName name="solver_lhs110" localSheetId="0" hidden="1">'2-phase calc'!$U$17</definedName>
    <definedName name="solver_lhs12" localSheetId="0" hidden="1">'2-phase calc'!$C$61</definedName>
    <definedName name="solver_lhs13" localSheetId="0" hidden="1">'2-phase calc'!$C$58</definedName>
    <definedName name="solver_lhs14" localSheetId="0" hidden="1">'2-phase calc'!$C$61</definedName>
    <definedName name="solver_lhs15" localSheetId="0" hidden="1">'2-phase calc'!$C$61</definedName>
    <definedName name="solver_lhs16" localSheetId="0" hidden="1">'2-phase calc'!$C$61</definedName>
    <definedName name="solver_lhs17" localSheetId="0" hidden="1">'2-phase calc'!$C$61</definedName>
    <definedName name="solver_lhs18" localSheetId="0" hidden="1">'2-phase calc'!$C$61</definedName>
    <definedName name="solver_lhs19" localSheetId="0" hidden="1">'2-phase calc'!$C$61</definedName>
    <definedName name="solver_lhs2" localSheetId="0" hidden="1">'2-phase calc'!$C$61</definedName>
    <definedName name="solver_lhs20" localSheetId="0" hidden="1">'2-phase calc'!$C$61</definedName>
    <definedName name="solver_lhs21" localSheetId="0" hidden="1">'2-phase calc'!$C$66</definedName>
    <definedName name="solver_lhs22" localSheetId="0" hidden="1">'2-phase calc'!$C$66</definedName>
    <definedName name="solver_lhs23" localSheetId="0" hidden="1">'2-phase calc'!$C$61</definedName>
    <definedName name="solver_lhs24" localSheetId="0" hidden="1">'2-phase calc'!$C$66</definedName>
    <definedName name="solver_lhs25" localSheetId="0" hidden="1">'2-phase calc'!$C$66</definedName>
    <definedName name="solver_lhs26" localSheetId="0" hidden="1">'2-phase calc'!$C$61</definedName>
    <definedName name="solver_lhs27" localSheetId="0" hidden="1">'2-phase calc'!$C$66</definedName>
    <definedName name="solver_lhs28" localSheetId="0" hidden="1">'2-phase calc'!$C$66</definedName>
    <definedName name="solver_lhs29" localSheetId="0" hidden="1">'2-phase calc'!$C$66</definedName>
    <definedName name="solver_lhs3" localSheetId="0" hidden="1">'2-phase calc'!$C$66</definedName>
    <definedName name="solver_lhs30" localSheetId="0" hidden="1">'2-phase calc'!$C$66</definedName>
    <definedName name="solver_lhs31" localSheetId="0" hidden="1">'2-phase calc'!$C$66</definedName>
    <definedName name="solver_lhs32" localSheetId="0" hidden="1">'2-phase calc'!$C$72</definedName>
    <definedName name="solver_lhs33" localSheetId="0" hidden="1">'2-phase calc'!$C$66</definedName>
    <definedName name="solver_lhs34" localSheetId="0" hidden="1">'2-phase calc'!$C$72</definedName>
    <definedName name="solver_lhs35" localSheetId="0" hidden="1">'2-phase calc'!$C$72</definedName>
    <definedName name="solver_lhs36" localSheetId="0" hidden="1">'2-phase calc'!$C$72</definedName>
    <definedName name="solver_lhs37" localSheetId="0" hidden="1">'2-phase calc'!$C$72</definedName>
    <definedName name="solver_lhs38" localSheetId="0" hidden="1">'2-phase calc'!$C$72</definedName>
    <definedName name="solver_lhs39" localSheetId="0" hidden="1">'2-phase calc'!$C$72</definedName>
    <definedName name="solver_lhs4" localSheetId="0" hidden="1">'2-phase calc'!$C$72</definedName>
    <definedName name="solver_lhs40" localSheetId="0" hidden="1">'2-phase calc'!$C$72</definedName>
    <definedName name="solver_lhs41" localSheetId="0" hidden="1">'2-phase calc'!$C$66</definedName>
    <definedName name="solver_lhs42" localSheetId="0" hidden="1">'2-phase calc'!$C$75</definedName>
    <definedName name="solver_lhs43" localSheetId="0" hidden="1">'2-phase calc'!$C$72</definedName>
    <definedName name="solver_lhs44" localSheetId="0" hidden="1">'2-phase calc'!$C$75</definedName>
    <definedName name="solver_lhs45" localSheetId="0" hidden="1">'2-phase calc'!$C$75</definedName>
    <definedName name="solver_lhs46" localSheetId="0" hidden="1">'2-phase calc'!$C$72</definedName>
    <definedName name="solver_lhs47" localSheetId="0" hidden="1">'2-phase calc'!$C$75</definedName>
    <definedName name="solver_lhs48" localSheetId="0" hidden="1">'2-phase calc'!$C$75</definedName>
    <definedName name="solver_lhs49" localSheetId="0" hidden="1">'2-phase calc'!$C$75</definedName>
    <definedName name="solver_lhs5" localSheetId="0" hidden="1">'2-phase calc'!$C$75</definedName>
    <definedName name="solver_lhs50" localSheetId="0" hidden="1">'2-phase calc'!$C$75</definedName>
    <definedName name="solver_lhs51" localSheetId="0" hidden="1">'2-phase calc'!$C$75</definedName>
    <definedName name="solver_lhs52" localSheetId="0" hidden="1">'2-phase calc'!$C$75</definedName>
    <definedName name="solver_lhs53" localSheetId="0" hidden="1">'2-phase calc'!$C$72</definedName>
    <definedName name="solver_lhs54" localSheetId="0" hidden="1">'2-phase calc'!$C$75</definedName>
    <definedName name="solver_lhs55" localSheetId="0" hidden="1">'2-phase calc'!$C$81</definedName>
    <definedName name="solver_lhs56" localSheetId="0" hidden="1">'2-phase calc'!$C$81</definedName>
    <definedName name="solver_lhs57" localSheetId="0" hidden="1">'2-phase calc'!$C$81</definedName>
    <definedName name="solver_lhs58" localSheetId="0" hidden="1">'2-phase calc'!$C$81</definedName>
    <definedName name="solver_lhs59" localSheetId="0" hidden="1">'2-phase calc'!$C$81</definedName>
    <definedName name="solver_lhs6" localSheetId="0" hidden="1">'2-phase calc'!$C$81</definedName>
    <definedName name="solver_lhs60" localSheetId="0" hidden="1">'2-phase calc'!$C$81</definedName>
    <definedName name="solver_lhs61" localSheetId="0" hidden="1">'2-phase calc'!$C$81</definedName>
    <definedName name="solver_lhs62" localSheetId="0" hidden="1">'2-phase calc'!$C$81</definedName>
    <definedName name="solver_lhs63" localSheetId="0" hidden="1">'2-phase calc'!$C$81</definedName>
    <definedName name="solver_lhs64" localSheetId="0" hidden="1">'2-phase calc'!$C$81</definedName>
    <definedName name="solver_lhs65" localSheetId="0" hidden="1">'2-phase calc'!$C$85</definedName>
    <definedName name="solver_lhs66" localSheetId="0" hidden="1">'2-phase calc'!$C$85</definedName>
    <definedName name="solver_lhs67" localSheetId="0" hidden="1">'2-phase calc'!$C$75</definedName>
    <definedName name="solver_lhs68" localSheetId="0" hidden="1">'2-phase calc'!$C$85</definedName>
    <definedName name="solver_lhs69" localSheetId="0" hidden="1">'2-phase calc'!$C$85</definedName>
    <definedName name="solver_lhs7" localSheetId="0" hidden="1">'2-phase calc'!$C$85</definedName>
    <definedName name="solver_lhs70" localSheetId="0" hidden="1">'2-phase calc'!$C$85</definedName>
    <definedName name="solver_lhs71" localSheetId="0" hidden="1">'2-phase calc'!$C$85</definedName>
    <definedName name="solver_lhs72" localSheetId="0" hidden="1">'2-phase calc'!$C$85</definedName>
    <definedName name="solver_lhs73" localSheetId="0" hidden="1">'2-phase calc'!$C$85</definedName>
    <definedName name="solver_lhs74" localSheetId="0" hidden="1">'2-phase calc'!$C$81</definedName>
    <definedName name="solver_lhs75" localSheetId="0" hidden="1">'2-phase calc'!$C$85</definedName>
    <definedName name="solver_lhs76" localSheetId="0" hidden="1">'2-phase calc'!$U$15</definedName>
    <definedName name="solver_lhs77" localSheetId="0" hidden="1">'2-phase calc'!$U$15</definedName>
    <definedName name="solver_lhs78" localSheetId="0" hidden="1">'2-phase calc'!$C$85</definedName>
    <definedName name="solver_lhs79" localSheetId="0" hidden="1">'2-phase calc'!$U$15</definedName>
    <definedName name="solver_lhs8" localSheetId="0" hidden="1">'2-phase calc'!$U$15:$U$17</definedName>
    <definedName name="solver_lhs80" localSheetId="0" hidden="1">'2-phase calc'!$U$15</definedName>
    <definedName name="solver_lhs81" localSheetId="0" hidden="1">'2-phase calc'!$U$15</definedName>
    <definedName name="solver_lhs82" localSheetId="0" hidden="1">'2-phase calc'!$U$15</definedName>
    <definedName name="solver_lhs83" localSheetId="0" hidden="1">'2-phase calc'!$U$15</definedName>
    <definedName name="solver_lhs84" localSheetId="0" hidden="1">'2-phase calc'!$U$15</definedName>
    <definedName name="solver_lhs85" localSheetId="0" hidden="1">'2-phase calc'!$U$15</definedName>
    <definedName name="solver_lhs86" localSheetId="0" hidden="1">'2-phase calc'!$C$85</definedName>
    <definedName name="solver_lhs87" localSheetId="0" hidden="1">'2-phase calc'!$U$16</definedName>
    <definedName name="solver_lhs88" localSheetId="0" hidden="1">'2-phase calc'!$U$16</definedName>
    <definedName name="solver_lhs89" localSheetId="0" hidden="1">'2-phase calc'!$U$15</definedName>
    <definedName name="solver_lhs9" localSheetId="0" hidden="1">'2-phase calc'!$U$15:$U$17</definedName>
    <definedName name="solver_lhs90" localSheetId="0" hidden="1">'2-phase calc'!$U$16</definedName>
    <definedName name="solver_lhs91" localSheetId="0" hidden="1">'2-phase calc'!$U$16</definedName>
    <definedName name="solver_lhs92" localSheetId="0" hidden="1">'2-phase calc'!$U$16</definedName>
    <definedName name="solver_lhs93" localSheetId="0" hidden="1">'2-phase calc'!$U$16</definedName>
    <definedName name="solver_lhs94" localSheetId="0" hidden="1">'2-phase calc'!$U$16</definedName>
    <definedName name="solver_lhs95" localSheetId="0" hidden="1">'2-phase calc'!$U$16</definedName>
    <definedName name="solver_lhs96" localSheetId="0" hidden="1">'2-phase calc'!$U$15</definedName>
    <definedName name="solver_lhs97" localSheetId="0" hidden="1">'2-phase calc'!$U$16</definedName>
    <definedName name="solver_lhs98" localSheetId="0" hidden="1">'2-phase calc'!$U$16</definedName>
    <definedName name="solver_lhs99" localSheetId="0" hidden="1">'2-phase calc'!$U$17</definedName>
    <definedName name="solver_mip" localSheetId="0" hidden="1">2147483647</definedName>
    <definedName name="solver_mni" localSheetId="0" hidden="1">30</definedName>
    <definedName name="solver_mrt" localSheetId="0" hidden="1">"""0,075"""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8</definedName>
    <definedName name="solver_nwt" localSheetId="0" hidden="1">1</definedName>
    <definedName name="solver_opt" localSheetId="0" hidden="1">'2-phase calc'!$C$89</definedName>
    <definedName name="solver_pre" localSheetId="0" hidden="1">"""0,000001"""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00" localSheetId="0" hidden="1">3</definedName>
    <definedName name="solver_rel101" localSheetId="0" hidden="1">3</definedName>
    <definedName name="solver_rel102" localSheetId="0" hidden="1">3</definedName>
    <definedName name="solver_rel103" localSheetId="0" hidden="1">3</definedName>
    <definedName name="solver_rel104" localSheetId="0" hidden="1">3</definedName>
    <definedName name="solver_rel105" localSheetId="0" hidden="1">3</definedName>
    <definedName name="solver_rel106" localSheetId="0" hidden="1">3</definedName>
    <definedName name="solver_rel107" localSheetId="0" hidden="1">3</definedName>
    <definedName name="solver_rel108" localSheetId="0" hidden="1">3</definedName>
    <definedName name="solver_rel109" localSheetId="0" hidden="1">3</definedName>
    <definedName name="solver_rel11" localSheetId="0" hidden="1">1</definedName>
    <definedName name="solver_rel110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1</definedName>
    <definedName name="solver_rel21" localSheetId="0" hidden="1">1</definedName>
    <definedName name="solver_rel22" localSheetId="0" hidden="1">1</definedName>
    <definedName name="solver_rel23" localSheetId="0" hidden="1">1</definedName>
    <definedName name="solver_rel24" localSheetId="0" hidden="1">1</definedName>
    <definedName name="solver_rel25" localSheetId="0" hidden="1">1</definedName>
    <definedName name="solver_rel26" localSheetId="0" hidden="1">1</definedName>
    <definedName name="solver_rel27" localSheetId="0" hidden="1">1</definedName>
    <definedName name="solver_rel28" localSheetId="0" hidden="1">1</definedName>
    <definedName name="solver_rel29" localSheetId="0" hidden="1">1</definedName>
    <definedName name="solver_rel3" localSheetId="0" hidden="1">1</definedName>
    <definedName name="solver_rel30" localSheetId="0" hidden="1">1</definedName>
    <definedName name="solver_rel31" localSheetId="0" hidden="1">1</definedName>
    <definedName name="solver_rel32" localSheetId="0" hidden="1">3</definedName>
    <definedName name="solver_rel33" localSheetId="0" hidden="1">1</definedName>
    <definedName name="solver_rel34" localSheetId="0" hidden="1">3</definedName>
    <definedName name="solver_rel35" localSheetId="0" hidden="1">3</definedName>
    <definedName name="solver_rel36" localSheetId="0" hidden="1">3</definedName>
    <definedName name="solver_rel37" localSheetId="0" hidden="1">3</definedName>
    <definedName name="solver_rel38" localSheetId="0" hidden="1">3</definedName>
    <definedName name="solver_rel39" localSheetId="0" hidden="1">3</definedName>
    <definedName name="solver_rel4" localSheetId="0" hidden="1">3</definedName>
    <definedName name="solver_rel40" localSheetId="0" hidden="1">3</definedName>
    <definedName name="solver_rel41" localSheetId="0" hidden="1">1</definedName>
    <definedName name="solver_rel42" localSheetId="0" hidden="1">3</definedName>
    <definedName name="solver_rel43" localSheetId="0" hidden="1">3</definedName>
    <definedName name="solver_rel44" localSheetId="0" hidden="1">3</definedName>
    <definedName name="solver_rel45" localSheetId="0" hidden="1">3</definedName>
    <definedName name="solver_rel46" localSheetId="0" hidden="1">3</definedName>
    <definedName name="solver_rel47" localSheetId="0" hidden="1">3</definedName>
    <definedName name="solver_rel48" localSheetId="0" hidden="1">3</definedName>
    <definedName name="solver_rel49" localSheetId="0" hidden="1">3</definedName>
    <definedName name="solver_rel5" localSheetId="0" hidden="1">3</definedName>
    <definedName name="solver_rel50" localSheetId="0" hidden="1">3</definedName>
    <definedName name="solver_rel51" localSheetId="0" hidden="1">3</definedName>
    <definedName name="solver_rel52" localSheetId="0" hidden="1">3</definedName>
    <definedName name="solver_rel53" localSheetId="0" hidden="1">3</definedName>
    <definedName name="solver_rel54" localSheetId="0" hidden="1">3</definedName>
    <definedName name="solver_rel55" localSheetId="0" hidden="1">1</definedName>
    <definedName name="solver_rel56" localSheetId="0" hidden="1">1</definedName>
    <definedName name="solver_rel57" localSheetId="0" hidden="1">1</definedName>
    <definedName name="solver_rel58" localSheetId="0" hidden="1">1</definedName>
    <definedName name="solver_rel59" localSheetId="0" hidden="1">1</definedName>
    <definedName name="solver_rel6" localSheetId="0" hidden="1">1</definedName>
    <definedName name="solver_rel60" localSheetId="0" hidden="1">1</definedName>
    <definedName name="solver_rel61" localSheetId="0" hidden="1">1</definedName>
    <definedName name="solver_rel62" localSheetId="0" hidden="1">1</definedName>
    <definedName name="solver_rel63" localSheetId="0" hidden="1">1</definedName>
    <definedName name="solver_rel64" localSheetId="0" hidden="1">1</definedName>
    <definedName name="solver_rel65" localSheetId="0" hidden="1">1</definedName>
    <definedName name="solver_rel66" localSheetId="0" hidden="1">1</definedName>
    <definedName name="solver_rel67" localSheetId="0" hidden="1">3</definedName>
    <definedName name="solver_rel68" localSheetId="0" hidden="1">1</definedName>
    <definedName name="solver_rel69" localSheetId="0" hidden="1">1</definedName>
    <definedName name="solver_rel7" localSheetId="0" hidden="1">1</definedName>
    <definedName name="solver_rel70" localSheetId="0" hidden="1">1</definedName>
    <definedName name="solver_rel71" localSheetId="0" hidden="1">1</definedName>
    <definedName name="solver_rel72" localSheetId="0" hidden="1">1</definedName>
    <definedName name="solver_rel73" localSheetId="0" hidden="1">1</definedName>
    <definedName name="solver_rel74" localSheetId="0" hidden="1">1</definedName>
    <definedName name="solver_rel75" localSheetId="0" hidden="1">1</definedName>
    <definedName name="solver_rel76" localSheetId="0" hidden="1">3</definedName>
    <definedName name="solver_rel77" localSheetId="0" hidden="1">3</definedName>
    <definedName name="solver_rel78" localSheetId="0" hidden="1">1</definedName>
    <definedName name="solver_rel79" localSheetId="0" hidden="1">3</definedName>
    <definedName name="solver_rel8" localSheetId="0" hidden="1">3</definedName>
    <definedName name="solver_rel80" localSheetId="0" hidden="1">3</definedName>
    <definedName name="solver_rel81" localSheetId="0" hidden="1">3</definedName>
    <definedName name="solver_rel82" localSheetId="0" hidden="1">3</definedName>
    <definedName name="solver_rel83" localSheetId="0" hidden="1">3</definedName>
    <definedName name="solver_rel84" localSheetId="0" hidden="1">3</definedName>
    <definedName name="solver_rel85" localSheetId="0" hidden="1">3</definedName>
    <definedName name="solver_rel86" localSheetId="0" hidden="1">1</definedName>
    <definedName name="solver_rel87" localSheetId="0" hidden="1">3</definedName>
    <definedName name="solver_rel88" localSheetId="0" hidden="1">3</definedName>
    <definedName name="solver_rel89" localSheetId="0" hidden="1">3</definedName>
    <definedName name="solver_rel9" localSheetId="0" hidden="1">3</definedName>
    <definedName name="solver_rel90" localSheetId="0" hidden="1">3</definedName>
    <definedName name="solver_rel91" localSheetId="0" hidden="1">3</definedName>
    <definedName name="solver_rel92" localSheetId="0" hidden="1">3</definedName>
    <definedName name="solver_rel93" localSheetId="0" hidden="1">3</definedName>
    <definedName name="solver_rel94" localSheetId="0" hidden="1">3</definedName>
    <definedName name="solver_rel95" localSheetId="0" hidden="1">3</definedName>
    <definedName name="solver_rel96" localSheetId="0" hidden="1">3</definedName>
    <definedName name="solver_rel97" localSheetId="0" hidden="1">3</definedName>
    <definedName name="solver_rel98" localSheetId="0" hidden="1">3</definedName>
    <definedName name="solver_rel99" localSheetId="0" hidden="1">3</definedName>
    <definedName name="solver_rhs1" localSheetId="0" hidden="1">'2-phase calc'!$C$63</definedName>
    <definedName name="solver_rhs10" localSheetId="0" hidden="1">0</definedName>
    <definedName name="solver_rhs100" localSheetId="0" hidden="1">0</definedName>
    <definedName name="solver_rhs101" localSheetId="0" hidden="1">0</definedName>
    <definedName name="solver_rhs102" localSheetId="0" hidden="1">0</definedName>
    <definedName name="solver_rhs103" localSheetId="0" hidden="1">0</definedName>
    <definedName name="solver_rhs104" localSheetId="0" hidden="1">0</definedName>
    <definedName name="solver_rhs105" localSheetId="0" hidden="1">0</definedName>
    <definedName name="solver_rhs106" localSheetId="0" hidden="1">0</definedName>
    <definedName name="solver_rhs107" localSheetId="0" hidden="1">0</definedName>
    <definedName name="solver_rhs108" localSheetId="0" hidden="1">0</definedName>
    <definedName name="solver_rhs109" localSheetId="0" hidden="1">0</definedName>
    <definedName name="solver_rhs11" localSheetId="0" hidden="1">'2-phase calc'!$C$63</definedName>
    <definedName name="solver_rhs110" localSheetId="0" hidden="1">0</definedName>
    <definedName name="solver_rhs12" localSheetId="0" hidden="1">'2-phase calc'!$C$63</definedName>
    <definedName name="solver_rhs13" localSheetId="0" hidden="1">'2-phase calc'!$C$63</definedName>
    <definedName name="solver_rhs14" localSheetId="0" hidden="1">'2-phase calc'!$C$63</definedName>
    <definedName name="solver_rhs15" localSheetId="0" hidden="1">'2-phase calc'!$C$63</definedName>
    <definedName name="solver_rhs16" localSheetId="0" hidden="1">'2-phase calc'!$C$63</definedName>
    <definedName name="solver_rhs17" localSheetId="0" hidden="1">'2-phase calc'!$C$63</definedName>
    <definedName name="solver_rhs18" localSheetId="0" hidden="1">'2-phase calc'!$C$63</definedName>
    <definedName name="solver_rhs19" localSheetId="0" hidden="1">'2-phase calc'!$C$63</definedName>
    <definedName name="solver_rhs2" localSheetId="0" hidden="1">'2-phase calc'!$C$63</definedName>
    <definedName name="solver_rhs20" localSheetId="0" hidden="1">'2-phase calc'!$C$63</definedName>
    <definedName name="solver_rhs21" localSheetId="0" hidden="1">'2-phase calc'!$C$67</definedName>
    <definedName name="solver_rhs22" localSheetId="0" hidden="1">'2-phase calc'!$C$67</definedName>
    <definedName name="solver_rhs23" localSheetId="0" hidden="1">'2-phase calc'!$C$63</definedName>
    <definedName name="solver_rhs24" localSheetId="0" hidden="1">'2-phase calc'!$C$67</definedName>
    <definedName name="solver_rhs25" localSheetId="0" hidden="1">'2-phase calc'!$C$67</definedName>
    <definedName name="solver_rhs26" localSheetId="0" hidden="1">'2-phase calc'!$C$63</definedName>
    <definedName name="solver_rhs27" localSheetId="0" hidden="1">'2-phase calc'!$C$67</definedName>
    <definedName name="solver_rhs28" localSheetId="0" hidden="1">'2-phase calc'!$C$67</definedName>
    <definedName name="solver_rhs29" localSheetId="0" hidden="1">'2-phase calc'!$C$67</definedName>
    <definedName name="solver_rhs3" localSheetId="0" hidden="1">'2-phase calc'!$C$67</definedName>
    <definedName name="solver_rhs30" localSheetId="0" hidden="1">'2-phase calc'!$C$67</definedName>
    <definedName name="solver_rhs31" localSheetId="0" hidden="1">'2-phase calc'!$C$67</definedName>
    <definedName name="solver_rhs32" localSheetId="0" hidden="1">'2-phase calc'!$C$77</definedName>
    <definedName name="solver_rhs33" localSheetId="0" hidden="1">'2-phase calc'!$C$67</definedName>
    <definedName name="solver_rhs34" localSheetId="0" hidden="1">'2-phase calc'!$C$77</definedName>
    <definedName name="solver_rhs35" localSheetId="0" hidden="1">'2-phase calc'!$C$77</definedName>
    <definedName name="solver_rhs36" localSheetId="0" hidden="1">'2-phase calc'!$C$77</definedName>
    <definedName name="solver_rhs37" localSheetId="0" hidden="1">'2-phase calc'!$C$77</definedName>
    <definedName name="solver_rhs38" localSheetId="0" hidden="1">'2-phase calc'!$C$77</definedName>
    <definedName name="solver_rhs39" localSheetId="0" hidden="1">'2-phase calc'!$C$77</definedName>
    <definedName name="solver_rhs4" localSheetId="0" hidden="1">'2-phase calc'!$C$77</definedName>
    <definedName name="solver_rhs40" localSheetId="0" hidden="1">'2-phase calc'!$C$77</definedName>
    <definedName name="solver_rhs41" localSheetId="0" hidden="1">'2-phase calc'!$C$67</definedName>
    <definedName name="solver_rhs42" localSheetId="0" hidden="1">'2-phase calc'!$C$77</definedName>
    <definedName name="solver_rhs43" localSheetId="0" hidden="1">'2-phase calc'!$C$77</definedName>
    <definedName name="solver_rhs44" localSheetId="0" hidden="1">'2-phase calc'!$C$77</definedName>
    <definedName name="solver_rhs45" localSheetId="0" hidden="1">'2-phase calc'!$C$77</definedName>
    <definedName name="solver_rhs46" localSheetId="0" hidden="1">'2-phase calc'!$C$77</definedName>
    <definedName name="solver_rhs47" localSheetId="0" hidden="1">'2-phase calc'!$C$77</definedName>
    <definedName name="solver_rhs48" localSheetId="0" hidden="1">'2-phase calc'!$C$77</definedName>
    <definedName name="solver_rhs49" localSheetId="0" hidden="1">'2-phase calc'!$C$77</definedName>
    <definedName name="solver_rhs5" localSheetId="0" hidden="1">'2-phase calc'!$C$77</definedName>
    <definedName name="solver_rhs50" localSheetId="0" hidden="1">'2-phase calc'!$C$77</definedName>
    <definedName name="solver_rhs51" localSheetId="0" hidden="1">'2-phase calc'!$C$77</definedName>
    <definedName name="solver_rhs52" localSheetId="0" hidden="1">'2-phase calc'!$C$77</definedName>
    <definedName name="solver_rhs53" localSheetId="0" hidden="1">'2-phase calc'!$C$77</definedName>
    <definedName name="solver_rhs54" localSheetId="0" hidden="1">'2-phase calc'!$C$77</definedName>
    <definedName name="solver_rhs55" localSheetId="0" hidden="1">'2-phase calc'!$C$80</definedName>
    <definedName name="solver_rhs56" localSheetId="0" hidden="1">'2-phase calc'!$C$80</definedName>
    <definedName name="solver_rhs57" localSheetId="0" hidden="1">'2-phase calc'!$C$80</definedName>
    <definedName name="solver_rhs58" localSheetId="0" hidden="1">'2-phase calc'!$C$80</definedName>
    <definedName name="solver_rhs59" localSheetId="0" hidden="1">'2-phase calc'!$C$80</definedName>
    <definedName name="solver_rhs6" localSheetId="0" hidden="1">'2-phase calc'!$C$80</definedName>
    <definedName name="solver_rhs60" localSheetId="0" hidden="1">'2-phase calc'!$C$80</definedName>
    <definedName name="solver_rhs61" localSheetId="0" hidden="1">'2-phase calc'!$C$80</definedName>
    <definedName name="solver_rhs62" localSheetId="0" hidden="1">'2-phase calc'!$C$80</definedName>
    <definedName name="solver_rhs63" localSheetId="0" hidden="1">'2-phase calc'!$C$80</definedName>
    <definedName name="solver_rhs64" localSheetId="0" hidden="1">'2-phase calc'!$C$80</definedName>
    <definedName name="solver_rhs65" localSheetId="0" hidden="1">'2-phase calc'!$C$84</definedName>
    <definedName name="solver_rhs66" localSheetId="0" hidden="1">'2-phase calc'!$C$84</definedName>
    <definedName name="solver_rhs67" localSheetId="0" hidden="1">'2-phase calc'!$C$77</definedName>
    <definedName name="solver_rhs68" localSheetId="0" hidden="1">'2-phase calc'!$C$84</definedName>
    <definedName name="solver_rhs69" localSheetId="0" hidden="1">'2-phase calc'!$C$84</definedName>
    <definedName name="solver_rhs7" localSheetId="0" hidden="1">'2-phase calc'!$C$84</definedName>
    <definedName name="solver_rhs70" localSheetId="0" hidden="1">'2-phase calc'!$C$84</definedName>
    <definedName name="solver_rhs71" localSheetId="0" hidden="1">'2-phase calc'!$C$84</definedName>
    <definedName name="solver_rhs72" localSheetId="0" hidden="1">'2-phase calc'!$C$84</definedName>
    <definedName name="solver_rhs73" localSheetId="0" hidden="1">'2-phase calc'!$C$84</definedName>
    <definedName name="solver_rhs74" localSheetId="0" hidden="1">'2-phase calc'!$C$80</definedName>
    <definedName name="solver_rhs75" localSheetId="0" hidden="1">'2-phase calc'!$C$84</definedName>
    <definedName name="solver_rhs76" localSheetId="0" hidden="1">0</definedName>
    <definedName name="solver_rhs77" localSheetId="0" hidden="1">0</definedName>
    <definedName name="solver_rhs78" localSheetId="0" hidden="1">'2-phase calc'!$C$84</definedName>
    <definedName name="solver_rhs79" localSheetId="0" hidden="1">0</definedName>
    <definedName name="solver_rhs8" localSheetId="0" hidden="1">0</definedName>
    <definedName name="solver_rhs80" localSheetId="0" hidden="1">0</definedName>
    <definedName name="solver_rhs81" localSheetId="0" hidden="1">0</definedName>
    <definedName name="solver_rhs82" localSheetId="0" hidden="1">0</definedName>
    <definedName name="solver_rhs83" localSheetId="0" hidden="1">0</definedName>
    <definedName name="solver_rhs84" localSheetId="0" hidden="1">0</definedName>
    <definedName name="solver_rhs85" localSheetId="0" hidden="1">0</definedName>
    <definedName name="solver_rhs86" localSheetId="0" hidden="1">'2-phase calc'!$C$84</definedName>
    <definedName name="solver_rhs87" localSheetId="0" hidden="1">0</definedName>
    <definedName name="solver_rhs88" localSheetId="0" hidden="1">0</definedName>
    <definedName name="solver_rhs89" localSheetId="0" hidden="1">0</definedName>
    <definedName name="solver_rhs9" localSheetId="0" hidden="1">0</definedName>
    <definedName name="solver_rhs90" localSheetId="0" hidden="1">0</definedName>
    <definedName name="solver_rhs91" localSheetId="0" hidden="1">0</definedName>
    <definedName name="solver_rhs92" localSheetId="0" hidden="1">0</definedName>
    <definedName name="solver_rhs93" localSheetId="0" hidden="1">0</definedName>
    <definedName name="solver_rhs94" localSheetId="0" hidden="1">0</definedName>
    <definedName name="solver_rhs95" localSheetId="0" hidden="1">0</definedName>
    <definedName name="solver_rhs96" localSheetId="0" hidden="1">0</definedName>
    <definedName name="solver_rhs97" localSheetId="0" hidden="1">0</definedName>
    <definedName name="solver_rhs98" localSheetId="0" hidden="1">0</definedName>
    <definedName name="solver_rhs9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" l="1"/>
  <c r="O17" i="1"/>
  <c r="F18" i="7" l="1"/>
  <c r="C42" i="1"/>
  <c r="E42" i="1" s="1"/>
  <c r="O16" i="1"/>
  <c r="O15" i="1" s="1"/>
  <c r="O25" i="1"/>
  <c r="P9" i="3"/>
  <c r="P8" i="3"/>
  <c r="P7" i="3"/>
  <c r="P6" i="3"/>
  <c r="P5" i="3"/>
  <c r="P4" i="3"/>
  <c r="O4" i="3"/>
  <c r="O5" i="3"/>
  <c r="O6" i="3"/>
  <c r="O7" i="3"/>
  <c r="O8" i="3"/>
  <c r="O9" i="3"/>
  <c r="I43" i="1" l="1"/>
  <c r="I45" i="1"/>
  <c r="C380" i="7" a="1"/>
  <c r="C163" i="7" a="1"/>
  <c r="C664" i="7" a="1"/>
  <c r="C621" i="7" a="1"/>
  <c r="C464" i="7" a="1"/>
  <c r="C1004" i="7" a="1"/>
  <c r="C673" i="7" a="1"/>
  <c r="C820" i="7" a="1"/>
  <c r="C302" i="7" a="1"/>
  <c r="C5" i="7" a="1"/>
  <c r="C336" i="7" a="1"/>
  <c r="C24" i="7" a="1"/>
  <c r="C680" i="7" a="1"/>
  <c r="C94" i="7" a="1"/>
  <c r="C718" i="7" a="1"/>
  <c r="C438" i="7" a="1"/>
  <c r="C114" i="7" a="1"/>
  <c r="C953" i="7" a="1"/>
  <c r="C746" i="7" a="1"/>
  <c r="C21" i="7" a="1"/>
  <c r="C711" i="7" a="1"/>
  <c r="C531" i="7" a="1"/>
  <c r="C255" i="7" a="1"/>
  <c r="C6" i="7" a="1"/>
  <c r="C674" i="7" a="1"/>
  <c r="C128" i="7" a="1"/>
  <c r="C78" i="7" a="1"/>
  <c r="C682" i="7" a="1"/>
  <c r="C439" i="7" a="1"/>
  <c r="C516" i="7" a="1"/>
  <c r="C755" i="7" a="1"/>
  <c r="C871" i="7" a="1"/>
  <c r="C496" i="7" a="1"/>
  <c r="C218" i="7" a="1"/>
  <c r="C769" i="7" a="1"/>
  <c r="C101" i="7" a="1"/>
  <c r="C224" i="7" a="1"/>
  <c r="C574" i="7" a="1"/>
  <c r="C771" i="7" a="1"/>
  <c r="C555" i="7" a="1"/>
  <c r="C408" i="7" a="1"/>
  <c r="C243" i="7" a="1"/>
  <c r="C986" i="7" a="1"/>
  <c r="C196" i="7" a="1"/>
  <c r="C52" i="7" a="1"/>
  <c r="C264" i="7" a="1"/>
  <c r="C96" i="7" a="1"/>
  <c r="C121" i="7" a="1"/>
  <c r="C397" i="7" a="1"/>
  <c r="C488" i="7" a="1"/>
  <c r="C694" i="7" a="1"/>
  <c r="C595" i="7" a="1"/>
  <c r="C399" i="7" a="1"/>
  <c r="C548" i="7" a="1"/>
  <c r="C875" i="7" a="1"/>
  <c r="C950" i="7" a="1"/>
  <c r="C494" i="7" a="1"/>
  <c r="C598" i="7" a="1"/>
  <c r="C589" i="7" a="1"/>
  <c r="C232" i="7" a="1"/>
  <c r="C559" i="7" a="1"/>
  <c r="C580" i="7" a="1"/>
  <c r="C10" i="7" a="1"/>
  <c r="C383" i="7" a="1"/>
  <c r="C786" i="7" a="1"/>
  <c r="C759" i="7" a="1"/>
  <c r="C190" i="7" a="1"/>
  <c r="C799" i="7" a="1"/>
  <c r="C76" i="7" a="1"/>
  <c r="C487" i="7" a="1"/>
  <c r="C616" i="7" a="1"/>
  <c r="C897" i="7" a="1"/>
  <c r="C479" i="7" a="1"/>
  <c r="C762" i="7" a="1"/>
  <c r="C980" i="7" a="1"/>
  <c r="C194" i="7" a="1"/>
  <c r="C325" i="7" a="1"/>
  <c r="C604" i="7" a="1"/>
  <c r="C57" i="7" a="1"/>
  <c r="C416" i="7" a="1"/>
  <c r="C138" i="7" a="1"/>
  <c r="C400" i="7" a="1"/>
  <c r="C695" i="7" a="1"/>
  <c r="C975" i="7" a="1"/>
  <c r="C86" i="7" a="1"/>
  <c r="C31" i="7" a="1"/>
  <c r="C779" i="7" a="1"/>
  <c r="C570" i="7" a="1"/>
  <c r="C292" i="7" a="1"/>
  <c r="C798" i="7" a="1"/>
  <c r="C584" i="7" a="1"/>
  <c r="C687" i="7" a="1"/>
  <c r="C949" i="7" a="1"/>
  <c r="C912" i="7" a="1"/>
  <c r="C329" i="7" a="1"/>
  <c r="C836" i="7" a="1"/>
  <c r="C349" i="7" a="1"/>
  <c r="C688" i="7" a="1"/>
  <c r="C238" i="7" a="1"/>
  <c r="C493" i="7" a="1"/>
  <c r="C425" i="7" a="1"/>
  <c r="C392" i="7" a="1"/>
  <c r="C628" i="7" a="1"/>
  <c r="C670" i="7" a="1"/>
  <c r="C709" i="7" a="1"/>
  <c r="C977" i="7" a="1"/>
  <c r="C586" i="7" a="1"/>
  <c r="C519" i="7" a="1"/>
  <c r="C933" i="7" a="1"/>
  <c r="C155" i="7" a="1"/>
  <c r="C658" i="7" a="1"/>
  <c r="C144" i="7" a="1"/>
  <c r="C639" i="7" a="1"/>
  <c r="C33" i="7" a="1"/>
  <c r="C770" i="7" a="1"/>
  <c r="C365" i="7" a="1"/>
  <c r="C405" i="7" a="1"/>
  <c r="C1001" i="7" a="1"/>
  <c r="C102" i="7" a="1"/>
  <c r="C410" i="7" a="1"/>
  <c r="C851" i="7" a="1"/>
  <c r="C951" i="7" a="1"/>
  <c r="C362" i="7" a="1"/>
  <c r="C360" i="7" a="1"/>
  <c r="C141" i="7" a="1"/>
  <c r="C318" i="7" a="1"/>
  <c r="C990" i="7" a="1"/>
  <c r="C545" i="7" a="1"/>
  <c r="C787" i="7" a="1"/>
  <c r="C117" i="7" a="1"/>
  <c r="C600" i="7" a="1"/>
  <c r="C342" i="7" a="1"/>
  <c r="C177" i="7" a="1"/>
  <c r="C523" i="7" a="1"/>
  <c r="C322" i="7" a="1"/>
  <c r="C750" i="7" a="1"/>
  <c r="C306" i="7" a="1"/>
  <c r="C178" i="7" a="1"/>
  <c r="C69" i="7" a="1"/>
  <c r="C800" i="7" a="1"/>
  <c r="C895" i="7" a="1"/>
  <c r="C785" i="7" a="1"/>
  <c r="C447" i="7" a="1"/>
  <c r="C832" i="7" a="1"/>
  <c r="C157" i="7" a="1"/>
  <c r="C375" i="7" a="1"/>
  <c r="C935" i="7" a="1"/>
  <c r="C34" i="7" a="1"/>
  <c r="C226" i="7" a="1"/>
  <c r="C130" i="7" a="1"/>
  <c r="C328" i="7" a="1"/>
  <c r="C281" i="7" a="1"/>
  <c r="C585" i="7" a="1"/>
  <c r="C326" i="7" a="1"/>
  <c r="C930" i="7" a="1"/>
  <c r="C451" i="7" a="1"/>
  <c r="C626" i="7" a="1"/>
  <c r="C263" i="7" a="1"/>
  <c r="C858" i="7" a="1"/>
  <c r="C890" i="7" a="1"/>
  <c r="C576" i="7" a="1"/>
  <c r="C994" i="7" a="1"/>
  <c r="C12" i="7" a="1"/>
  <c r="C701" i="7" a="1"/>
  <c r="C808" i="7" a="1"/>
  <c r="C29" i="7" a="1"/>
  <c r="C139" i="7" a="1"/>
  <c r="C721" i="7" a="1"/>
  <c r="C612" i="7" a="1"/>
  <c r="C239" i="7" a="1"/>
  <c r="C261" i="7" a="1"/>
  <c r="C213" i="7" a="1"/>
  <c r="C350" i="7" a="1"/>
  <c r="C544" i="7" a="1"/>
  <c r="C946" i="7" a="1"/>
  <c r="C790" i="7" a="1"/>
  <c r="C905" i="7" a="1"/>
  <c r="C655" i="7" a="1"/>
  <c r="C850" i="7" a="1"/>
  <c r="C849" i="7" a="1"/>
  <c r="C279" i="7" a="1"/>
  <c r="C815" i="7" a="1"/>
  <c r="C646" i="7" a="1"/>
  <c r="C288" i="7" a="1"/>
  <c r="C377" i="7" a="1"/>
  <c r="C684" i="7" a="1"/>
  <c r="C358" i="7" a="1"/>
  <c r="C423" i="7" a="1"/>
  <c r="C477" i="7" a="1"/>
  <c r="C283" i="7" a="1"/>
  <c r="C297" i="7" a="1"/>
  <c r="C267" i="7" a="1"/>
  <c r="C761" i="7" a="1"/>
  <c r="C614" i="7" a="1"/>
  <c r="C287" i="7" a="1"/>
  <c r="C514" i="7" a="1"/>
  <c r="C741" i="7" a="1"/>
  <c r="C924" i="7" a="1"/>
  <c r="C43" i="7" a="1"/>
  <c r="C295" i="7" a="1"/>
  <c r="C282" i="7" a="1"/>
  <c r="C683" i="7" a="1"/>
  <c r="C198" i="7" a="1"/>
  <c r="C863" i="7" a="1"/>
  <c r="C778" i="7" a="1"/>
  <c r="C954" i="7" a="1"/>
  <c r="C296" i="7" a="1"/>
  <c r="C343" i="7" a="1"/>
  <c r="C801" i="7" a="1"/>
  <c r="C857" i="7" a="1"/>
  <c r="C371" i="7" a="1"/>
  <c r="C421" i="7" a="1"/>
  <c r="C445" i="7" a="1"/>
  <c r="C293" i="7" a="1"/>
  <c r="C331" i="7" a="1"/>
  <c r="C308" i="7" a="1"/>
  <c r="C546" i="7" a="1"/>
  <c r="C812" i="7" a="1"/>
  <c r="C280" i="7" a="1"/>
  <c r="C87" i="7" a="1"/>
  <c r="C617" i="7" a="1"/>
  <c r="C36" i="7" a="1"/>
  <c r="C965" i="7" a="1"/>
  <c r="C428" i="7" a="1"/>
  <c r="C393" i="7" a="1"/>
  <c r="C398" i="7" a="1"/>
  <c r="C459" i="7" a="1"/>
  <c r="C363" i="7" a="1"/>
  <c r="C526" i="7" a="1"/>
  <c r="C704" i="7" a="1"/>
  <c r="C660" i="7" a="1"/>
  <c r="C967" i="7" a="1"/>
  <c r="C387" i="7" a="1"/>
  <c r="C472" i="7" a="1"/>
  <c r="C880" i="7" a="1"/>
  <c r="C968" i="7" a="1"/>
  <c r="C115" i="7" a="1"/>
  <c r="C55" i="7" a="1"/>
  <c r="C888" i="7" a="1"/>
  <c r="C71" i="7" a="1"/>
  <c r="C592" i="7" a="1"/>
  <c r="C518" i="7" a="1"/>
  <c r="C135" i="7" a="1"/>
  <c r="C59" i="7" a="1"/>
  <c r="C205" i="7" a="1"/>
  <c r="C480" i="7" a="1"/>
  <c r="C569" i="7" a="1"/>
  <c r="C583" i="7" a="1"/>
  <c r="C775" i="7" a="1"/>
  <c r="C333" i="7" a="1"/>
  <c r="C313" i="7" a="1"/>
  <c r="C939" i="7" a="1"/>
  <c r="C324" i="7" a="1"/>
  <c r="C199" i="7" a="1"/>
  <c r="C490" i="7" a="1"/>
  <c r="C908" i="7" a="1"/>
  <c r="C926" i="7" a="1"/>
  <c r="C549" i="7" a="1"/>
  <c r="C794" i="7" a="1"/>
  <c r="C454" i="7" a="1"/>
  <c r="C607" i="7" a="1"/>
  <c r="C970" i="7" a="1"/>
  <c r="C816" i="7" a="1"/>
  <c r="C108" i="7" a="1"/>
  <c r="C765" i="7" a="1"/>
  <c r="C335" i="7" a="1"/>
  <c r="C201" i="7" a="1"/>
  <c r="C878" i="7" a="1"/>
  <c r="C814" i="7" a="1"/>
  <c r="C152" i="7" a="1"/>
  <c r="C9" i="7" a="1"/>
  <c r="C540" i="7" a="1"/>
  <c r="C608" i="7" a="1"/>
  <c r="C738" i="7" a="1"/>
  <c r="C166" i="7" a="1"/>
  <c r="C424" i="7" a="1"/>
  <c r="C270" i="7" a="1"/>
  <c r="C835" i="7" a="1"/>
  <c r="C844" i="7" a="1"/>
  <c r="C497" i="7" a="1"/>
  <c r="C883" i="7" a="1"/>
  <c r="C188" i="7" a="1"/>
  <c r="C88" i="7" a="1"/>
  <c r="C379" i="7" a="1"/>
  <c r="C221" i="7" a="1"/>
  <c r="C170" i="7" a="1"/>
  <c r="C542" i="7" a="1"/>
  <c r="C419" i="7" a="1"/>
  <c r="C527" i="7" a="1"/>
  <c r="C862" i="7" a="1"/>
  <c r="C557" i="7" a="1"/>
  <c r="C723" i="7" a="1"/>
  <c r="C489" i="7" a="1"/>
  <c r="C553" i="7" a="1"/>
  <c r="C126" i="7" a="1"/>
  <c r="C498" i="7" a="1"/>
  <c r="C830" i="7" a="1"/>
  <c r="C175" i="7" a="1"/>
  <c r="C845" i="7" a="1"/>
  <c r="C124" i="7" a="1"/>
  <c r="C768" i="7" a="1"/>
  <c r="C528" i="7" a="1"/>
  <c r="C99" i="7" a="1"/>
  <c r="C985" i="7" a="1"/>
  <c r="C631" i="7" a="1"/>
  <c r="C891" i="7" a="1"/>
  <c r="C914" i="7" a="1"/>
  <c r="C587" i="7" a="1"/>
  <c r="C698" i="7" a="1"/>
  <c r="C671" i="7" a="1"/>
  <c r="C461" i="7" a="1"/>
  <c r="C983" i="7" a="1"/>
  <c r="C860" i="7" a="1"/>
  <c r="C573" i="7" a="1"/>
  <c r="C802" i="7" a="1"/>
  <c r="C667" i="7" a="1"/>
  <c r="C633" i="7" a="1"/>
  <c r="C386" i="7" a="1"/>
  <c r="C752" i="7" a="1"/>
  <c r="C211" i="7" a="1"/>
  <c r="C214" i="7" a="1"/>
  <c r="C979" i="7" a="1"/>
  <c r="C470" i="7" a="1"/>
  <c r="C630" i="7" a="1"/>
  <c r="C483" i="7" a="1"/>
  <c r="C554" i="7" a="1"/>
  <c r="C61" i="7" a="1"/>
  <c r="C271" i="7" a="1"/>
  <c r="C955" i="7" a="1"/>
  <c r="C290" i="7" a="1"/>
  <c r="C305" i="7" a="1"/>
  <c r="C429" i="7" a="1"/>
  <c r="C172" i="7" a="1"/>
  <c r="C254" i="7" a="1"/>
  <c r="C654" i="7" a="1"/>
  <c r="C106" i="7" a="1"/>
  <c r="C609" i="7" a="1"/>
  <c r="C920" i="7" a="1"/>
  <c r="C605" i="7" a="1"/>
  <c r="C938" i="7" a="1"/>
  <c r="C916" i="7" a="1"/>
  <c r="C934" i="7" a="1"/>
  <c r="C792" i="7" a="1"/>
  <c r="C534" i="7" a="1"/>
  <c r="C191" i="7" a="1"/>
  <c r="C65" i="7" a="1"/>
  <c r="C602" i="7" a="1"/>
  <c r="C98" i="7" a="1"/>
  <c r="C156" i="7" a="1"/>
  <c r="C415" i="7" a="1"/>
  <c r="C182" i="7" a="1"/>
  <c r="C971" i="7" a="1"/>
  <c r="C161" i="7" a="1"/>
  <c r="C562" i="7" a="1"/>
  <c r="C502" i="7" a="1"/>
  <c r="C443" i="7" a="1"/>
  <c r="C367" i="7" a="1"/>
  <c r="C242" i="7" a="1"/>
  <c r="C593" i="7" a="1"/>
  <c r="C241" i="7" a="1"/>
  <c r="C791" i="7" a="1"/>
  <c r="C7" i="7" a="1"/>
  <c r="C120" i="7" a="1"/>
  <c r="C435" i="7" a="1"/>
  <c r="C147" i="7" a="1"/>
  <c r="C913" i="7" a="1"/>
  <c r="C547" i="7" a="1"/>
  <c r="C125" i="7" a="1"/>
  <c r="C921" i="7" a="1"/>
  <c r="C982" i="7" a="1"/>
  <c r="C564" i="7" a="1"/>
  <c r="C636" i="7" a="1"/>
  <c r="C460" i="7" a="1"/>
  <c r="O23" i="1"/>
  <c r="C737" i="7" a="1"/>
  <c r="C656" i="7" a="1"/>
  <c r="C462" i="7" a="1"/>
  <c r="C578" i="7" a="1"/>
  <c r="C340" i="7" a="1"/>
  <c r="C20" i="7" a="1"/>
  <c r="C41" i="7" a="1"/>
  <c r="C896" i="7" a="1"/>
  <c r="C642" i="7" a="1"/>
  <c r="C972" i="7" a="1"/>
  <c r="C611" i="7" a="1"/>
  <c r="C28" i="7" a="1"/>
  <c r="C751" i="7" a="1"/>
  <c r="C918" i="7" a="1"/>
  <c r="C240" i="7" a="1"/>
  <c r="C236" i="7" a="1"/>
  <c r="C430" i="7" a="1"/>
  <c r="C338" i="7" a="1"/>
  <c r="C992" i="7" a="1"/>
  <c r="C833" i="7" a="1"/>
  <c r="C504" i="7" a="1"/>
  <c r="C902" i="7" a="1"/>
  <c r="C337" i="7" a="1"/>
  <c r="C174" i="7" a="1"/>
  <c r="C50" i="7" a="1"/>
  <c r="C388" i="7" a="1"/>
  <c r="C997" i="7" a="1"/>
  <c r="C742" i="7" a="1"/>
  <c r="C957" i="7" a="1"/>
  <c r="C803" i="7" a="1"/>
  <c r="C901" i="7" a="1"/>
  <c r="C133" i="7" a="1"/>
  <c r="C805" i="7" a="1"/>
  <c r="C692" i="7" a="1"/>
  <c r="C745" i="7" a="1"/>
  <c r="C635" i="7" a="1"/>
  <c r="C859" i="7" a="1"/>
  <c r="C931" i="7" a="1"/>
  <c r="C829" i="7" a="1"/>
  <c r="C373" i="7" a="1"/>
  <c r="C268" i="7" a="1"/>
  <c r="C228" i="7" a="1"/>
  <c r="C257" i="7" a="1"/>
  <c r="C730" i="7" a="1"/>
  <c r="C63" i="7" a="1"/>
  <c r="C666" i="7" a="1"/>
  <c r="C197" i="7" a="1"/>
  <c r="C747" i="7" a="1"/>
  <c r="C827" i="7" a="1"/>
  <c r="C314" i="7" a="1"/>
  <c r="C165" i="7" a="1"/>
  <c r="C127" i="7" a="1"/>
  <c r="C772" i="7" a="1"/>
  <c r="C42" i="7" a="1"/>
  <c r="C868" i="7" a="1"/>
  <c r="C963" i="7" a="1"/>
  <c r="C774" i="7" a="1"/>
  <c r="C855" i="7" a="1"/>
  <c r="C988" i="7" a="1"/>
  <c r="C874" i="7" a="1"/>
  <c r="C227" i="7" a="1"/>
  <c r="C748" i="7" a="1"/>
  <c r="C426" i="7" a="1"/>
  <c r="C981" i="7" a="1"/>
  <c r="C427" i="7" a="1"/>
  <c r="C917" i="7" a="1"/>
  <c r="C776" i="7" a="1"/>
  <c r="C62" i="7" a="1"/>
  <c r="C320" i="7" a="1"/>
  <c r="C632" i="7" a="1"/>
  <c r="C669" i="7" a="1"/>
  <c r="C1000" i="7" a="1"/>
  <c r="C734" i="7" a="1"/>
  <c r="C887" i="7" a="1"/>
  <c r="C253" i="7" a="1"/>
  <c r="C311" i="7" a="1"/>
  <c r="C672" i="7" a="1"/>
  <c r="C947" i="7" a="1"/>
  <c r="C466" i="7" a="1"/>
  <c r="C262" i="7" a="1"/>
  <c r="C622" i="7" a="1"/>
  <c r="C515" i="7" a="1"/>
  <c r="C411" i="7" a="1"/>
  <c r="C455" i="7" a="1"/>
  <c r="C999" i="7" a="1"/>
  <c r="C841" i="7" a="1"/>
  <c r="C370" i="7" a="1"/>
  <c r="C740" i="7" a="1"/>
  <c r="C15" i="7" a="1"/>
  <c r="C789" i="7" a="1"/>
  <c r="C332" i="7" a="1"/>
  <c r="C932" i="7" a="1"/>
  <c r="C47" i="7" a="1"/>
  <c r="C278" i="7" a="1"/>
  <c r="C348" i="7" a="1"/>
  <c r="C702" i="7" a="1"/>
  <c r="C204" i="7" a="1"/>
  <c r="C976" i="7" a="1"/>
  <c r="C919" i="7" a="1"/>
  <c r="C369" i="7" a="1"/>
  <c r="C842" i="7" a="1"/>
  <c r="C58" i="7" a="1"/>
  <c r="C696" i="7" a="1"/>
  <c r="C846" i="7" a="1"/>
  <c r="C925" i="7" a="1"/>
  <c r="C309" i="7" a="1"/>
  <c r="C915" i="7" a="1"/>
  <c r="C910" i="7" a="1"/>
  <c r="C23" i="7" a="1"/>
  <c r="C793" i="7" a="1"/>
  <c r="C291" i="7" a="1"/>
  <c r="C716" i="7" a="1"/>
  <c r="C434" i="7" a="1"/>
  <c r="C898" i="7" a="1"/>
  <c r="C568" i="7" a="1"/>
  <c r="C230" i="7" a="1"/>
  <c r="C577" i="7" a="1"/>
  <c r="C100" i="7" a="1"/>
  <c r="C82" i="7" a="1"/>
  <c r="C68" i="7" a="1"/>
  <c r="C828" i="7" a="1"/>
  <c r="C458" i="7" a="1"/>
  <c r="C418" i="7" a="1"/>
  <c r="C116" i="7" a="1"/>
  <c r="C882" i="7" a="1"/>
  <c r="C345" i="7" a="1"/>
  <c r="C533" i="7" a="1"/>
  <c r="C27" i="7" a="1"/>
  <c r="C590" i="7" a="1"/>
  <c r="C854" i="7" a="1"/>
  <c r="C310" i="7" a="1"/>
  <c r="C877" i="7" a="1"/>
  <c r="C119" i="7" a="1"/>
  <c r="C1005" i="7" a="1"/>
  <c r="C903" i="7" a="1"/>
  <c r="C623" i="7" a="1"/>
  <c r="C364" i="7" a="1"/>
  <c r="C509" i="7" a="1"/>
  <c r="C74" i="7" a="1"/>
  <c r="C558" i="7" a="1"/>
  <c r="C16" i="7" a="1"/>
  <c r="C347" i="7" a="1"/>
  <c r="C681" i="7" a="1"/>
  <c r="C735" i="7" a="1"/>
  <c r="C852" i="7" a="1"/>
  <c r="C192" i="7" a="1"/>
  <c r="C943" i="7" a="1"/>
  <c r="C984" i="7" a="1"/>
  <c r="C978" i="7" a="1"/>
  <c r="C97" i="7" a="1"/>
  <c r="C49" i="7" a="1"/>
  <c r="C643" i="7" a="1"/>
  <c r="C647" i="7" a="1"/>
  <c r="C394" i="7" a="1"/>
  <c r="C806" i="7" a="1"/>
  <c r="C505" i="7" a="1"/>
  <c r="C60" i="7" a="1"/>
  <c r="C538" i="7" a="1"/>
  <c r="C75" i="7" a="1"/>
  <c r="C353" i="7" a="1"/>
  <c r="C249" i="7" a="1"/>
  <c r="C289" i="7" a="1"/>
  <c r="C334" i="7" a="1"/>
  <c r="C32" i="7" a="1"/>
  <c r="C804" i="7" a="1"/>
  <c r="C973" i="7" a="1"/>
  <c r="C556" i="7" a="1"/>
  <c r="C713" i="7" a="1"/>
  <c r="C448" i="7" a="1"/>
  <c r="C603" i="7" a="1"/>
  <c r="C327" i="7" a="1"/>
  <c r="C797" i="7" a="1"/>
  <c r="C511" i="7" a="1"/>
  <c r="C952" i="7" a="1"/>
  <c r="C810" i="7" a="1"/>
  <c r="C113" i="7" a="1"/>
  <c r="C84" i="7" a="1"/>
  <c r="C996" i="7" a="1"/>
  <c r="C225" i="7" a="1"/>
  <c r="C276" i="7" a="1"/>
  <c r="C468" i="7" a="1"/>
  <c r="C495" i="7" a="1"/>
  <c r="C154" i="7" a="1"/>
  <c r="C368" i="7" a="1"/>
  <c r="C171" i="7" a="1"/>
  <c r="C894" i="7" a="1"/>
  <c r="C412" i="7" a="1"/>
  <c r="C390" i="7" a="1"/>
  <c r="C189" i="7" a="1"/>
  <c r="C524" i="7" a="1"/>
  <c r="C442" i="7" a="1"/>
  <c r="C26" i="7" a="1"/>
  <c r="C685" i="7" a="1"/>
  <c r="C25" i="7" a="1"/>
  <c r="C143" i="7" a="1"/>
  <c r="C323" i="7" a="1"/>
  <c r="C648" i="7" a="1"/>
  <c r="C312" i="7" a="1"/>
  <c r="C521" i="7" a="1"/>
  <c r="C532" i="7" a="1"/>
  <c r="C689" i="7" a="1"/>
  <c r="C847" i="7" a="1"/>
  <c r="C638" i="7" a="1"/>
  <c r="C151" i="7" a="1"/>
  <c r="C30" i="7" a="1"/>
  <c r="C420" i="7" a="1"/>
  <c r="C821" i="7" a="1"/>
  <c r="C162" i="7" a="1"/>
  <c r="C889" i="7" a="1"/>
  <c r="C486" i="7" a="1"/>
  <c r="C733" i="7" a="1"/>
  <c r="C652" i="7" a="1"/>
  <c r="C697" i="7" a="1"/>
  <c r="C142" i="7" a="1"/>
  <c r="C686" i="7" a="1"/>
  <c r="C467" i="7" a="1"/>
  <c r="C401" i="7" a="1"/>
  <c r="C678" i="7" a="1"/>
  <c r="C18" i="7" a="1"/>
  <c r="C149" i="7" a="1"/>
  <c r="C876" i="7" a="1"/>
  <c r="C744" i="7" a="1"/>
  <c r="C122" i="7" a="1"/>
  <c r="C714" i="7" a="1"/>
  <c r="C936" i="7" a="1"/>
  <c r="C760" i="7" a="1"/>
  <c r="C376" i="7" a="1"/>
  <c r="C256" i="7" a="1"/>
  <c r="C465" i="7" a="1"/>
  <c r="C77" i="7" a="1"/>
  <c r="C266" i="7" a="1"/>
  <c r="C536" i="7" a="1"/>
  <c r="C987" i="7" a="1"/>
  <c r="C964" i="7" a="1"/>
  <c r="C432" i="7" a="1"/>
  <c r="C881" i="7" a="1"/>
  <c r="C571" i="7" a="1"/>
  <c r="C865" i="7" a="1"/>
  <c r="C457" i="7" a="1"/>
  <c r="C403" i="7" a="1"/>
  <c r="C72" i="7" a="1"/>
  <c r="C449" i="7" a="1"/>
  <c r="C520" i="7" a="1"/>
  <c r="C834" i="7" a="1"/>
  <c r="C500" i="7" a="1"/>
  <c r="C879" i="7" a="1"/>
  <c r="C80" i="7" a="1"/>
  <c r="C407" i="7" a="1"/>
  <c r="C299" i="7" a="1"/>
  <c r="C726" i="7" a="1"/>
  <c r="C710" i="7" a="1"/>
  <c r="C167" i="7" a="1"/>
  <c r="C764" i="7" a="1"/>
  <c r="C195" i="7" a="1"/>
  <c r="C873" i="7" a="1"/>
  <c r="C885" i="7" a="1"/>
  <c r="C153" i="7" a="1"/>
  <c r="C463" i="7" a="1"/>
  <c r="C38" i="7" a="1"/>
  <c r="C252" i="7" a="1"/>
  <c r="C104" i="7" a="1"/>
  <c r="C645" i="7" a="1"/>
  <c r="C989" i="7" a="1"/>
  <c r="C35" i="7" a="1"/>
  <c r="C923" i="7" a="1"/>
  <c r="C788" i="7" a="1"/>
  <c r="C134" i="7" a="1"/>
  <c r="C453" i="7" a="1"/>
  <c r="C492" i="7" a="1"/>
  <c r="C357" i="7" a="1"/>
  <c r="C817" i="7" a="1"/>
  <c r="C446" i="7" a="1"/>
  <c r="C45" i="7" a="1"/>
  <c r="C103" i="7" a="1"/>
  <c r="C663" i="7" a="1"/>
  <c r="C601" i="7" a="1"/>
  <c r="C869" i="7" a="1"/>
  <c r="C184" i="7" a="1"/>
  <c r="C186" i="7" a="1"/>
  <c r="C112" i="7" a="1"/>
  <c r="C743" i="7" a="1"/>
  <c r="C649" i="7" a="1"/>
  <c r="C183" i="7" a="1"/>
  <c r="C235" i="7" a="1"/>
  <c r="C137" i="7" a="1"/>
  <c r="C169" i="7" a="1"/>
  <c r="C960" i="7" a="1"/>
  <c r="C627" i="7" a="1"/>
  <c r="C433" i="7" a="1"/>
  <c r="C510" i="7" a="1"/>
  <c r="C676" i="7" a="1"/>
  <c r="C722" i="7" a="1"/>
  <c r="C757" i="7" a="1"/>
  <c r="C796" i="7" a="1"/>
  <c r="C703" i="7" a="1"/>
  <c r="C644" i="7" a="1"/>
  <c r="C414" i="7" a="1"/>
  <c r="C543" i="7" a="1"/>
  <c r="C372" i="7" a="1"/>
  <c r="C840" i="7" a="1"/>
  <c r="C456" i="7" a="1"/>
  <c r="C661" i="7" a="1"/>
  <c r="C471" i="7" a="1"/>
  <c r="C158" i="7" a="1"/>
  <c r="C838" i="7" a="1"/>
  <c r="C110" i="7" a="1"/>
  <c r="C265" i="7" a="1"/>
  <c r="C720" i="7" a="1"/>
  <c r="C215" i="7" a="1"/>
  <c r="C83" i="7" a="1"/>
  <c r="C315" i="7" a="1"/>
  <c r="C307" i="7" a="1"/>
  <c r="C93" i="7" a="1"/>
  <c r="C969" i="7" a="1"/>
  <c r="C385" i="7" a="1"/>
  <c r="C552" i="7" a="1"/>
  <c r="C843" i="7" a="1"/>
  <c r="C140" i="7" a="1"/>
  <c r="C782" i="7" a="1"/>
  <c r="C624" i="7" a="1"/>
  <c r="C795" i="7" a="1"/>
  <c r="C11" i="7" a="1"/>
  <c r="C395" i="7" a="1"/>
  <c r="C591" i="7" a="1"/>
  <c r="C317" i="7" a="1"/>
  <c r="C222" i="7" a="1"/>
  <c r="C374" i="7" a="1"/>
  <c r="C900" i="7" a="1"/>
  <c r="C431" i="7" a="1"/>
  <c r="C945" i="7" a="1"/>
  <c r="C991" i="7" a="1"/>
  <c r="C922" i="7" a="1"/>
  <c r="C389" i="7" a="1"/>
  <c r="C690" i="7" a="1"/>
  <c r="C217" i="7" a="1"/>
  <c r="C344" i="7" a="1"/>
  <c r="C478" i="7" a="1"/>
  <c r="C216" i="7" a="1"/>
  <c r="C193" i="7" a="1"/>
  <c r="C475" i="7" a="1"/>
  <c r="C848" i="7" a="1"/>
  <c r="C651" i="7" a="1"/>
  <c r="C998" i="7" a="1"/>
  <c r="C484" i="7" a="1"/>
  <c r="C677" i="7" a="1"/>
  <c r="C474" i="7" a="1"/>
  <c r="C220" i="7" a="1"/>
  <c r="C269" i="7" a="1"/>
  <c r="C8" i="7" a="1"/>
  <c r="C304" i="7" a="1"/>
  <c r="C993" i="7" a="1"/>
  <c r="C809" i="7" a="1"/>
  <c r="C503" i="7" a="1"/>
  <c r="C861" i="7" a="1"/>
  <c r="C481" i="7" a="1"/>
  <c r="C129" i="7" a="1"/>
  <c r="C319" i="7" a="1"/>
  <c r="C286" i="7" a="1"/>
  <c r="C826" i="7" a="1"/>
  <c r="C501" i="7" a="1"/>
  <c r="C749" i="7" a="1"/>
  <c r="C732" i="7" a="1"/>
  <c r="C146" i="7" a="1"/>
  <c r="C17" i="7" a="1"/>
  <c r="C40" i="7" a="1"/>
  <c r="C736" i="7" a="1"/>
  <c r="O31" i="1" a="1"/>
  <c r="C507" i="7" a="1"/>
  <c r="C783" i="7" a="1"/>
  <c r="C781" i="7" a="1"/>
  <c r="C208" i="7" a="1"/>
  <c r="C298" i="7" a="1"/>
  <c r="C928" i="7" a="1"/>
  <c r="C187" i="7" a="1"/>
  <c r="C413" i="7" a="1"/>
  <c r="C173" i="7" a="1"/>
  <c r="P31" i="1" a="1"/>
  <c r="C641" i="7" a="1"/>
  <c r="C136" i="7" a="1"/>
  <c r="C866" i="7" a="1"/>
  <c r="C485" i="7" a="1"/>
  <c r="C275" i="7" a="1"/>
  <c r="C66" i="7" a="1"/>
  <c r="C90" i="7" a="1"/>
  <c r="C179" i="7" a="1"/>
  <c r="C476" i="7" a="1"/>
  <c r="C575" i="7" a="1"/>
  <c r="C491" i="7" a="1"/>
  <c r="C831" i="7" a="1"/>
  <c r="C207" i="7" a="1"/>
  <c r="C168" i="7" a="1"/>
  <c r="C473" i="7" a="1"/>
  <c r="C469" i="7" a="1"/>
  <c r="C539" i="7" a="1"/>
  <c r="C707" i="7" a="1"/>
  <c r="C105" i="7" a="1"/>
  <c r="C212" i="7" a="1"/>
  <c r="C384" i="7" a="1"/>
  <c r="C706" i="7" a="1"/>
  <c r="C244" i="7" a="1"/>
  <c r="C610" i="7" a="1"/>
  <c r="C637" i="7" a="1"/>
  <c r="C366" i="7" a="1"/>
  <c r="C341" i="7" a="1"/>
  <c r="C150" i="7" a="1"/>
  <c r="C352" i="7" a="1"/>
  <c r="C378" i="7" a="1"/>
  <c r="C773" i="7" a="1"/>
  <c r="C705" i="7" a="1"/>
  <c r="C941" i="7" a="1"/>
  <c r="C758" i="7" a="1"/>
  <c r="C234" i="7" a="1"/>
  <c r="C892" i="7" a="1"/>
  <c r="C581" i="7" a="1"/>
  <c r="C67" i="7" a="1"/>
  <c r="C700" i="7" a="1"/>
  <c r="C210" i="7" a="1"/>
  <c r="C719" i="7" a="1"/>
  <c r="C229" i="7" a="1"/>
  <c r="C14" i="7" a="1"/>
  <c r="C599" i="7" a="1"/>
  <c r="C867" i="7" a="1"/>
  <c r="C301" i="7" a="1"/>
  <c r="C237" i="7" a="1"/>
  <c r="C247" i="7" a="1"/>
  <c r="C274" i="7" a="1"/>
  <c r="C550" i="7" a="1"/>
  <c r="C260" i="7" a="1"/>
  <c r="C650" i="7" a="1"/>
  <c r="C359" i="7" a="1"/>
  <c r="C535" i="7" a="1"/>
  <c r="C884" i="7" a="1"/>
  <c r="C450" i="7" a="1"/>
  <c r="C89" i="7" a="1"/>
  <c r="C904" i="7" a="1"/>
  <c r="C942" i="7" a="1"/>
  <c r="C203" i="7" a="1"/>
  <c r="C634" i="7" a="1"/>
  <c r="C53" i="7" a="1"/>
  <c r="C19" i="7" a="1"/>
  <c r="C529" i="7" a="1"/>
  <c r="C132" i="7" a="1"/>
  <c r="C44" i="7" a="1"/>
  <c r="C618" i="7" a="1"/>
  <c r="C937" i="7" a="1"/>
  <c r="C436" i="7" a="1"/>
  <c r="C966" i="7" a="1"/>
  <c r="C81" i="7" a="1"/>
  <c r="C330" i="7" a="1"/>
  <c r="C109" i="7" a="1"/>
  <c r="C54" i="7" a="1"/>
  <c r="C300" i="7" a="1"/>
  <c r="C273" i="7" a="1"/>
  <c r="C537" i="7" a="1"/>
  <c r="C231" i="7" a="1"/>
  <c r="C712" i="7" a="1"/>
  <c r="C39" i="7" a="1"/>
  <c r="C512" i="7" a="1"/>
  <c r="C111" i="7" a="1"/>
  <c r="C513" i="7" a="1"/>
  <c r="C856" i="7" a="1"/>
  <c r="C995" i="7" a="1"/>
  <c r="C729" i="7" a="1"/>
  <c r="C822" i="7" a="1"/>
  <c r="C807" i="7" a="1"/>
  <c r="C321" i="7" a="1"/>
  <c r="C245" i="7" a="1"/>
  <c r="C522" i="7" a="1"/>
  <c r="C176" i="7" a="1"/>
  <c r="C499" i="7" a="1"/>
  <c r="C517" i="7" a="1"/>
  <c r="C864" i="7" a="1"/>
  <c r="C164" i="7" a="1"/>
  <c r="C940" i="7" a="1"/>
  <c r="C354" i="7" a="1"/>
  <c r="C763" i="7" a="1"/>
  <c r="C159" i="7" a="1"/>
  <c r="C727" i="7" a="1"/>
  <c r="C606" i="7" a="1"/>
  <c r="C422" i="7" a="1"/>
  <c r="C961" i="7" a="1"/>
  <c r="C272" i="7" a="1"/>
  <c r="C766" i="7" a="1"/>
  <c r="C594" i="7" a="1"/>
  <c r="C525" i="7" a="1"/>
  <c r="C482" i="7" a="1"/>
  <c r="C417" i="7" a="1"/>
  <c r="C361" i="7" a="1"/>
  <c r="C870" i="7" a="1"/>
  <c r="C22" i="7" a="1"/>
  <c r="C756" i="7" a="1"/>
  <c r="C811" i="7" a="1"/>
  <c r="C653" i="7" a="1"/>
  <c r="C92" i="7" a="1"/>
  <c r="C780" i="7" a="1"/>
  <c r="C437" i="7" a="1"/>
  <c r="C728" i="7" a="1"/>
  <c r="C409" i="7" a="1"/>
  <c r="C56" i="7" a="1"/>
  <c r="C724" i="7" a="1"/>
  <c r="C48" i="7" a="1"/>
  <c r="C907" i="7" a="1"/>
  <c r="C406" i="7" a="1"/>
  <c r="C185" i="7" a="1"/>
  <c r="C777" i="7" a="1"/>
  <c r="C246" i="7" a="1"/>
  <c r="C541" i="7" a="1"/>
  <c r="C209" i="7" a="1"/>
  <c r="C202" i="7" a="1"/>
  <c r="C1003" i="7" a="1"/>
  <c r="C79" i="7" a="1"/>
  <c r="C596" i="7" a="1"/>
  <c r="C1002" i="7" a="1"/>
  <c r="C958" i="7" a="1"/>
  <c r="C582" i="7" a="1"/>
  <c r="C51" i="7" a="1"/>
  <c r="C145" i="7" a="1"/>
  <c r="C909" i="7" a="1"/>
  <c r="C629" i="7" a="1"/>
  <c r="C974" i="7" a="1"/>
  <c r="C560" i="7" a="1"/>
  <c r="C200" i="7" a="1"/>
  <c r="C731" i="7" a="1"/>
  <c r="C441" i="7" a="1"/>
  <c r="C355" i="7" a="1"/>
  <c r="C351" i="7" a="1"/>
  <c r="C708" i="7" a="1"/>
  <c r="C899" i="7" a="1"/>
  <c r="C659" i="7" a="1"/>
  <c r="C37" i="7" a="1"/>
  <c r="C588" i="7" a="1"/>
  <c r="C95" i="7" a="1"/>
  <c r="C572" i="7" a="1"/>
  <c r="C675" i="7" a="1"/>
  <c r="C85" i="7" a="1"/>
  <c r="C739" i="7" a="1"/>
  <c r="C754" i="7" a="1"/>
  <c r="C579" i="7" a="1"/>
  <c r="C657" i="7" a="1"/>
  <c r="C818" i="7" a="1"/>
  <c r="C160" i="7" a="1"/>
  <c r="C893" i="7" a="1"/>
  <c r="C551" i="7" a="1"/>
  <c r="C251" i="7" a="1"/>
  <c r="C91" i="7" a="1"/>
  <c r="C906" i="7" a="1"/>
  <c r="C944" i="7" a="1"/>
  <c r="C853" i="7" a="1"/>
  <c r="C619" i="7" a="1"/>
  <c r="C566" i="7" a="1"/>
  <c r="C250" i="7" a="1"/>
  <c r="C767" i="7" a="1"/>
  <c r="C508" i="7" a="1"/>
  <c r="C285" i="7" a="1"/>
  <c r="C886" i="7" a="1"/>
  <c r="C929" i="7" a="1"/>
  <c r="C753" i="7" a="1"/>
  <c r="C294" i="7" a="1"/>
  <c r="C356" i="7" a="1"/>
  <c r="C404" i="7" a="1"/>
  <c r="C123" i="7" a="1"/>
  <c r="C825" i="7" a="1"/>
  <c r="C181" i="7" a="1"/>
  <c r="C679" i="7" a="1"/>
  <c r="C107" i="7" a="1"/>
  <c r="C70" i="7" a="1"/>
  <c r="C506" i="7" a="1"/>
  <c r="C962" i="7" a="1"/>
  <c r="C668" i="7" a="1"/>
  <c r="C625" i="7" a="1"/>
  <c r="C339" i="7" a="1"/>
  <c r="C284" i="7" a="1"/>
  <c r="C46" i="7" a="1"/>
  <c r="C381" i="7" a="1"/>
  <c r="C402" i="7" a="1"/>
  <c r="C615" i="7" a="1"/>
  <c r="C530" i="7" a="1"/>
  <c r="C911" i="7" a="1"/>
  <c r="C693" i="7" a="1"/>
  <c r="C725" i="7" a="1"/>
  <c r="C258" i="7" a="1"/>
  <c r="C223" i="7" a="1"/>
  <c r="C699" i="7" a="1"/>
  <c r="C948" i="7" a="1"/>
  <c r="C64" i="7" a="1"/>
  <c r="C819" i="7" a="1"/>
  <c r="C563" i="7" a="1"/>
  <c r="C597" i="7" a="1"/>
  <c r="C248" i="7" a="1"/>
  <c r="C73" i="7" a="1"/>
  <c r="C813" i="7" a="1"/>
  <c r="C872" i="7" a="1"/>
  <c r="C440" i="7" a="1"/>
  <c r="C565" i="7" a="1"/>
  <c r="C444" i="7" a="1"/>
  <c r="C180" i="7" a="1"/>
  <c r="C259" i="7" a="1"/>
  <c r="C148" i="7" a="1"/>
  <c r="C118" i="7" a="1"/>
  <c r="C452" i="7" a="1"/>
  <c r="C396" i="7" a="1"/>
  <c r="C219" i="7" a="1"/>
  <c r="C717" i="7" a="1"/>
  <c r="C784" i="7" a="1"/>
  <c r="C277" i="7" a="1"/>
  <c r="C567" i="7" a="1"/>
  <c r="C620" i="7" a="1"/>
  <c r="C346" i="7" a="1"/>
  <c r="C303" i="7" a="1"/>
  <c r="C382" i="7" a="1"/>
  <c r="C640" i="7" a="1"/>
  <c r="C13" i="7" a="1"/>
  <c r="C561" i="7" a="1"/>
  <c r="C715" i="7" a="1"/>
  <c r="C206" i="7" a="1"/>
  <c r="C837" i="7" a="1"/>
  <c r="C959" i="7" a="1"/>
  <c r="C613" i="7" a="1"/>
  <c r="C233" i="7" a="1"/>
  <c r="C662" i="7" a="1"/>
  <c r="C665" i="7" a="1"/>
  <c r="C927" i="7" a="1"/>
  <c r="C823" i="7" a="1"/>
  <c r="C824" i="7" a="1"/>
  <c r="C956" i="7" a="1"/>
  <c r="C839" i="7" a="1"/>
  <c r="C131" i="7" a="1"/>
  <c r="C691" i="7" a="1"/>
  <c r="C316" i="7" a="1"/>
  <c r="C391" i="7" a="1"/>
  <c r="O40" i="1" a="1"/>
  <c r="C85" i="1" a="1"/>
  <c r="O43" i="1"/>
  <c r="I58" i="1" s="1" a="1"/>
  <c r="I58" i="1" l="1"/>
  <c r="F14" i="7"/>
  <c r="C391" i="7"/>
  <c r="C316" i="7"/>
  <c r="C691" i="7"/>
  <c r="C131" i="7"/>
  <c r="C839" i="7"/>
  <c r="C956" i="7"/>
  <c r="C824" i="7"/>
  <c r="C823" i="7"/>
  <c r="C927" i="7"/>
  <c r="C665" i="7"/>
  <c r="C662" i="7"/>
  <c r="C233" i="7"/>
  <c r="C613" i="7"/>
  <c r="C959" i="7"/>
  <c r="C837" i="7"/>
  <c r="C206" i="7"/>
  <c r="C715" i="7"/>
  <c r="C561" i="7"/>
  <c r="C13" i="7"/>
  <c r="C640" i="7"/>
  <c r="C382" i="7"/>
  <c r="C303" i="7"/>
  <c r="C346" i="7"/>
  <c r="C620" i="7"/>
  <c r="C567" i="7"/>
  <c r="C277" i="7"/>
  <c r="C784" i="7"/>
  <c r="C717" i="7"/>
  <c r="C219" i="7"/>
  <c r="C396" i="7"/>
  <c r="C452" i="7"/>
  <c r="C118" i="7"/>
  <c r="C148" i="7"/>
  <c r="C259" i="7"/>
  <c r="C180" i="7"/>
  <c r="C444" i="7"/>
  <c r="C565" i="7"/>
  <c r="C440" i="7"/>
  <c r="C872" i="7"/>
  <c r="C813" i="7"/>
  <c r="C73" i="7"/>
  <c r="C248" i="7"/>
  <c r="C597" i="7"/>
  <c r="C563" i="7"/>
  <c r="C819" i="7"/>
  <c r="C64" i="7"/>
  <c r="C948" i="7"/>
  <c r="C699" i="7"/>
  <c r="C223" i="7"/>
  <c r="C258" i="7"/>
  <c r="C725" i="7"/>
  <c r="C693" i="7"/>
  <c r="C911" i="7"/>
  <c r="C530" i="7"/>
  <c r="C615" i="7"/>
  <c r="C402" i="7"/>
  <c r="C381" i="7"/>
  <c r="C46" i="7"/>
  <c r="C284" i="7"/>
  <c r="C339" i="7"/>
  <c r="C625" i="7"/>
  <c r="C668" i="7"/>
  <c r="C962" i="7"/>
  <c r="C506" i="7"/>
  <c r="C70" i="7"/>
  <c r="C107" i="7"/>
  <c r="C679" i="7"/>
  <c r="C181" i="7"/>
  <c r="C825" i="7"/>
  <c r="C123" i="7"/>
  <c r="C404" i="7"/>
  <c r="C356" i="7"/>
  <c r="C294" i="7"/>
  <c r="C753" i="7"/>
  <c r="C929" i="7"/>
  <c r="C886" i="7"/>
  <c r="C285" i="7"/>
  <c r="C508" i="7"/>
  <c r="C767" i="7"/>
  <c r="C250" i="7"/>
  <c r="C566" i="7"/>
  <c r="C619" i="7"/>
  <c r="C853" i="7"/>
  <c r="C944" i="7"/>
  <c r="C906" i="7"/>
  <c r="C91" i="7"/>
  <c r="C251" i="7"/>
  <c r="C551" i="7"/>
  <c r="C893" i="7"/>
  <c r="C160" i="7"/>
  <c r="C818" i="7"/>
  <c r="C657" i="7"/>
  <c r="C579" i="7"/>
  <c r="C754" i="7"/>
  <c r="C739" i="7"/>
  <c r="C85" i="7"/>
  <c r="C675" i="7"/>
  <c r="C572" i="7"/>
  <c r="C95" i="7"/>
  <c r="C588" i="7"/>
  <c r="C37" i="7"/>
  <c r="C659" i="7"/>
  <c r="C899" i="7"/>
  <c r="C708" i="7"/>
  <c r="C351" i="7"/>
  <c r="C355" i="7"/>
  <c r="C441" i="7"/>
  <c r="C731" i="7"/>
  <c r="C200" i="7"/>
  <c r="C560" i="7"/>
  <c r="C974" i="7"/>
  <c r="C629" i="7"/>
  <c r="C909" i="7"/>
  <c r="C145" i="7"/>
  <c r="C51" i="7"/>
  <c r="C582" i="7"/>
  <c r="C958" i="7"/>
  <c r="C1002" i="7"/>
  <c r="C596" i="7"/>
  <c r="C79" i="7"/>
  <c r="C1003" i="7"/>
  <c r="C202" i="7"/>
  <c r="C209" i="7"/>
  <c r="C541" i="7"/>
  <c r="C246" i="7"/>
  <c r="C777" i="7"/>
  <c r="C185" i="7"/>
  <c r="C406" i="7"/>
  <c r="C907" i="7"/>
  <c r="C48" i="7"/>
  <c r="C724" i="7"/>
  <c r="C56" i="7"/>
  <c r="C409" i="7"/>
  <c r="C728" i="7"/>
  <c r="C437" i="7"/>
  <c r="C780" i="7"/>
  <c r="C92" i="7"/>
  <c r="C653" i="7"/>
  <c r="C811" i="7"/>
  <c r="C756" i="7"/>
  <c r="C22" i="7"/>
  <c r="C870" i="7"/>
  <c r="C361" i="7"/>
  <c r="C417" i="7"/>
  <c r="C482" i="7"/>
  <c r="C525" i="7"/>
  <c r="C594" i="7"/>
  <c r="C766" i="7"/>
  <c r="C272" i="7"/>
  <c r="C961" i="7"/>
  <c r="C422" i="7"/>
  <c r="C606" i="7"/>
  <c r="C727" i="7"/>
  <c r="C159" i="7"/>
  <c r="C763" i="7"/>
  <c r="C354" i="7"/>
  <c r="C940" i="7"/>
  <c r="C164" i="7"/>
  <c r="C864" i="7"/>
  <c r="C517" i="7"/>
  <c r="C499" i="7"/>
  <c r="C176" i="7"/>
  <c r="C522" i="7"/>
  <c r="C245" i="7"/>
  <c r="C321" i="7"/>
  <c r="C807" i="7"/>
  <c r="C822" i="7"/>
  <c r="C729" i="7"/>
  <c r="C995" i="7"/>
  <c r="C856" i="7"/>
  <c r="C513" i="7"/>
  <c r="C111" i="7"/>
  <c r="C512" i="7"/>
  <c r="C39" i="7"/>
  <c r="C712" i="7"/>
  <c r="C231" i="7"/>
  <c r="C537" i="7"/>
  <c r="C273" i="7"/>
  <c r="C300" i="7"/>
  <c r="C54" i="7"/>
  <c r="C109" i="7"/>
  <c r="C330" i="7"/>
  <c r="C81" i="7"/>
  <c r="C966" i="7"/>
  <c r="C436" i="7"/>
  <c r="C937" i="7"/>
  <c r="C618" i="7"/>
  <c r="C44" i="7"/>
  <c r="C132" i="7"/>
  <c r="C529" i="7"/>
  <c r="C19" i="7"/>
  <c r="C53" i="7"/>
  <c r="C634" i="7"/>
  <c r="C203" i="7"/>
  <c r="C942" i="7"/>
  <c r="C904" i="7"/>
  <c r="C89" i="7"/>
  <c r="C450" i="7"/>
  <c r="C884" i="7"/>
  <c r="C535" i="7"/>
  <c r="C359" i="7"/>
  <c r="C650" i="7"/>
  <c r="C260" i="7"/>
  <c r="C550" i="7"/>
  <c r="C274" i="7"/>
  <c r="C247" i="7"/>
  <c r="C237" i="7"/>
  <c r="C301" i="7"/>
  <c r="C867" i="7"/>
  <c r="C599" i="7"/>
  <c r="C14" i="7"/>
  <c r="C229" i="7"/>
  <c r="C719" i="7"/>
  <c r="C210" i="7"/>
  <c r="C700" i="7"/>
  <c r="C67" i="7"/>
  <c r="C581" i="7"/>
  <c r="C892" i="7"/>
  <c r="C234" i="7"/>
  <c r="C758" i="7"/>
  <c r="C941" i="7"/>
  <c r="C705" i="7"/>
  <c r="C773" i="7"/>
  <c r="C378" i="7"/>
  <c r="C352" i="7"/>
  <c r="C150" i="7"/>
  <c r="C341" i="7"/>
  <c r="C366" i="7"/>
  <c r="C637" i="7"/>
  <c r="C610" i="7"/>
  <c r="C244" i="7"/>
  <c r="C706" i="7"/>
  <c r="C384" i="7"/>
  <c r="C212" i="7"/>
  <c r="C105" i="7"/>
  <c r="C707" i="7"/>
  <c r="C539" i="7"/>
  <c r="C469" i="7"/>
  <c r="C473" i="7"/>
  <c r="C168" i="7"/>
  <c r="C207" i="7"/>
  <c r="C831" i="7"/>
  <c r="C491" i="7"/>
  <c r="C575" i="7"/>
  <c r="C476" i="7"/>
  <c r="C179" i="7"/>
  <c r="C90" i="7"/>
  <c r="C66" i="7"/>
  <c r="C275" i="7"/>
  <c r="C485" i="7"/>
  <c r="C866" i="7"/>
  <c r="C136" i="7"/>
  <c r="C641" i="7"/>
  <c r="P31" i="1"/>
  <c r="C173" i="7"/>
  <c r="C413" i="7"/>
  <c r="C187" i="7"/>
  <c r="C928" i="7"/>
  <c r="C298" i="7"/>
  <c r="C208" i="7"/>
  <c r="C781" i="7"/>
  <c r="C783" i="7"/>
  <c r="C507" i="7"/>
  <c r="O31" i="1"/>
  <c r="C736" i="7"/>
  <c r="C40" i="7"/>
  <c r="C17" i="7"/>
  <c r="C146" i="7"/>
  <c r="C732" i="7"/>
  <c r="C749" i="7"/>
  <c r="C501" i="7"/>
  <c r="C826" i="7"/>
  <c r="C286" i="7"/>
  <c r="C319" i="7"/>
  <c r="C129" i="7"/>
  <c r="C481" i="7"/>
  <c r="C861" i="7"/>
  <c r="C503" i="7"/>
  <c r="C809" i="7"/>
  <c r="C993" i="7"/>
  <c r="C304" i="7"/>
  <c r="C8" i="7"/>
  <c r="C269" i="7"/>
  <c r="C220" i="7"/>
  <c r="C474" i="7"/>
  <c r="C677" i="7"/>
  <c r="C484" i="7"/>
  <c r="C998" i="7"/>
  <c r="C651" i="7"/>
  <c r="C848" i="7"/>
  <c r="C475" i="7"/>
  <c r="C193" i="7"/>
  <c r="C216" i="7"/>
  <c r="C478" i="7"/>
  <c r="C344" i="7"/>
  <c r="C217" i="7"/>
  <c r="C690" i="7"/>
  <c r="C389" i="7"/>
  <c r="C922" i="7"/>
  <c r="C991" i="7"/>
  <c r="C945" i="7"/>
  <c r="C431" i="7"/>
  <c r="C900" i="7"/>
  <c r="C374" i="7"/>
  <c r="C222" i="7"/>
  <c r="C317" i="7"/>
  <c r="C591" i="7"/>
  <c r="C395" i="7"/>
  <c r="C11" i="7"/>
  <c r="C795" i="7"/>
  <c r="C624" i="7"/>
  <c r="C782" i="7"/>
  <c r="C140" i="7"/>
  <c r="C843" i="7"/>
  <c r="C552" i="7"/>
  <c r="C385" i="7"/>
  <c r="C85" i="1"/>
  <c r="C969" i="7"/>
  <c r="C93" i="7"/>
  <c r="C307" i="7"/>
  <c r="C315" i="7"/>
  <c r="C83" i="7"/>
  <c r="C215" i="7"/>
  <c r="C720" i="7"/>
  <c r="C265" i="7"/>
  <c r="C110" i="7"/>
  <c r="C838" i="7"/>
  <c r="C158" i="7"/>
  <c r="C471" i="7"/>
  <c r="C661" i="7"/>
  <c r="C456" i="7"/>
  <c r="C840" i="7"/>
  <c r="C372" i="7"/>
  <c r="C543" i="7"/>
  <c r="C414" i="7"/>
  <c r="C644" i="7"/>
  <c r="C703" i="7"/>
  <c r="C796" i="7"/>
  <c r="C757" i="7"/>
  <c r="C722" i="7"/>
  <c r="C676" i="7"/>
  <c r="C510" i="7"/>
  <c r="C433" i="7"/>
  <c r="C627" i="7"/>
  <c r="C960" i="7"/>
  <c r="C169" i="7"/>
  <c r="C137" i="7"/>
  <c r="C235" i="7"/>
  <c r="C183" i="7"/>
  <c r="C649" i="7"/>
  <c r="C743" i="7"/>
  <c r="C112" i="7"/>
  <c r="C186" i="7"/>
  <c r="C184" i="7"/>
  <c r="C869" i="7"/>
  <c r="C601" i="7"/>
  <c r="C663" i="7"/>
  <c r="C103" i="7"/>
  <c r="C45" i="7"/>
  <c r="C446" i="7"/>
  <c r="C817" i="7"/>
  <c r="C357" i="7"/>
  <c r="C492" i="7"/>
  <c r="C453" i="7"/>
  <c r="C134" i="7"/>
  <c r="C788" i="7"/>
  <c r="C923" i="7"/>
  <c r="C35" i="7"/>
  <c r="C989" i="7"/>
  <c r="C645" i="7"/>
  <c r="C104" i="7"/>
  <c r="C252" i="7"/>
  <c r="C38" i="7"/>
  <c r="C463" i="7"/>
  <c r="C153" i="7"/>
  <c r="C885" i="7"/>
  <c r="C873" i="7"/>
  <c r="C195" i="7"/>
  <c r="C764" i="7"/>
  <c r="C167" i="7"/>
  <c r="C710" i="7"/>
  <c r="C726" i="7"/>
  <c r="C299" i="7"/>
  <c r="C407" i="7"/>
  <c r="C80" i="7"/>
  <c r="C879" i="7"/>
  <c r="C500" i="7"/>
  <c r="C834" i="7"/>
  <c r="C520" i="7"/>
  <c r="C449" i="7"/>
  <c r="C72" i="7"/>
  <c r="C403" i="7"/>
  <c r="C457" i="7"/>
  <c r="C865" i="7"/>
  <c r="C571" i="7"/>
  <c r="C881" i="7"/>
  <c r="C432" i="7"/>
  <c r="C964" i="7"/>
  <c r="C987" i="7"/>
  <c r="C536" i="7"/>
  <c r="C266" i="7"/>
  <c r="C77" i="7"/>
  <c r="C465" i="7"/>
  <c r="C256" i="7"/>
  <c r="C376" i="7"/>
  <c r="C760" i="7"/>
  <c r="C936" i="7"/>
  <c r="C714" i="7"/>
  <c r="C122" i="7"/>
  <c r="C744" i="7"/>
  <c r="C876" i="7"/>
  <c r="C149" i="7"/>
  <c r="C18" i="7"/>
  <c r="C678" i="7"/>
  <c r="C401" i="7"/>
  <c r="C467" i="7"/>
  <c r="C686" i="7"/>
  <c r="C142" i="7"/>
  <c r="C697" i="7"/>
  <c r="C652" i="7"/>
  <c r="C733" i="7"/>
  <c r="C486" i="7"/>
  <c r="C889" i="7"/>
  <c r="C162" i="7"/>
  <c r="C821" i="7"/>
  <c r="C420" i="7"/>
  <c r="C30" i="7"/>
  <c r="C151" i="7"/>
  <c r="C638" i="7"/>
  <c r="C847" i="7"/>
  <c r="C689" i="7"/>
  <c r="C532" i="7"/>
  <c r="C521" i="7"/>
  <c r="C312" i="7"/>
  <c r="C648" i="7"/>
  <c r="C323" i="7"/>
  <c r="C143" i="7"/>
  <c r="C25" i="7"/>
  <c r="C685" i="7"/>
  <c r="C26" i="7"/>
  <c r="C442" i="7"/>
  <c r="C524" i="7"/>
  <c r="C189" i="7"/>
  <c r="C390" i="7"/>
  <c r="C412" i="7"/>
  <c r="C894" i="7"/>
  <c r="C171" i="7"/>
  <c r="C368" i="7"/>
  <c r="C154" i="7"/>
  <c r="C495" i="7"/>
  <c r="C468" i="7"/>
  <c r="C276" i="7"/>
  <c r="C225" i="7"/>
  <c r="C996" i="7"/>
  <c r="C84" i="7"/>
  <c r="C113" i="7"/>
  <c r="C810" i="7"/>
  <c r="C952" i="7"/>
  <c r="C511" i="7"/>
  <c r="C797" i="7"/>
  <c r="C327" i="7"/>
  <c r="C603" i="7"/>
  <c r="C448" i="7"/>
  <c r="C713" i="7"/>
  <c r="C556" i="7"/>
  <c r="C973" i="7"/>
  <c r="C804" i="7"/>
  <c r="C32" i="7"/>
  <c r="C334" i="7"/>
  <c r="C289" i="7"/>
  <c r="C249" i="7"/>
  <c r="C353" i="7"/>
  <c r="C75" i="7"/>
  <c r="C538" i="7"/>
  <c r="C60" i="7"/>
  <c r="C505" i="7"/>
  <c r="C806" i="7"/>
  <c r="C394" i="7"/>
  <c r="C647" i="7"/>
  <c r="C643" i="7"/>
  <c r="C49" i="7"/>
  <c r="C97" i="7"/>
  <c r="C978" i="7"/>
  <c r="C984" i="7"/>
  <c r="C943" i="7"/>
  <c r="C192" i="7"/>
  <c r="C852" i="7"/>
  <c r="C735" i="7"/>
  <c r="C681" i="7"/>
  <c r="C347" i="7"/>
  <c r="C16" i="7"/>
  <c r="C558" i="7"/>
  <c r="C74" i="7"/>
  <c r="C509" i="7"/>
  <c r="C364" i="7"/>
  <c r="C623" i="7"/>
  <c r="C903" i="7"/>
  <c r="C1005" i="7"/>
  <c r="C119" i="7"/>
  <c r="C877" i="7"/>
  <c r="C310" i="7"/>
  <c r="C854" i="7"/>
  <c r="C590" i="7"/>
  <c r="C27" i="7"/>
  <c r="C533" i="7"/>
  <c r="C345" i="7"/>
  <c r="C882" i="7"/>
  <c r="C116" i="7"/>
  <c r="C418" i="7"/>
  <c r="C458" i="7"/>
  <c r="C828" i="7"/>
  <c r="C68" i="7"/>
  <c r="C82" i="7"/>
  <c r="C100" i="7"/>
  <c r="C577" i="7"/>
  <c r="C230" i="7"/>
  <c r="C568" i="7"/>
  <c r="C898" i="7"/>
  <c r="C434" i="7"/>
  <c r="C716" i="7"/>
  <c r="C291" i="7"/>
  <c r="C793" i="7"/>
  <c r="C23" i="7"/>
  <c r="C910" i="7"/>
  <c r="C915" i="7"/>
  <c r="C309" i="7"/>
  <c r="C925" i="7"/>
  <c r="C846" i="7"/>
  <c r="C696" i="7"/>
  <c r="C58" i="7"/>
  <c r="C842" i="7"/>
  <c r="C369" i="7"/>
  <c r="C919" i="7"/>
  <c r="C976" i="7"/>
  <c r="C204" i="7"/>
  <c r="C702" i="7"/>
  <c r="C348" i="7"/>
  <c r="C278" i="7"/>
  <c r="C47" i="7"/>
  <c r="C932" i="7"/>
  <c r="C332" i="7"/>
  <c r="C789" i="7"/>
  <c r="C15" i="7"/>
  <c r="C740" i="7"/>
  <c r="C370" i="7"/>
  <c r="C841" i="7"/>
  <c r="C999" i="7"/>
  <c r="C455" i="7"/>
  <c r="C411" i="7"/>
  <c r="C515" i="7"/>
  <c r="C622" i="7"/>
  <c r="C262" i="7"/>
  <c r="C466" i="7"/>
  <c r="C947" i="7"/>
  <c r="C672" i="7"/>
  <c r="C311" i="7"/>
  <c r="C253" i="7"/>
  <c r="C887" i="7"/>
  <c r="C734" i="7"/>
  <c r="C1000" i="7"/>
  <c r="C669" i="7"/>
  <c r="C632" i="7"/>
  <c r="C320" i="7"/>
  <c r="C62" i="7"/>
  <c r="C776" i="7"/>
  <c r="C917" i="7"/>
  <c r="C427" i="7"/>
  <c r="C981" i="7"/>
  <c r="C426" i="7"/>
  <c r="C748" i="7"/>
  <c r="C227" i="7"/>
  <c r="C874" i="7"/>
  <c r="C988" i="7"/>
  <c r="C855" i="7"/>
  <c r="C774" i="7"/>
  <c r="C963" i="7"/>
  <c r="C868" i="7"/>
  <c r="C42" i="7"/>
  <c r="C772" i="7"/>
  <c r="C127" i="7"/>
  <c r="C165" i="7"/>
  <c r="C314" i="7"/>
  <c r="C827" i="7"/>
  <c r="C747" i="7"/>
  <c r="C197" i="7"/>
  <c r="C666" i="7"/>
  <c r="C63" i="7"/>
  <c r="C730" i="7"/>
  <c r="C257" i="7"/>
  <c r="C228" i="7"/>
  <c r="C268" i="7"/>
  <c r="C373" i="7"/>
  <c r="C829" i="7"/>
  <c r="C931" i="7"/>
  <c r="C859" i="7"/>
  <c r="C635" i="7"/>
  <c r="C745" i="7"/>
  <c r="C692" i="7"/>
  <c r="C805" i="7"/>
  <c r="C133" i="7"/>
  <c r="C901" i="7"/>
  <c r="C803" i="7"/>
  <c r="C957" i="7"/>
  <c r="C742" i="7"/>
  <c r="C997" i="7"/>
  <c r="C388" i="7"/>
  <c r="C50" i="7"/>
  <c r="C174" i="7"/>
  <c r="C337" i="7"/>
  <c r="C902" i="7"/>
  <c r="C504" i="7"/>
  <c r="C833" i="7"/>
  <c r="C992" i="7"/>
  <c r="C338" i="7"/>
  <c r="C430" i="7"/>
  <c r="C236" i="7"/>
  <c r="C240" i="7"/>
  <c r="C918" i="7"/>
  <c r="C751" i="7"/>
  <c r="C28" i="7"/>
  <c r="C611" i="7"/>
  <c r="C972" i="7"/>
  <c r="C642" i="7"/>
  <c r="C896" i="7"/>
  <c r="C41" i="7"/>
  <c r="C20" i="7"/>
  <c r="C340" i="7"/>
  <c r="C578" i="7"/>
  <c r="C462" i="7"/>
  <c r="C656" i="7"/>
  <c r="C737" i="7"/>
  <c r="C460" i="7"/>
  <c r="C636" i="7"/>
  <c r="C564" i="7"/>
  <c r="C982" i="7"/>
  <c r="C921" i="7"/>
  <c r="C125" i="7"/>
  <c r="C547" i="7"/>
  <c r="C913" i="7"/>
  <c r="C147" i="7"/>
  <c r="C435" i="7"/>
  <c r="C120" i="7"/>
  <c r="C7" i="7"/>
  <c r="C791" i="7"/>
  <c r="C241" i="7"/>
  <c r="C593" i="7"/>
  <c r="C242" i="7"/>
  <c r="C367" i="7"/>
  <c r="C443" i="7"/>
  <c r="C502" i="7"/>
  <c r="C562" i="7"/>
  <c r="C161" i="7"/>
  <c r="C971" i="7"/>
  <c r="C182" i="7"/>
  <c r="C415" i="7"/>
  <c r="C156" i="7"/>
  <c r="C98" i="7"/>
  <c r="C602" i="7"/>
  <c r="C65" i="7"/>
  <c r="C191" i="7"/>
  <c r="C534" i="7"/>
  <c r="C792" i="7"/>
  <c r="C934" i="7"/>
  <c r="C916" i="7"/>
  <c r="C938" i="7"/>
  <c r="C605" i="7"/>
  <c r="C920" i="7"/>
  <c r="C609" i="7"/>
  <c r="C106" i="7"/>
  <c r="C654" i="7"/>
  <c r="C254" i="7"/>
  <c r="C172" i="7"/>
  <c r="C429" i="7"/>
  <c r="C305" i="7"/>
  <c r="C290" i="7"/>
  <c r="C955" i="7"/>
  <c r="C271" i="7"/>
  <c r="C61" i="7"/>
  <c r="C554" i="7"/>
  <c r="C483" i="7"/>
  <c r="C630" i="7"/>
  <c r="C470" i="7"/>
  <c r="C979" i="7"/>
  <c r="C214" i="7"/>
  <c r="C211" i="7"/>
  <c r="C752" i="7"/>
  <c r="C386" i="7"/>
  <c r="C633" i="7"/>
  <c r="C667" i="7"/>
  <c r="C802" i="7"/>
  <c r="C573" i="7"/>
  <c r="C860" i="7"/>
  <c r="C983" i="7"/>
  <c r="C461" i="7"/>
  <c r="C671" i="7"/>
  <c r="C698" i="7"/>
  <c r="C587" i="7"/>
  <c r="C914" i="7"/>
  <c r="C891" i="7"/>
  <c r="C631" i="7"/>
  <c r="C985" i="7"/>
  <c r="C99" i="7"/>
  <c r="C528" i="7"/>
  <c r="C768" i="7"/>
  <c r="C124" i="7"/>
  <c r="C845" i="7"/>
  <c r="C175" i="7"/>
  <c r="C830" i="7"/>
  <c r="C498" i="7"/>
  <c r="C126" i="7"/>
  <c r="C553" i="7"/>
  <c r="C489" i="7"/>
  <c r="C723" i="7"/>
  <c r="C557" i="7"/>
  <c r="C862" i="7"/>
  <c r="C527" i="7"/>
  <c r="C419" i="7"/>
  <c r="C542" i="7"/>
  <c r="C170" i="7"/>
  <c r="C221" i="7"/>
  <c r="C379" i="7"/>
  <c r="C88" i="7"/>
  <c r="C188" i="7"/>
  <c r="C883" i="7"/>
  <c r="C497" i="7"/>
  <c r="C844" i="7"/>
  <c r="C835" i="7"/>
  <c r="C270" i="7"/>
  <c r="C424" i="7"/>
  <c r="C166" i="7"/>
  <c r="C738" i="7"/>
  <c r="C608" i="7"/>
  <c r="C540" i="7"/>
  <c r="C9" i="7"/>
  <c r="C152" i="7"/>
  <c r="C814" i="7"/>
  <c r="C878" i="7"/>
  <c r="C201" i="7"/>
  <c r="C335" i="7"/>
  <c r="C765" i="7"/>
  <c r="C108" i="7"/>
  <c r="C816" i="7"/>
  <c r="C970" i="7"/>
  <c r="C607" i="7"/>
  <c r="C454" i="7"/>
  <c r="C794" i="7"/>
  <c r="C549" i="7"/>
  <c r="C926" i="7"/>
  <c r="C908" i="7"/>
  <c r="C490" i="7"/>
  <c r="C199" i="7"/>
  <c r="C324" i="7"/>
  <c r="C939" i="7"/>
  <c r="C313" i="7"/>
  <c r="C333" i="7"/>
  <c r="C775" i="7"/>
  <c r="C583" i="7"/>
  <c r="C569" i="7"/>
  <c r="C480" i="7"/>
  <c r="C205" i="7"/>
  <c r="C59" i="7"/>
  <c r="C135" i="7"/>
  <c r="C518" i="7"/>
  <c r="C592" i="7"/>
  <c r="C71" i="7"/>
  <c r="C888" i="7"/>
  <c r="C55" i="7"/>
  <c r="C115" i="7"/>
  <c r="C968" i="7"/>
  <c r="C880" i="7"/>
  <c r="C472" i="7"/>
  <c r="C387" i="7"/>
  <c r="C967" i="7"/>
  <c r="C660" i="7"/>
  <c r="C704" i="7"/>
  <c r="C526" i="7"/>
  <c r="C363" i="7"/>
  <c r="C459" i="7"/>
  <c r="C398" i="7"/>
  <c r="C393" i="7"/>
  <c r="C428" i="7"/>
  <c r="C965" i="7"/>
  <c r="C36" i="7"/>
  <c r="C617" i="7"/>
  <c r="C87" i="7"/>
  <c r="C280" i="7"/>
  <c r="C812" i="7"/>
  <c r="C546" i="7"/>
  <c r="C308" i="7"/>
  <c r="C331" i="7"/>
  <c r="C293" i="7"/>
  <c r="C445" i="7"/>
  <c r="C421" i="7"/>
  <c r="C371" i="7"/>
  <c r="C857" i="7"/>
  <c r="C801" i="7"/>
  <c r="C343" i="7"/>
  <c r="C296" i="7"/>
  <c r="C954" i="7"/>
  <c r="C778" i="7"/>
  <c r="C863" i="7"/>
  <c r="C198" i="7"/>
  <c r="C683" i="7"/>
  <c r="C282" i="7"/>
  <c r="C295" i="7"/>
  <c r="C43" i="7"/>
  <c r="C924" i="7"/>
  <c r="C741" i="7"/>
  <c r="C514" i="7"/>
  <c r="C287" i="7"/>
  <c r="C614" i="7"/>
  <c r="C761" i="7"/>
  <c r="C267" i="7"/>
  <c r="C297" i="7"/>
  <c r="C283" i="7"/>
  <c r="C477" i="7"/>
  <c r="C423" i="7"/>
  <c r="C358" i="7"/>
  <c r="C684" i="7"/>
  <c r="C377" i="7"/>
  <c r="C288" i="7"/>
  <c r="C646" i="7"/>
  <c r="C815" i="7"/>
  <c r="C279" i="7"/>
  <c r="C849" i="7"/>
  <c r="C850" i="7"/>
  <c r="C655" i="7"/>
  <c r="C905" i="7"/>
  <c r="C790" i="7"/>
  <c r="C946" i="7"/>
  <c r="C544" i="7"/>
  <c r="C350" i="7"/>
  <c r="C213" i="7"/>
  <c r="C261" i="7"/>
  <c r="C239" i="7"/>
  <c r="C612" i="7"/>
  <c r="C721" i="7"/>
  <c r="C139" i="7"/>
  <c r="C29" i="7"/>
  <c r="C808" i="7"/>
  <c r="C701" i="7"/>
  <c r="C12" i="7"/>
  <c r="C994" i="7"/>
  <c r="C576" i="7"/>
  <c r="C890" i="7"/>
  <c r="C858" i="7"/>
  <c r="C263" i="7"/>
  <c r="C626" i="7"/>
  <c r="C451" i="7"/>
  <c r="C930" i="7"/>
  <c r="C326" i="7"/>
  <c r="C585" i="7"/>
  <c r="C281" i="7"/>
  <c r="C328" i="7"/>
  <c r="C130" i="7"/>
  <c r="C226" i="7"/>
  <c r="C34" i="7"/>
  <c r="C935" i="7"/>
  <c r="C375" i="7"/>
  <c r="C157" i="7"/>
  <c r="C832" i="7"/>
  <c r="C447" i="7"/>
  <c r="C785" i="7"/>
  <c r="C895" i="7"/>
  <c r="C800" i="7"/>
  <c r="C69" i="7"/>
  <c r="C178" i="7"/>
  <c r="C306" i="7"/>
  <c r="C750" i="7"/>
  <c r="C322" i="7"/>
  <c r="C523" i="7"/>
  <c r="C177" i="7"/>
  <c r="C342" i="7"/>
  <c r="C600" i="7"/>
  <c r="C117" i="7"/>
  <c r="C787" i="7"/>
  <c r="C545" i="7"/>
  <c r="C990" i="7"/>
  <c r="C318" i="7"/>
  <c r="C141" i="7"/>
  <c r="C360" i="7"/>
  <c r="C362" i="7"/>
  <c r="C951" i="7"/>
  <c r="C851" i="7"/>
  <c r="C410" i="7"/>
  <c r="C102" i="7"/>
  <c r="C1001" i="7"/>
  <c r="C405" i="7"/>
  <c r="C365" i="7"/>
  <c r="C770" i="7"/>
  <c r="C33" i="7"/>
  <c r="C639" i="7"/>
  <c r="C144" i="7"/>
  <c r="C658" i="7"/>
  <c r="C155" i="7"/>
  <c r="C933" i="7"/>
  <c r="C519" i="7"/>
  <c r="C586" i="7"/>
  <c r="C977" i="7"/>
  <c r="C709" i="7"/>
  <c r="C670" i="7"/>
  <c r="C628" i="7"/>
  <c r="C392" i="7"/>
  <c r="C425" i="7"/>
  <c r="C493" i="7"/>
  <c r="C238" i="7"/>
  <c r="C688" i="7"/>
  <c r="C349" i="7"/>
  <c r="C836" i="7"/>
  <c r="C329" i="7"/>
  <c r="C912" i="7"/>
  <c r="C949" i="7"/>
  <c r="C687" i="7"/>
  <c r="C584" i="7"/>
  <c r="C798" i="7"/>
  <c r="C292" i="7"/>
  <c r="C570" i="7"/>
  <c r="C779" i="7"/>
  <c r="C31" i="7"/>
  <c r="C86" i="7"/>
  <c r="C975" i="7"/>
  <c r="C695" i="7"/>
  <c r="C400" i="7"/>
  <c r="C138" i="7"/>
  <c r="C416" i="7"/>
  <c r="C57" i="7"/>
  <c r="C604" i="7"/>
  <c r="C325" i="7"/>
  <c r="C194" i="7"/>
  <c r="C980" i="7"/>
  <c r="C762" i="7"/>
  <c r="C479" i="7"/>
  <c r="C897" i="7"/>
  <c r="C616" i="7"/>
  <c r="C487" i="7"/>
  <c r="C76" i="7"/>
  <c r="C799" i="7"/>
  <c r="C190" i="7"/>
  <c r="C759" i="7"/>
  <c r="C786" i="7"/>
  <c r="C383" i="7"/>
  <c r="C10" i="7"/>
  <c r="C580" i="7"/>
  <c r="C559" i="7"/>
  <c r="C232" i="7"/>
  <c r="C589" i="7"/>
  <c r="C598" i="7"/>
  <c r="C494" i="7"/>
  <c r="C950" i="7"/>
  <c r="C875" i="7"/>
  <c r="C548" i="7"/>
  <c r="C399" i="7"/>
  <c r="C595" i="7"/>
  <c r="C694" i="7"/>
  <c r="C488" i="7"/>
  <c r="C397" i="7"/>
  <c r="C121" i="7"/>
  <c r="C96" i="7"/>
  <c r="C264" i="7"/>
  <c r="C52" i="7"/>
  <c r="C196" i="7"/>
  <c r="C986" i="7"/>
  <c r="C243" i="7"/>
  <c r="C408" i="7"/>
  <c r="C555" i="7"/>
  <c r="C771" i="7"/>
  <c r="C574" i="7"/>
  <c r="C224" i="7"/>
  <c r="C101" i="7"/>
  <c r="C769" i="7"/>
  <c r="C218" i="7"/>
  <c r="C496" i="7"/>
  <c r="C871" i="7"/>
  <c r="C755" i="7"/>
  <c r="C516" i="7"/>
  <c r="C439" i="7"/>
  <c r="C682" i="7"/>
  <c r="C78" i="7"/>
  <c r="C128" i="7"/>
  <c r="C674" i="7"/>
  <c r="C6" i="7"/>
  <c r="C255" i="7"/>
  <c r="C531" i="7"/>
  <c r="C711" i="7"/>
  <c r="C21" i="7"/>
  <c r="C746" i="7"/>
  <c r="C953" i="7"/>
  <c r="C114" i="7"/>
  <c r="C438" i="7"/>
  <c r="C718" i="7"/>
  <c r="C94" i="7"/>
  <c r="C680" i="7"/>
  <c r="C24" i="7"/>
  <c r="C336" i="7"/>
  <c r="C5" i="7"/>
  <c r="C302" i="7"/>
  <c r="C820" i="7"/>
  <c r="C673" i="7"/>
  <c r="C1004" i="7"/>
  <c r="C464" i="7"/>
  <c r="C621" i="7"/>
  <c r="C664" i="7"/>
  <c r="C163" i="7"/>
  <c r="C380" i="7"/>
  <c r="O40" i="1"/>
  <c r="I53" i="1"/>
  <c r="I59" i="1" a="1"/>
  <c r="I59" i="1" l="1"/>
  <c r="F11" i="7"/>
  <c r="G11" i="7" s="1"/>
  <c r="I68" i="1" a="1"/>
  <c r="G14" i="7" l="1"/>
  <c r="I68" i="1"/>
  <c r="C77" i="1"/>
  <c r="C63" i="1"/>
  <c r="I51" i="1" l="1"/>
  <c r="C84" i="1"/>
  <c r="C11" i="1" l="1"/>
  <c r="E11" i="1" s="1"/>
  <c r="E12" i="1" a="1"/>
  <c r="C66" i="1"/>
  <c r="I67" i="1" a="1"/>
  <c r="C50" i="1" a="1"/>
  <c r="I67" i="1" l="1"/>
  <c r="E12" i="1"/>
  <c r="C50" i="1"/>
  <c r="I52" i="1" s="1"/>
  <c r="I21" i="1"/>
  <c r="D19" i="1"/>
  <c r="C19" i="1"/>
  <c r="C21" i="1"/>
  <c r="C16" i="1"/>
  <c r="D16" i="1"/>
  <c r="I63" i="1" a="1"/>
  <c r="D5" i="3"/>
  <c r="J5" i="3" a="1"/>
  <c r="C48" i="1" a="1"/>
  <c r="C48" i="1" l="1"/>
  <c r="C12" i="1"/>
  <c r="C51" i="1"/>
  <c r="C49" i="1"/>
  <c r="J5" i="3"/>
  <c r="I63" i="1"/>
  <c r="K5" i="3" a="1"/>
  <c r="E5" i="3" a="1"/>
  <c r="I77" i="1" a="1"/>
  <c r="C81" i="1" a="1"/>
  <c r="K5" i="3" l="1"/>
  <c r="C81" i="1"/>
  <c r="I77" i="1"/>
  <c r="E5" i="3"/>
  <c r="I6" i="3" a="1"/>
  <c r="C6" i="3"/>
  <c r="O42" i="1"/>
  <c r="C89" i="1" a="1"/>
  <c r="O44" i="1" a="1"/>
  <c r="F13" i="7" l="1"/>
  <c r="G13" i="7" s="1"/>
  <c r="C89" i="1"/>
  <c r="O44" i="1"/>
  <c r="I6" i="3"/>
  <c r="L6" i="3" s="1"/>
  <c r="D6" i="3" a="1"/>
  <c r="J6" i="3" a="1"/>
  <c r="O41" i="1" a="1"/>
  <c r="O45" i="1" a="1"/>
  <c r="F15" i="7" l="1"/>
  <c r="G15" i="7" s="1"/>
  <c r="O41" i="1"/>
  <c r="F12" i="7" s="1"/>
  <c r="O45" i="1"/>
  <c r="D6" i="3"/>
  <c r="F6" i="3"/>
  <c r="J6" i="3"/>
  <c r="E6" i="3" a="1"/>
  <c r="K6" i="3" a="1"/>
  <c r="F16" i="7" l="1"/>
  <c r="G16" i="7" s="1"/>
  <c r="G12" i="7"/>
  <c r="E6" i="3"/>
  <c r="K6" i="3"/>
  <c r="I7" i="3" a="1"/>
  <c r="C7" i="3" a="1"/>
  <c r="C7" i="3" l="1"/>
  <c r="I7" i="3"/>
  <c r="J7" i="3" a="1"/>
  <c r="D7" i="3" a="1"/>
  <c r="D7" i="3" l="1"/>
  <c r="F7" i="3"/>
  <c r="J7" i="3"/>
  <c r="L7" i="3"/>
  <c r="K7" i="3" a="1"/>
  <c r="E7" i="3" a="1"/>
  <c r="E7" i="3" l="1"/>
  <c r="K7" i="3"/>
  <c r="C8" i="3" a="1"/>
  <c r="I8" i="3" a="1"/>
  <c r="C8" i="3" l="1"/>
  <c r="I8" i="3"/>
  <c r="D8" i="3" a="1"/>
  <c r="J8" i="3" a="1"/>
  <c r="D8" i="3" l="1"/>
  <c r="F8" i="3"/>
  <c r="J8" i="3"/>
  <c r="L8" i="3"/>
  <c r="E8" i="3" a="1"/>
  <c r="K8" i="3" a="1"/>
  <c r="E8" i="3" l="1"/>
  <c r="K8" i="3"/>
  <c r="C9" i="3" a="1"/>
  <c r="I9" i="3" a="1"/>
  <c r="C9" i="3" l="1"/>
  <c r="I9" i="3"/>
  <c r="J9" i="3" a="1"/>
  <c r="D9" i="3" a="1"/>
  <c r="D9" i="3" l="1"/>
  <c r="J9" i="3"/>
  <c r="L9" i="3"/>
  <c r="F9" i="3"/>
  <c r="E9" i="3" a="1"/>
  <c r="K9" i="3" a="1"/>
  <c r="E9" i="3" l="1"/>
  <c r="K9" i="3"/>
  <c r="I10" i="3" a="1"/>
  <c r="C10" i="3" a="1"/>
  <c r="C10" i="3" l="1"/>
  <c r="I10" i="3"/>
  <c r="J10" i="3" a="1"/>
  <c r="D10" i="3" a="1"/>
  <c r="D10" i="3" l="1"/>
  <c r="F10" i="3"/>
  <c r="J10" i="3"/>
  <c r="L10" i="3"/>
  <c r="E10" i="3" a="1"/>
  <c r="K10" i="3" a="1"/>
  <c r="E10" i="3" l="1"/>
  <c r="K10" i="3"/>
  <c r="C11" i="3" a="1"/>
  <c r="I11" i="3" a="1"/>
  <c r="C11" i="3" l="1"/>
  <c r="I11" i="3"/>
  <c r="J11" i="3" a="1"/>
  <c r="D11" i="3" a="1"/>
  <c r="D11" i="3" l="1"/>
  <c r="F11" i="3"/>
  <c r="J11" i="3"/>
  <c r="L11" i="3"/>
  <c r="E11" i="3" a="1"/>
  <c r="K11" i="3" a="1"/>
  <c r="E11" i="3" l="1"/>
  <c r="K11" i="3"/>
  <c r="C12" i="3" a="1"/>
  <c r="I12" i="3" a="1"/>
  <c r="C12" i="3" l="1"/>
  <c r="I12" i="3"/>
  <c r="D12" i="3" a="1"/>
  <c r="J12" i="3" a="1"/>
  <c r="D12" i="3" l="1"/>
  <c r="F12" i="3"/>
  <c r="J12" i="3"/>
  <c r="L12" i="3"/>
  <c r="K12" i="3" a="1"/>
  <c r="E12" i="3" a="1"/>
  <c r="E12" i="3" l="1"/>
  <c r="K12" i="3"/>
  <c r="C13" i="3" a="1"/>
  <c r="I13" i="3" a="1"/>
  <c r="C13" i="3" l="1"/>
  <c r="I13" i="3"/>
  <c r="J13" i="3" a="1"/>
  <c r="D13" i="3" a="1"/>
  <c r="D13" i="3" l="1"/>
  <c r="F13" i="3"/>
  <c r="J13" i="3"/>
  <c r="L13" i="3"/>
  <c r="K13" i="3" a="1"/>
  <c r="E13" i="3" a="1"/>
  <c r="E13" i="3" l="1"/>
  <c r="K13" i="3"/>
  <c r="I14" i="3" a="1"/>
  <c r="C14" i="3" a="1"/>
  <c r="C14" i="3" l="1"/>
  <c r="F14" i="3" s="1"/>
  <c r="I14" i="3"/>
  <c r="J14" i="3" a="1"/>
  <c r="D14" i="3" a="1"/>
  <c r="D14" i="3" l="1"/>
  <c r="J14" i="3"/>
  <c r="L14" i="3"/>
  <c r="K14" i="3" a="1"/>
  <c r="E14" i="3" a="1"/>
  <c r="E14" i="3" l="1"/>
  <c r="K14" i="3"/>
  <c r="I15" i="3" a="1"/>
  <c r="C15" i="3" a="1"/>
  <c r="C15" i="3" l="1"/>
  <c r="I15" i="3"/>
  <c r="D15" i="3" a="1"/>
  <c r="J15" i="3" a="1"/>
  <c r="D15" i="3" l="1"/>
  <c r="F15" i="3"/>
  <c r="J15" i="3"/>
  <c r="L15" i="3"/>
  <c r="K15" i="3" a="1"/>
  <c r="E15" i="3" a="1"/>
  <c r="E15" i="3" l="1"/>
  <c r="K15" i="3"/>
  <c r="I16" i="3" a="1"/>
  <c r="C16" i="3" a="1"/>
  <c r="C16" i="3" l="1"/>
  <c r="I16" i="3"/>
  <c r="D16" i="3" a="1"/>
  <c r="J16" i="3" a="1"/>
  <c r="D16" i="3" l="1"/>
  <c r="F16" i="3"/>
  <c r="J16" i="3"/>
  <c r="L16" i="3"/>
  <c r="E16" i="3" a="1"/>
  <c r="K16" i="3" a="1"/>
  <c r="E16" i="3" l="1"/>
  <c r="K16" i="3"/>
  <c r="C17" i="3" a="1"/>
  <c r="I17" i="3" a="1"/>
  <c r="C17" i="3" l="1"/>
  <c r="I17" i="3"/>
  <c r="D17" i="3" a="1"/>
  <c r="J17" i="3" a="1"/>
  <c r="D17" i="3" l="1"/>
  <c r="F17" i="3"/>
  <c r="J17" i="3"/>
  <c r="L17" i="3"/>
  <c r="E17" i="3" a="1"/>
  <c r="K17" i="3" a="1"/>
  <c r="E17" i="3" l="1"/>
  <c r="K17" i="3"/>
  <c r="C18" i="3" a="1"/>
  <c r="I18" i="3" a="1"/>
  <c r="C18" i="3" l="1"/>
  <c r="I18" i="3"/>
  <c r="J18" i="3" a="1"/>
  <c r="D18" i="3" a="1"/>
  <c r="D18" i="3" l="1"/>
  <c r="F18" i="3"/>
  <c r="J18" i="3"/>
  <c r="L18" i="3"/>
  <c r="K18" i="3" a="1"/>
  <c r="E18" i="3" a="1"/>
  <c r="E18" i="3" l="1"/>
  <c r="K18" i="3"/>
  <c r="C19" i="3" a="1"/>
  <c r="I19" i="3" a="1"/>
  <c r="C19" i="3" l="1"/>
  <c r="I19" i="3"/>
  <c r="D19" i="3" a="1"/>
  <c r="J19" i="3" a="1"/>
  <c r="D19" i="3" l="1"/>
  <c r="F19" i="3"/>
  <c r="J19" i="3"/>
  <c r="L19" i="3"/>
  <c r="E19" i="3" a="1"/>
  <c r="K19" i="3" a="1"/>
  <c r="E19" i="3" l="1"/>
  <c r="K19" i="3"/>
  <c r="I20" i="3" a="1"/>
  <c r="C20" i="3" a="1"/>
  <c r="C20" i="3" l="1"/>
  <c r="I20" i="3"/>
  <c r="J20" i="3" a="1"/>
  <c r="D20" i="3" a="1"/>
  <c r="D20" i="3" l="1"/>
  <c r="F20" i="3"/>
  <c r="J20" i="3"/>
  <c r="L20" i="3"/>
  <c r="K20" i="3" a="1"/>
  <c r="E20" i="3" a="1"/>
  <c r="E20" i="3" l="1"/>
  <c r="K20" i="3"/>
  <c r="C21" i="3" a="1"/>
  <c r="I21" i="3" a="1"/>
  <c r="C21" i="3" l="1"/>
  <c r="I21" i="3"/>
  <c r="D21" i="3" a="1"/>
  <c r="J21" i="3" a="1"/>
  <c r="D21" i="3" l="1"/>
  <c r="J21" i="3"/>
  <c r="F21" i="3"/>
  <c r="L21" i="3"/>
  <c r="K21" i="3" a="1"/>
  <c r="E21" i="3" a="1"/>
  <c r="E21" i="3" l="1"/>
  <c r="K21" i="3"/>
  <c r="I22" i="3" a="1"/>
  <c r="C22" i="3" a="1"/>
  <c r="C22" i="3" l="1"/>
  <c r="I22" i="3"/>
  <c r="J22" i="3" a="1"/>
  <c r="D22" i="3" a="1"/>
  <c r="D22" i="3" l="1"/>
  <c r="F22" i="3"/>
  <c r="J22" i="3"/>
  <c r="L22" i="3"/>
  <c r="E22" i="3" a="1"/>
  <c r="K22" i="3" a="1"/>
  <c r="E22" i="3" l="1"/>
  <c r="K22" i="3"/>
  <c r="I23" i="3" a="1"/>
  <c r="C23" i="3" a="1"/>
  <c r="C23" i="3" l="1"/>
  <c r="I23" i="3"/>
  <c r="J23" i="3" a="1"/>
  <c r="D23" i="3" a="1"/>
  <c r="D23" i="3" l="1"/>
  <c r="F23" i="3"/>
  <c r="J23" i="3"/>
  <c r="L23" i="3"/>
  <c r="K23" i="3" a="1"/>
  <c r="E23" i="3" a="1"/>
  <c r="E23" i="3" l="1"/>
  <c r="K23" i="3"/>
  <c r="C24" i="3" a="1"/>
  <c r="I24" i="3" a="1"/>
  <c r="C24" i="3" l="1"/>
  <c r="I24" i="3"/>
  <c r="D24" i="3" a="1"/>
  <c r="J24" i="3" a="1"/>
  <c r="D24" i="3" l="1"/>
  <c r="F24" i="3"/>
  <c r="J24" i="3"/>
  <c r="L24" i="3"/>
  <c r="K24" i="3" a="1"/>
  <c r="E24" i="3" a="1"/>
  <c r="E24" i="3" l="1"/>
  <c r="K24" i="3"/>
  <c r="I25" i="3" a="1"/>
  <c r="C25" i="3" a="1"/>
  <c r="C25" i="3" l="1"/>
  <c r="I25" i="3"/>
  <c r="D25" i="3" a="1"/>
  <c r="J25" i="3" a="1"/>
  <c r="D25" i="3" l="1"/>
  <c r="F25" i="3"/>
  <c r="J25" i="3"/>
  <c r="L25" i="3"/>
  <c r="E25" i="3" a="1"/>
  <c r="K25" i="3" a="1"/>
  <c r="E25" i="3" l="1"/>
  <c r="K25" i="3"/>
  <c r="I26" i="3" a="1"/>
  <c r="C26" i="3" a="1"/>
  <c r="C26" i="3" l="1"/>
  <c r="I26" i="3"/>
  <c r="J26" i="3" a="1"/>
  <c r="D26" i="3" a="1"/>
  <c r="D26" i="3" l="1"/>
  <c r="D28" i="1" s="1"/>
  <c r="F26" i="3"/>
  <c r="J26" i="3"/>
  <c r="L26" i="3"/>
  <c r="E26" i="3" a="1"/>
  <c r="K26" i="3" a="1"/>
  <c r="E26" i="3" l="1"/>
  <c r="K26" i="3"/>
  <c r="I27" i="3" a="1"/>
  <c r="C27" i="3" a="1"/>
  <c r="C27" i="3" l="1"/>
  <c r="I27" i="3"/>
  <c r="D27" i="3" a="1"/>
  <c r="J27" i="3" a="1"/>
  <c r="D27" i="3" l="1"/>
  <c r="F27" i="3"/>
  <c r="J27" i="3"/>
  <c r="L27" i="3"/>
  <c r="K27" i="3" a="1"/>
  <c r="E27" i="3" a="1"/>
  <c r="E27" i="3" l="1"/>
  <c r="K27" i="3"/>
  <c r="C28" i="3" a="1"/>
  <c r="I28" i="3" a="1"/>
  <c r="C28" i="3" l="1"/>
  <c r="I28" i="3"/>
  <c r="D28" i="3" a="1"/>
  <c r="J28" i="3" a="1"/>
  <c r="D28" i="3" l="1"/>
  <c r="F28" i="3"/>
  <c r="J28" i="3"/>
  <c r="L28" i="3"/>
  <c r="E28" i="3" a="1"/>
  <c r="K28" i="3" a="1"/>
  <c r="E28" i="3" l="1"/>
  <c r="K28" i="3"/>
  <c r="C29" i="3" a="1"/>
  <c r="I29" i="3" a="1"/>
  <c r="C29" i="3" l="1"/>
  <c r="I29" i="3"/>
  <c r="J29" i="3" a="1"/>
  <c r="D29" i="3" a="1"/>
  <c r="D29" i="3" l="1"/>
  <c r="F29" i="3"/>
  <c r="J29" i="3"/>
  <c r="L29" i="3"/>
  <c r="K29" i="3" a="1"/>
  <c r="E29" i="3" a="1"/>
  <c r="E29" i="3" l="1"/>
  <c r="K29" i="3"/>
  <c r="C30" i="3" a="1"/>
  <c r="I30" i="3" a="1"/>
  <c r="C30" i="3" l="1"/>
  <c r="I30" i="3"/>
  <c r="J30" i="3" a="1"/>
  <c r="D30" i="3" a="1"/>
  <c r="D30" i="3" l="1"/>
  <c r="F30" i="3"/>
  <c r="J30" i="3"/>
  <c r="L30" i="3"/>
  <c r="E30" i="3" a="1"/>
  <c r="K30" i="3" a="1"/>
  <c r="E30" i="3" l="1"/>
  <c r="K30" i="3"/>
  <c r="C31" i="3" a="1"/>
  <c r="I31" i="3" a="1"/>
  <c r="C31" i="3" l="1"/>
  <c r="I31" i="3"/>
  <c r="D31" i="3" a="1"/>
  <c r="J31" i="3" a="1"/>
  <c r="D31" i="3" l="1"/>
  <c r="F31" i="3"/>
  <c r="J31" i="3"/>
  <c r="L31" i="3"/>
  <c r="E31" i="3" a="1"/>
  <c r="K31" i="3" a="1"/>
  <c r="E31" i="3" l="1"/>
  <c r="K31" i="3"/>
  <c r="C32" i="3" a="1"/>
  <c r="I32" i="3" a="1"/>
  <c r="C32" i="3" l="1"/>
  <c r="I32" i="3"/>
  <c r="L32" i="3" s="1"/>
  <c r="J32" i="3" a="1"/>
  <c r="D32" i="3" a="1"/>
  <c r="D32" i="3" l="1"/>
  <c r="F32" i="3"/>
  <c r="J32" i="3"/>
  <c r="C28" i="1" s="1"/>
  <c r="E32" i="3" a="1"/>
  <c r="K32" i="3" a="1"/>
  <c r="E32" i="3" l="1"/>
  <c r="K32" i="3"/>
  <c r="E7" i="7" l="1" a="1"/>
  <c r="E7" i="7" s="1"/>
  <c r="H13" i="7" l="1"/>
  <c r="I13" i="7" s="1"/>
  <c r="I42" i="1" s="1"/>
  <c r="C41" i="1" s="1"/>
  <c r="E41" i="1" s="1"/>
  <c r="H14" i="7"/>
  <c r="I14" i="7" s="1"/>
  <c r="H12" i="7"/>
  <c r="I12" i="7" s="1"/>
  <c r="I40" i="1" s="1"/>
  <c r="H15" i="7"/>
  <c r="I15" i="7" s="1"/>
  <c r="I44" i="1" s="1"/>
  <c r="C43" i="1" s="1"/>
  <c r="H11" i="7"/>
  <c r="I11" i="7" s="1"/>
  <c r="H16" i="7"/>
  <c r="I16" i="7" s="1"/>
  <c r="I46" i="1" s="1"/>
  <c r="C61" i="1" a="1"/>
  <c r="O52" i="1" a="1"/>
  <c r="I61" i="1"/>
  <c r="I62" i="1" s="1"/>
  <c r="O51" i="1" a="1"/>
  <c r="I72" i="1"/>
  <c r="I73" i="1"/>
  <c r="C58" i="1" a="1"/>
  <c r="O52" i="1" l="1"/>
  <c r="C58" i="1"/>
  <c r="C61" i="1"/>
  <c r="O51" i="1"/>
  <c r="E43" i="1"/>
  <c r="I47" i="1"/>
  <c r="C44" i="1" s="1"/>
  <c r="C75" i="1" s="1"/>
  <c r="I41" i="1"/>
  <c r="C40" i="1" s="1"/>
  <c r="E40" i="1" s="1"/>
  <c r="C47" i="1"/>
  <c r="C67" i="1"/>
  <c r="E44" i="1" l="1"/>
  <c r="C7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<sst xmlns="http://schemas.openxmlformats.org/spreadsheetml/2006/main" count="343" uniqueCount="242">
  <si>
    <t>Input</t>
  </si>
  <si>
    <t>Physical Constants and Fixed Variables</t>
  </si>
  <si>
    <t>m</t>
  </si>
  <si>
    <t>m3/s</t>
  </si>
  <si>
    <t>degrees</t>
  </si>
  <si>
    <t>Pa s</t>
  </si>
  <si>
    <t>kg/m3</t>
  </si>
  <si>
    <t>Calculated</t>
  </si>
  <si>
    <t>K</t>
  </si>
  <si>
    <t>$/kg</t>
  </si>
  <si>
    <t>Pa</t>
  </si>
  <si>
    <t>sec</t>
  </si>
  <si>
    <t>m/s2</t>
  </si>
  <si>
    <t>bar</t>
  </si>
  <si>
    <t>Initial Guesses</t>
  </si>
  <si>
    <t>Di</t>
  </si>
  <si>
    <t>Guesses/To change</t>
  </si>
  <si>
    <t>i</t>
  </si>
  <si>
    <t>Oil in gas</t>
  </si>
  <si>
    <t>Cd_i</t>
  </si>
  <si>
    <t>N_re_i</t>
  </si>
  <si>
    <t>Conv. Check</t>
  </si>
  <si>
    <t>Gas in oil</t>
  </si>
  <si>
    <t>m/s</t>
  </si>
  <si>
    <t>Height</t>
  </si>
  <si>
    <t>Area</t>
  </si>
  <si>
    <t>m2</t>
  </si>
  <si>
    <t>Gas Capacity</t>
  </si>
  <si>
    <t>Oil Capacity</t>
  </si>
  <si>
    <t>Re-Entrainment</t>
  </si>
  <si>
    <t>Oil Out Gas Outlet</t>
  </si>
  <si>
    <t>Gas Out Oil Outlet</t>
  </si>
  <si>
    <t>Max Separator Length</t>
  </si>
  <si>
    <t>Max Separator Diameter</t>
  </si>
  <si>
    <t>u_og_i</t>
  </si>
  <si>
    <t>a</t>
  </si>
  <si>
    <t>b</t>
  </si>
  <si>
    <t>Cost</t>
  </si>
  <si>
    <t>Mean Separator Diameter</t>
  </si>
  <si>
    <t>Dm</t>
  </si>
  <si>
    <t>$</t>
  </si>
  <si>
    <t>-</t>
  </si>
  <si>
    <t>From another cell</t>
  </si>
  <si>
    <t>u_go_i</t>
  </si>
  <si>
    <t xml:space="preserve">Le_g </t>
  </si>
  <si>
    <t xml:space="preserve">Le_o </t>
  </si>
  <si>
    <t xml:space="preserve">Le </t>
  </si>
  <si>
    <t xml:space="preserve">u_r_act </t>
  </si>
  <si>
    <t xml:space="preserve">u_r_max </t>
  </si>
  <si>
    <t xml:space="preserve">hvdi-h_HHLL </t>
  </si>
  <si>
    <t xml:space="preserve">h_LLLL-h_WH </t>
  </si>
  <si>
    <t xml:space="preserve">L_max </t>
  </si>
  <si>
    <t xml:space="preserve">L_sep </t>
  </si>
  <si>
    <t xml:space="preserve">D_max </t>
  </si>
  <si>
    <t xml:space="preserve">D_sep </t>
  </si>
  <si>
    <t xml:space="preserve">Δhs </t>
  </si>
  <si>
    <t xml:space="preserve">E </t>
  </si>
  <si>
    <t xml:space="preserve">Fa </t>
  </si>
  <si>
    <t xml:space="preserve">Fc </t>
  </si>
  <si>
    <t xml:space="preserve">Fh </t>
  </si>
  <si>
    <t xml:space="preserve">g </t>
  </si>
  <si>
    <t xml:space="preserve">tc </t>
  </si>
  <si>
    <t xml:space="preserve">σ </t>
  </si>
  <si>
    <t xml:space="preserve">ρs </t>
  </si>
  <si>
    <t xml:space="preserve">Δh_NOR </t>
  </si>
  <si>
    <t xml:space="preserve">Δt_NOR </t>
  </si>
  <si>
    <t xml:space="preserve">h_HLL </t>
  </si>
  <si>
    <t xml:space="preserve">h_HHLL </t>
  </si>
  <si>
    <t xml:space="preserve">h_LLL </t>
  </si>
  <si>
    <t xml:space="preserve">Lb1 </t>
  </si>
  <si>
    <t xml:space="preserve">Lb2 </t>
  </si>
  <si>
    <t xml:space="preserve">uo </t>
  </si>
  <si>
    <t xml:space="preserve">D_H </t>
  </si>
  <si>
    <t xml:space="preserve">N_ref </t>
  </si>
  <si>
    <t xml:space="preserve">N_my </t>
  </si>
  <si>
    <t xml:space="preserve">A_HLL </t>
  </si>
  <si>
    <t xml:space="preserve">A_NLL </t>
  </si>
  <si>
    <t xml:space="preserve">A_HHLL </t>
  </si>
  <si>
    <t xml:space="preserve">A_LLL </t>
  </si>
  <si>
    <t xml:space="preserve">A_LLLL </t>
  </si>
  <si>
    <t xml:space="preserve">A_TV </t>
  </si>
  <si>
    <t xml:space="preserve">Di </t>
  </si>
  <si>
    <t xml:space="preserve">h_NLL </t>
  </si>
  <si>
    <t>y=ax^3-bx^2+cx+d</t>
  </si>
  <si>
    <t>c</t>
  </si>
  <si>
    <t>d</t>
  </si>
  <si>
    <t>h_LLLL</t>
  </si>
  <si>
    <t>y = height</t>
  </si>
  <si>
    <t>x = area</t>
  </si>
  <si>
    <t>LvxLvz</t>
  </si>
  <si>
    <t>Lvx</t>
  </si>
  <si>
    <t>h_NLL</t>
  </si>
  <si>
    <t>h_WH</t>
  </si>
  <si>
    <t>Lb</t>
  </si>
  <si>
    <t>Lh</t>
  </si>
  <si>
    <t>Ln</t>
  </si>
  <si>
    <t>Lvz</t>
  </si>
  <si>
    <t>tcs</t>
  </si>
  <si>
    <t>t_r,g</t>
  </si>
  <si>
    <t>t_r,o</t>
  </si>
  <si>
    <t>t_og</t>
  </si>
  <si>
    <t>t_go</t>
  </si>
  <si>
    <t>ug</t>
  </si>
  <si>
    <t>s</t>
  </si>
  <si>
    <t>Residence Time</t>
  </si>
  <si>
    <t>Settling Time</t>
  </si>
  <si>
    <t>Ln1</t>
  </si>
  <si>
    <t>Ln2</t>
  </si>
  <si>
    <t>Ln3</t>
  </si>
  <si>
    <t>Fluid</t>
  </si>
  <si>
    <t>Gas</t>
  </si>
  <si>
    <t>Oil</t>
  </si>
  <si>
    <t>Droplet/Bubble size</t>
  </si>
  <si>
    <t>Flow Rate</t>
  </si>
  <si>
    <t>Density</t>
  </si>
  <si>
    <t>Viscosity</t>
  </si>
  <si>
    <t>Pitch degree</t>
  </si>
  <si>
    <t>kg/m2</t>
  </si>
  <si>
    <t>Fluid Properties</t>
  </si>
  <si>
    <t>Surface tension oil and gas</t>
  </si>
  <si>
    <t>Settling velocity</t>
  </si>
  <si>
    <t>Nozzle Diameter</t>
  </si>
  <si>
    <t>Water</t>
  </si>
  <si>
    <t>Design Pressure</t>
  </si>
  <si>
    <t>Vane demister inlet</t>
  </si>
  <si>
    <t>Vane demister outlet</t>
  </si>
  <si>
    <t>Weir</t>
  </si>
  <si>
    <t>Vane demister mounting point</t>
  </si>
  <si>
    <t>Length</t>
  </si>
  <si>
    <t>Cyclone section</t>
  </si>
  <si>
    <t>Head section</t>
  </si>
  <si>
    <t>Liquid Level Height</t>
  </si>
  <si>
    <t>High high</t>
  </si>
  <si>
    <t>High</t>
  </si>
  <si>
    <t>Low</t>
  </si>
  <si>
    <t>Low Low</t>
  </si>
  <si>
    <t>Interbaffle distance</t>
  </si>
  <si>
    <t xml:space="preserve">Normal </t>
  </si>
  <si>
    <t>High high area</t>
  </si>
  <si>
    <t>High high alarm</t>
  </si>
  <si>
    <t>High area</t>
  </si>
  <si>
    <t>High alarm</t>
  </si>
  <si>
    <t>Low area</t>
  </si>
  <si>
    <t>Low alarm</t>
  </si>
  <si>
    <t>Low low area</t>
  </si>
  <si>
    <t>Low low alarm</t>
  </si>
  <si>
    <t>h_HLL_area</t>
  </si>
  <si>
    <t>h_HHLL_area</t>
  </si>
  <si>
    <t>h_HHLL_alarm</t>
  </si>
  <si>
    <t>h_HLL_alarm</t>
  </si>
  <si>
    <t>h_LLL_area</t>
  </si>
  <si>
    <t>h_LLL_alarm</t>
  </si>
  <si>
    <t>h_LLLL_area</t>
  </si>
  <si>
    <t>h_LLLL_alarm</t>
  </si>
  <si>
    <t>Alarm and Area Level Height</t>
  </si>
  <si>
    <t>Gas nozzle</t>
  </si>
  <si>
    <t>Vane demister</t>
  </si>
  <si>
    <t>Liquid outlets</t>
  </si>
  <si>
    <t>Top of Separator</t>
  </si>
  <si>
    <t>p_D</t>
  </si>
  <si>
    <t>Operating pressure</t>
  </si>
  <si>
    <t xml:space="preserve">Operating temperature </t>
  </si>
  <si>
    <t>T</t>
  </si>
  <si>
    <t>p</t>
  </si>
  <si>
    <t>q</t>
  </si>
  <si>
    <t>ugo/uog</t>
  </si>
  <si>
    <t>Joint efficiency</t>
  </si>
  <si>
    <t>Surface area of vessel head factor</t>
  </si>
  <si>
    <t>Cost factor</t>
  </si>
  <si>
    <t>Cost per unit mass ratio</t>
  </si>
  <si>
    <t>Gravitational acceleration</t>
  </si>
  <si>
    <t>Corrosion allowance</t>
  </si>
  <si>
    <t>Tensile strength</t>
  </si>
  <si>
    <t>Density steel</t>
  </si>
  <si>
    <t>Safety margin height</t>
  </si>
  <si>
    <t>Height and time variables</t>
  </si>
  <si>
    <t>Oil droplet size, d_o</t>
  </si>
  <si>
    <t>Gas bubble size, d_g</t>
  </si>
  <si>
    <t>Gas density, rho_g</t>
  </si>
  <si>
    <t>Oil density, rho_o</t>
  </si>
  <si>
    <t>Oil viscosity, mu_o</t>
  </si>
  <si>
    <t>Wall thickness cylindrical section</t>
  </si>
  <si>
    <t>End section</t>
  </si>
  <si>
    <t>Width of vane demister</t>
  </si>
  <si>
    <t>Length of vane demister</t>
  </si>
  <si>
    <t>Length end section components</t>
  </si>
  <si>
    <t>ρ</t>
  </si>
  <si>
    <t>μ</t>
  </si>
  <si>
    <t>σ_og</t>
  </si>
  <si>
    <t>α</t>
  </si>
  <si>
    <t>h_vdi</t>
  </si>
  <si>
    <t>h_vdo</t>
  </si>
  <si>
    <t>h_vdm</t>
  </si>
  <si>
    <t>Lc</t>
  </si>
  <si>
    <t>L_WH</t>
  </si>
  <si>
    <t>Vane demister length*width</t>
  </si>
  <si>
    <t>Relative velocity calculations</t>
  </si>
  <si>
    <t>Length required for gas capacity</t>
  </si>
  <si>
    <t>Length required for oil capacity</t>
  </si>
  <si>
    <t>Length of gravity separation section</t>
  </si>
  <si>
    <t>Actual relative velocity gas and oil phase</t>
  </si>
  <si>
    <t>Maximum relative velocity gas and oil phase</t>
  </si>
  <si>
    <t>Height difference limit to avoid oil out gas outlet</t>
  </si>
  <si>
    <t>Height difference limit to avoid gas out oil outlet</t>
  </si>
  <si>
    <t>Maximum length separator</t>
  </si>
  <si>
    <t>Length separator</t>
  </si>
  <si>
    <t>Maximum diameter separator</t>
  </si>
  <si>
    <t>Separator diameter</t>
  </si>
  <si>
    <t>Height interval NORSOK standard</t>
  </si>
  <si>
    <t>Time interval NORSOK standard</t>
  </si>
  <si>
    <t>Separator manufactoring cost</t>
  </si>
  <si>
    <t>C</t>
  </si>
  <si>
    <t>d_n</t>
  </si>
  <si>
    <t>End Section Height</t>
  </si>
  <si>
    <t>Separator Components Length</t>
  </si>
  <si>
    <t>Oil velocity horizontally</t>
  </si>
  <si>
    <t>Gas velocity horizontally</t>
  </si>
  <si>
    <t>Hydraulic diameter</t>
  </si>
  <si>
    <t>Interfacial viscosity number</t>
  </si>
  <si>
    <t>Reynolds film number</t>
  </si>
  <si>
    <t>High - Normal</t>
  </si>
  <si>
    <t>Normal - Low</t>
  </si>
  <si>
    <t>Residence time oil</t>
  </si>
  <si>
    <t>Residence time gas</t>
  </si>
  <si>
    <t>Settling time gas in oil</t>
  </si>
  <si>
    <t>Settling time oil in gas</t>
  </si>
  <si>
    <t>Pressure and Temperature</t>
  </si>
  <si>
    <t>Input and Initial Calculations</t>
  </si>
  <si>
    <t>Ad</t>
  </si>
  <si>
    <t>TV</t>
  </si>
  <si>
    <t>HHLL</t>
  </si>
  <si>
    <t>HLL</t>
  </si>
  <si>
    <t xml:space="preserve">NLL </t>
  </si>
  <si>
    <t>LLL</t>
  </si>
  <si>
    <t>LLLL</t>
  </si>
  <si>
    <t>Inner separator diameter</t>
  </si>
  <si>
    <t>Height normal liquid level</t>
  </si>
  <si>
    <t>Length gravity separation section</t>
  </si>
  <si>
    <t>Constraints and Solution</t>
  </si>
  <si>
    <t>Design Variables</t>
  </si>
  <si>
    <t>Gas viscosity, mu_g</t>
  </si>
  <si>
    <t>Optimized Design of Gas-Oil Separators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</si>
</sst>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"/>
    <numFmt numFmtId="166" formatCode="0.0000"/>
    <numFmt numFmtId="167" formatCode="0.000000"/>
    <numFmt numFmtId="168" formatCode="0.00000000000000"/>
    <numFmt numFmtId="169" formatCode="0.00000000"/>
  </numFmts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6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1"/>
      <color rgb="FF7030A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11" fontId="2" fillId="3" borderId="0" xfId="0" applyNumberFormat="1" applyFont="1" applyFill="1"/>
    <xf numFmtId="0" fontId="2" fillId="3" borderId="0" xfId="0" applyFont="1" applyFill="1"/>
    <xf numFmtId="0" fontId="4" fillId="3" borderId="0" xfId="0" applyFont="1" applyFill="1"/>
    <xf numFmtId="0" fontId="4" fillId="2" borderId="0" xfId="0" applyFont="1" applyFill="1"/>
    <xf numFmtId="0" fontId="5" fillId="3" borderId="0" xfId="0" applyFont="1" applyFill="1" applyAlignment="1">
      <alignment horizontal="center"/>
    </xf>
    <xf numFmtId="11" fontId="2" fillId="3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right"/>
    </xf>
    <xf numFmtId="16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0" fillId="2" borderId="0" xfId="0" applyFill="1" applyAlignment="1">
      <alignment horizontal="left"/>
    </xf>
    <xf numFmtId="2" fontId="5" fillId="3" borderId="0" xfId="0" applyNumberFormat="1" applyFont="1" applyFill="1"/>
    <xf numFmtId="0" fontId="9" fillId="2" borderId="0" xfId="0" applyFont="1" applyFill="1" applyBorder="1" applyAlignment="1">
      <alignment horizontal="center"/>
    </xf>
    <xf numFmtId="0" fontId="0" fillId="3" borderId="0" xfId="0" applyFill="1" applyAlignment="1">
      <alignment horizontal="right"/>
    </xf>
    <xf numFmtId="164" fontId="2" fillId="3" borderId="0" xfId="0" applyNumberFormat="1" applyFont="1" applyFill="1" applyAlignment="1">
      <alignment horizontal="center"/>
    </xf>
    <xf numFmtId="0" fontId="5" fillId="2" borderId="0" xfId="0" applyFont="1" applyFill="1"/>
    <xf numFmtId="164" fontId="8" fillId="3" borderId="0" xfId="0" applyNumberFormat="1" applyFont="1" applyFill="1" applyAlignment="1">
      <alignment horizontal="center"/>
    </xf>
    <xf numFmtId="11" fontId="14" fillId="3" borderId="0" xfId="0" applyNumberFormat="1" applyFont="1" applyFill="1" applyAlignment="1">
      <alignment horizontal="center"/>
    </xf>
    <xf numFmtId="0" fontId="0" fillId="3" borderId="0" xfId="0" applyFill="1" applyAlignment="1">
      <alignment horizontal="left"/>
    </xf>
    <xf numFmtId="2" fontId="2" fillId="3" borderId="0" xfId="0" applyNumberFormat="1" applyFont="1" applyFill="1"/>
    <xf numFmtId="165" fontId="2" fillId="3" borderId="0" xfId="0" applyNumberFormat="1" applyFont="1" applyFill="1"/>
    <xf numFmtId="2" fontId="0" fillId="2" borderId="0" xfId="0" applyNumberFormat="1" applyFill="1"/>
    <xf numFmtId="165" fontId="4" fillId="3" borderId="0" xfId="0" applyNumberFormat="1" applyFont="1" applyFill="1"/>
    <xf numFmtId="2" fontId="4" fillId="3" borderId="0" xfId="0" applyNumberFormat="1" applyFont="1" applyFill="1"/>
    <xf numFmtId="11" fontId="4" fillId="3" borderId="0" xfId="0" applyNumberFormat="1" applyFont="1" applyFill="1"/>
    <xf numFmtId="164" fontId="4" fillId="3" borderId="0" xfId="0" applyNumberFormat="1" applyFont="1" applyFill="1" applyAlignment="1">
      <alignment horizontal="right"/>
    </xf>
    <xf numFmtId="164" fontId="5" fillId="3" borderId="0" xfId="0" applyNumberFormat="1" applyFont="1" applyFill="1" applyAlignment="1">
      <alignment horizontal="left"/>
    </xf>
    <xf numFmtId="0" fontId="4" fillId="3" borderId="0" xfId="0" applyFont="1" applyFill="1" applyAlignment="1">
      <alignment horizontal="right"/>
    </xf>
    <xf numFmtId="0" fontId="5" fillId="3" borderId="0" xfId="0" applyFont="1" applyFill="1" applyAlignment="1">
      <alignment horizontal="left"/>
    </xf>
    <xf numFmtId="167" fontId="4" fillId="3" borderId="0" xfId="0" applyNumberFormat="1" applyFont="1" applyFill="1" applyAlignment="1">
      <alignment horizontal="right"/>
    </xf>
    <xf numFmtId="167" fontId="5" fillId="3" borderId="0" xfId="0" applyNumberFormat="1" applyFont="1" applyFill="1" applyAlignment="1">
      <alignment horizontal="left"/>
    </xf>
    <xf numFmtId="2" fontId="5" fillId="3" borderId="0" xfId="0" applyNumberFormat="1" applyFont="1" applyFill="1" applyAlignment="1">
      <alignment horizontal="left"/>
    </xf>
    <xf numFmtId="0" fontId="0" fillId="2" borderId="0" xfId="0" quotePrefix="1" applyFill="1" applyAlignment="1">
      <alignment horizontal="right"/>
    </xf>
    <xf numFmtId="166" fontId="0" fillId="2" borderId="0" xfId="0" applyNumberFormat="1" applyFill="1"/>
    <xf numFmtId="0" fontId="0" fillId="2" borderId="0" xfId="0" applyFill="1" applyAlignment="1">
      <alignment horizontal="center"/>
    </xf>
    <xf numFmtId="0" fontId="0" fillId="2" borderId="0" xfId="0" applyFill="1" applyBorder="1" applyAlignment="1">
      <alignment horizontal="right"/>
    </xf>
    <xf numFmtId="0" fontId="0" fillId="2" borderId="0" xfId="0" applyFill="1" applyBorder="1"/>
    <xf numFmtId="0" fontId="0" fillId="6" borderId="0" xfId="0" applyFill="1"/>
    <xf numFmtId="11" fontId="1" fillId="7" borderId="0" xfId="0" applyNumberFormat="1" applyFont="1" applyFill="1"/>
    <xf numFmtId="0" fontId="0" fillId="7" borderId="0" xfId="0" applyFill="1"/>
    <xf numFmtId="0" fontId="1" fillId="7" borderId="0" xfId="0" applyFont="1" applyFill="1"/>
    <xf numFmtId="2" fontId="2" fillId="7" borderId="0" xfId="0" applyNumberFormat="1" applyFont="1" applyFill="1"/>
    <xf numFmtId="0" fontId="0" fillId="6" borderId="0" xfId="0" applyFill="1" applyAlignment="1">
      <alignment horizontal="center"/>
    </xf>
    <xf numFmtId="11" fontId="1" fillId="7" borderId="0" xfId="0" applyNumberFormat="1" applyFont="1" applyFill="1" applyAlignment="1">
      <alignment horizontal="center"/>
    </xf>
    <xf numFmtId="0" fontId="1" fillId="7" borderId="0" xfId="0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2" fillId="7" borderId="0" xfId="0" applyFont="1" applyFill="1"/>
    <xf numFmtId="164" fontId="2" fillId="7" borderId="0" xfId="0" applyNumberFormat="1" applyFont="1" applyFill="1"/>
    <xf numFmtId="166" fontId="1" fillId="7" borderId="0" xfId="0" applyNumberFormat="1" applyFont="1" applyFill="1"/>
    <xf numFmtId="166" fontId="2" fillId="7" borderId="0" xfId="0" applyNumberFormat="1" applyFont="1" applyFill="1"/>
    <xf numFmtId="0" fontId="0" fillId="7" borderId="0" xfId="0" applyFill="1" applyAlignment="1">
      <alignment horizontal="left"/>
    </xf>
    <xf numFmtId="164" fontId="4" fillId="7" borderId="0" xfId="0" applyNumberFormat="1" applyFont="1" applyFill="1"/>
    <xf numFmtId="2" fontId="4" fillId="7" borderId="0" xfId="0" applyNumberFormat="1" applyFont="1" applyFill="1"/>
    <xf numFmtId="2" fontId="1" fillId="7" borderId="0" xfId="0" applyNumberFormat="1" applyFont="1" applyFill="1"/>
    <xf numFmtId="11" fontId="2" fillId="7" borderId="0" xfId="0" applyNumberFormat="1" applyFont="1" applyFill="1"/>
    <xf numFmtId="169" fontId="2" fillId="7" borderId="0" xfId="0" applyNumberFormat="1" applyFont="1" applyFill="1"/>
    <xf numFmtId="2" fontId="0" fillId="2" borderId="0" xfId="0" quotePrefix="1" applyNumberFormat="1" applyFill="1" applyAlignment="1">
      <alignment horizontal="right"/>
    </xf>
    <xf numFmtId="0" fontId="0" fillId="6" borderId="0" xfId="0" applyFont="1" applyFill="1" applyBorder="1" applyAlignment="1">
      <alignment horizontal="left"/>
    </xf>
    <xf numFmtId="164" fontId="4" fillId="7" borderId="0" xfId="0" applyNumberFormat="1" applyFont="1" applyFill="1" applyAlignment="1">
      <alignment horizontal="center"/>
    </xf>
    <xf numFmtId="0" fontId="0" fillId="2" borderId="0" xfId="0" applyFill="1" applyBorder="1" applyAlignment="1"/>
    <xf numFmtId="164" fontId="2" fillId="2" borderId="0" xfId="0" applyNumberFormat="1" applyFont="1" applyFill="1" applyBorder="1"/>
    <xf numFmtId="164" fontId="0" fillId="2" borderId="0" xfId="0" applyNumberFormat="1" applyFill="1"/>
    <xf numFmtId="0" fontId="0" fillId="2" borderId="0" xfId="0" applyFill="1" applyAlignment="1"/>
    <xf numFmtId="0" fontId="0" fillId="6" borderId="1" xfId="0" applyFill="1" applyBorder="1"/>
    <xf numFmtId="164" fontId="2" fillId="7" borderId="1" xfId="0" applyNumberFormat="1" applyFont="1" applyFill="1" applyBorder="1"/>
    <xf numFmtId="0" fontId="0" fillId="7" borderId="1" xfId="0" applyFill="1" applyBorder="1" applyAlignment="1">
      <alignment horizontal="left"/>
    </xf>
    <xf numFmtId="164" fontId="0" fillId="2" borderId="0" xfId="0" applyNumberFormat="1" applyFill="1" applyBorder="1"/>
    <xf numFmtId="0" fontId="0" fillId="2" borderId="0" xfId="0" applyFill="1" applyBorder="1" applyAlignment="1">
      <alignment horizontal="left"/>
    </xf>
    <xf numFmtId="164" fontId="2" fillId="7" borderId="0" xfId="0" applyNumberFormat="1" applyFont="1" applyFill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0" xfId="0" applyFont="1" applyFill="1" applyAlignment="1">
      <alignment horizontal="center"/>
    </xf>
    <xf numFmtId="2" fontId="1" fillId="7" borderId="0" xfId="0" applyNumberFormat="1" applyFont="1" applyFill="1" applyAlignment="1">
      <alignment horizontal="center"/>
    </xf>
    <xf numFmtId="2" fontId="2" fillId="7" borderId="0" xfId="0" applyNumberFormat="1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1" fontId="2" fillId="7" borderId="0" xfId="0" applyNumberFormat="1" applyFont="1" applyFill="1" applyAlignment="1">
      <alignment horizontal="center"/>
    </xf>
    <xf numFmtId="0" fontId="4" fillId="7" borderId="0" xfId="0" applyFont="1" applyFill="1"/>
    <xf numFmtId="0" fontId="5" fillId="6" borderId="0" xfId="0" applyFont="1" applyFill="1"/>
    <xf numFmtId="0" fontId="7" fillId="8" borderId="0" xfId="0" applyFont="1" applyFill="1"/>
    <xf numFmtId="0" fontId="7" fillId="5" borderId="0" xfId="0" applyFont="1" applyFill="1"/>
    <xf numFmtId="0" fontId="0" fillId="6" borderId="0" xfId="0" applyFont="1" applyFill="1"/>
    <xf numFmtId="0" fontId="0" fillId="6" borderId="0" xfId="0" applyFont="1" applyFill="1" applyAlignment="1">
      <alignment horizontal="right"/>
    </xf>
    <xf numFmtId="164" fontId="15" fillId="5" borderId="0" xfId="0" applyNumberFormat="1" applyFont="1" applyFill="1"/>
    <xf numFmtId="2" fontId="15" fillId="5" borderId="0" xfId="0" applyNumberFormat="1" applyFont="1" applyFill="1"/>
    <xf numFmtId="0" fontId="7" fillId="4" borderId="0" xfId="0" applyFont="1" applyFill="1"/>
    <xf numFmtId="164" fontId="1" fillId="7" borderId="0" xfId="0" applyNumberFormat="1" applyFont="1" applyFill="1"/>
    <xf numFmtId="0" fontId="0" fillId="3" borderId="0" xfId="0" applyFill="1" applyBorder="1"/>
    <xf numFmtId="0" fontId="6" fillId="3" borderId="0" xfId="0" applyFont="1" applyFill="1" applyBorder="1"/>
    <xf numFmtId="2" fontId="6" fillId="3" borderId="0" xfId="0" applyNumberFormat="1" applyFont="1" applyFill="1" applyBorder="1"/>
    <xf numFmtId="0" fontId="5" fillId="3" borderId="0" xfId="0" applyFont="1" applyFill="1" applyBorder="1"/>
    <xf numFmtId="2" fontId="5" fillId="3" borderId="0" xfId="0" applyNumberFormat="1" applyFont="1" applyFill="1" applyBorder="1"/>
    <xf numFmtId="0" fontId="0" fillId="3" borderId="0" xfId="0" applyFill="1" applyBorder="1" applyAlignment="1">
      <alignment horizontal="center"/>
    </xf>
    <xf numFmtId="164" fontId="0" fillId="3" borderId="0" xfId="0" applyNumberFormat="1" applyFill="1" applyBorder="1"/>
    <xf numFmtId="164" fontId="12" fillId="3" borderId="0" xfId="0" applyNumberFormat="1" applyFont="1" applyFill="1" applyBorder="1"/>
    <xf numFmtId="164" fontId="8" fillId="3" borderId="0" xfId="0" applyNumberFormat="1" applyFont="1" applyFill="1" applyBorder="1"/>
    <xf numFmtId="164" fontId="4" fillId="3" borderId="0" xfId="0" applyNumberFormat="1" applyFont="1" applyFill="1" applyBorder="1"/>
    <xf numFmtId="0" fontId="12" fillId="3" borderId="0" xfId="0" applyFont="1" applyFill="1" applyBorder="1"/>
    <xf numFmtId="11" fontId="0" fillId="3" borderId="0" xfId="0" applyNumberFormat="1" applyFill="1" applyBorder="1"/>
    <xf numFmtId="0" fontId="5" fillId="6" borderId="0" xfId="0" applyFont="1" applyFill="1" applyAlignment="1">
      <alignment horizontal="left"/>
    </xf>
    <xf numFmtId="11" fontId="5" fillId="6" borderId="0" xfId="0" applyNumberFormat="1" applyFont="1" applyFill="1" applyAlignment="1">
      <alignment horizontal="left"/>
    </xf>
    <xf numFmtId="11" fontId="5" fillId="6" borderId="0" xfId="0" applyNumberFormat="1" applyFont="1" applyFill="1" applyAlignment="1">
      <alignment horizontal="center"/>
    </xf>
    <xf numFmtId="2" fontId="2" fillId="7" borderId="0" xfId="0" applyNumberFormat="1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7" fillId="3" borderId="0" xfId="0" applyFont="1" applyFill="1"/>
    <xf numFmtId="2" fontId="8" fillId="3" borderId="0" xfId="0" applyNumberFormat="1" applyFont="1" applyFill="1"/>
    <xf numFmtId="0" fontId="0" fillId="3" borderId="0" xfId="0" applyFill="1" applyBorder="1" applyAlignment="1"/>
    <xf numFmtId="0" fontId="0" fillId="3" borderId="0" xfId="0" applyFill="1" applyBorder="1" applyAlignment="1">
      <alignment horizontal="right"/>
    </xf>
    <xf numFmtId="1" fontId="4" fillId="3" borderId="0" xfId="0" applyNumberFormat="1" applyFont="1" applyFill="1" applyBorder="1"/>
    <xf numFmtId="1" fontId="5" fillId="3" borderId="0" xfId="0" applyNumberFormat="1" applyFont="1" applyFill="1" applyBorder="1"/>
    <xf numFmtId="2" fontId="4" fillId="3" borderId="0" xfId="0" applyNumberFormat="1" applyFont="1" applyFill="1" applyBorder="1"/>
    <xf numFmtId="0" fontId="5" fillId="3" borderId="0" xfId="0" applyFont="1" applyFill="1"/>
    <xf numFmtId="164" fontId="5" fillId="3" borderId="0" xfId="0" applyNumberFormat="1" applyFont="1" applyFill="1"/>
    <xf numFmtId="164" fontId="4" fillId="3" borderId="0" xfId="0" applyNumberFormat="1" applyFont="1" applyFill="1"/>
    <xf numFmtId="165" fontId="5" fillId="3" borderId="0" xfId="0" applyNumberFormat="1" applyFont="1" applyFill="1"/>
    <xf numFmtId="168" fontId="5" fillId="3" borderId="0" xfId="0" applyNumberFormat="1" applyFont="1" applyFill="1"/>
    <xf numFmtId="0" fontId="1" fillId="2" borderId="0" xfId="0" applyFont="1" applyFill="1" applyAlignment="1">
      <alignment horizontal="center"/>
    </xf>
    <xf numFmtId="9" fontId="2" fillId="7" borderId="0" xfId="0" applyNumberFormat="1" applyFont="1" applyFill="1" applyAlignment="1">
      <alignment horizontal="right"/>
    </xf>
    <xf numFmtId="164" fontId="1" fillId="3" borderId="0" xfId="0" applyNumberFormat="1" applyFont="1" applyFill="1" applyBorder="1" applyAlignment="1">
      <alignment horizontal="center"/>
    </xf>
    <xf numFmtId="164" fontId="2" fillId="3" borderId="0" xfId="0" applyNumberFormat="1" applyFont="1" applyFill="1" applyBorder="1" applyAlignment="1">
      <alignment horizontal="center"/>
    </xf>
    <xf numFmtId="11" fontId="5" fillId="3" borderId="0" xfId="0" applyNumberFormat="1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164" fontId="8" fillId="7" borderId="0" xfId="0" applyNumberFormat="1" applyFont="1" applyFill="1" applyBorder="1" applyAlignment="1">
      <alignment horizontal="center"/>
    </xf>
    <xf numFmtId="164" fontId="1" fillId="11" borderId="0" xfId="0" applyNumberFormat="1" applyFont="1" applyFill="1" applyAlignment="1">
      <alignment horizontal="center"/>
    </xf>
    <xf numFmtId="164" fontId="2" fillId="11" borderId="0" xfId="0" applyNumberFormat="1" applyFont="1" applyFill="1" applyAlignment="1">
      <alignment horizontal="center"/>
    </xf>
    <xf numFmtId="0" fontId="0" fillId="12" borderId="1" xfId="0" applyFill="1" applyBorder="1" applyAlignment="1">
      <alignment horizontal="center"/>
    </xf>
    <xf numFmtId="166" fontId="0" fillId="10" borderId="5" xfId="0" applyNumberFormat="1" applyFill="1" applyBorder="1" applyAlignment="1">
      <alignment horizontal="center"/>
    </xf>
    <xf numFmtId="166" fontId="0" fillId="10" borderId="4" xfId="0" applyNumberFormat="1" applyFill="1" applyBorder="1" applyAlignment="1">
      <alignment horizontal="center"/>
    </xf>
    <xf numFmtId="11" fontId="1" fillId="3" borderId="0" xfId="0" applyNumberFormat="1" applyFont="1" applyFill="1"/>
    <xf numFmtId="166" fontId="2" fillId="2" borderId="0" xfId="0" applyNumberFormat="1" applyFont="1" applyFill="1"/>
    <xf numFmtId="165" fontId="0" fillId="2" borderId="0" xfId="0" applyNumberFormat="1" applyFill="1" applyAlignment="1">
      <alignment horizontal="right"/>
    </xf>
    <xf numFmtId="1" fontId="8" fillId="4" borderId="0" xfId="0" applyNumberFormat="1" applyFont="1" applyFill="1"/>
    <xf numFmtId="0" fontId="10" fillId="2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11" fontId="1" fillId="7" borderId="0" xfId="0" applyNumberFormat="1" applyFont="1" applyFill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7" fillId="4" borderId="1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6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Area/Height (dimensionless)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4475761511021978"/>
          <c:y val="0.16245370370370371"/>
          <c:w val="0.80242412287190612"/>
          <c:h val="0.7718967731325741"/>
        </c:manualLayout>
      </c:layout>
      <c:scatterChart>
        <c:scatterStyle val="lineMarker"/>
        <c:varyColors val="0"/>
        <c:ser>
          <c:idx val="0"/>
          <c:order val="0"/>
          <c:tx>
            <c:v>Ad/c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6953410358148022"/>
                  <c:y val="3.2775808672916538E-2"/>
                </c:manualLayout>
              </c:layout>
              <c:numFmt formatCode="General" sourceLinked="0"/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b-NO"/>
                </a:p>
              </c:txPr>
            </c:trendlineLbl>
          </c:trendline>
          <c:xVal>
            <c:numRef>
              <c:f>Height!$B$5:$B$1005</c:f>
              <c:numCache>
                <c:formatCode>0.000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</c:numCache>
            </c:numRef>
          </c:xVal>
          <c:yVal>
            <c:numRef>
              <c:f>Height!$C$5:$C$1005</c:f>
              <c:numCache>
                <c:formatCode>0.000</c:formatCode>
                <c:ptCount val="1001"/>
                <c:pt idx="0">
                  <c:v>0</c:v>
                </c:pt>
                <c:pt idx="1">
                  <c:v>5.3668384686511583E-5</c:v>
                </c:pt>
                <c:pt idx="2">
                  <c:v>1.5175153776031403E-4</c:v>
                </c:pt>
                <c:pt idx="3">
                  <c:v>2.7870161572424168E-4</c:v>
                </c:pt>
                <c:pt idx="4">
                  <c:v>4.2896020346366859E-4</c:v>
                </c:pt>
                <c:pt idx="5">
                  <c:v>5.993097557009941E-4</c:v>
                </c:pt>
                <c:pt idx="6">
                  <c:v>7.8757596735978819E-4</c:v>
                </c:pt>
                <c:pt idx="7">
                  <c:v>9.9216017897441056E-4</c:v>
                </c:pt>
                <c:pt idx="8">
                  <c:v>1.211821850215955E-3</c:v>
                </c:pt>
                <c:pt idx="9">
                  <c:v>1.4455613972466086E-3</c:v>
                </c:pt>
                <c:pt idx="10">
                  <c:v>1.6925506380167654E-3</c:v>
                </c:pt>
                <c:pt idx="11">
                  <c:v>1.952088507296057E-3</c:v>
                </c:pt>
                <c:pt idx="12">
                  <c:v>2.2235713261531398E-3</c:v>
                </c:pt>
                <c:pt idx="13">
                  <c:v>2.5064719939112967E-3</c:v>
                </c:pt>
                <c:pt idx="14">
                  <c:v>2.8003249267481989E-3</c:v>
                </c:pt>
                <c:pt idx="15">
                  <c:v>3.1047148490012666E-3</c:v>
                </c:pt>
                <c:pt idx="16">
                  <c:v>3.4192682548536135E-3</c:v>
                </c:pt>
                <c:pt idx="17">
                  <c:v>3.7436467736399748E-3</c:v>
                </c:pt>
                <c:pt idx="18">
                  <c:v>4.0775419251927181E-3</c:v>
                </c:pt>
                <c:pt idx="19">
                  <c:v>4.4206709115492959E-3</c:v>
                </c:pt>
                <c:pt idx="20">
                  <c:v>4.7727731955302666E-3</c:v>
                </c:pt>
                <c:pt idx="21">
                  <c:v>5.1336076864264557E-3</c:v>
                </c:pt>
                <c:pt idx="22">
                  <c:v>5.5029504008375918E-3</c:v>
                </c:pt>
                <c:pt idx="23">
                  <c:v>5.8805925001655934E-3</c:v>
                </c:pt>
                <c:pt idx="24">
                  <c:v>6.2663386301400892E-3</c:v>
                </c:pt>
                <c:pt idx="25">
                  <c:v>6.6600055050706763E-3</c:v>
                </c:pt>
                <c:pt idx="26">
                  <c:v>7.061420692279774E-3</c:v>
                </c:pt>
                <c:pt idx="27">
                  <c:v>7.4704215617027447E-3</c:v>
                </c:pt>
                <c:pt idx="28">
                  <c:v>7.8868543728487506E-3</c:v>
                </c:pt>
                <c:pt idx="29">
                  <c:v>8.3105734768362804E-3</c:v>
                </c:pt>
                <c:pt idx="30">
                  <c:v>8.7414406154852076E-3</c:v>
                </c:pt>
                <c:pt idx="31">
                  <c:v>9.1793243027809002E-3</c:v>
                </c:pt>
                <c:pt idx="32">
                  <c:v>9.6240992766545297E-3</c:v>
                </c:pt>
                <c:pt idx="33">
                  <c:v>1.0075646011114825E-2</c:v>
                </c:pt>
                <c:pt idx="34">
                  <c:v>1.0533850280439461E-2</c:v>
                </c:pt>
                <c:pt idx="35">
                  <c:v>1.0998602768486965E-2</c:v>
                </c:pt>
                <c:pt idx="36">
                  <c:v>1.1469798717288315E-2</c:v>
                </c:pt>
                <c:pt idx="37">
                  <c:v>1.1947337609976738E-2</c:v>
                </c:pt>
                <c:pt idx="38">
                  <c:v>1.2431122883854007E-2</c:v>
                </c:pt>
                <c:pt idx="39">
                  <c:v>1.2921061670000011E-2</c:v>
                </c:pt>
                <c:pt idx="40">
                  <c:v>1.3417064556352776E-2</c:v>
                </c:pt>
                <c:pt idx="41">
                  <c:v>1.3919045371593941E-2</c:v>
                </c:pt>
                <c:pt idx="42">
                  <c:v>1.4426920987555825E-2</c:v>
                </c:pt>
                <c:pt idx="43">
                  <c:v>1.4940611138144266E-2</c:v>
                </c:pt>
                <c:pt idx="44">
                  <c:v>1.5460038253051811E-2</c:v>
                </c:pt>
                <c:pt idx="45">
                  <c:v>1.598512730473145E-2</c:v>
                </c:pt>
                <c:pt idx="46">
                  <c:v>1.6515805667308037E-2</c:v>
                </c:pt>
                <c:pt idx="47">
                  <c:v>1.705200298624765E-2</c:v>
                </c:pt>
                <c:pt idx="48">
                  <c:v>1.759365105775601E-2</c:v>
                </c:pt>
                <c:pt idx="49">
                  <c:v>1.8140683716986294E-2</c:v>
                </c:pt>
                <c:pt idx="50">
                  <c:v>1.869303673424938E-2</c:v>
                </c:pt>
                <c:pt idx="51">
                  <c:v>1.9250647718496827E-2</c:v>
                </c:pt>
                <c:pt idx="52">
                  <c:v>1.9813456027441445E-2</c:v>
                </c:pt>
                <c:pt idx="53">
                  <c:v>2.0381402683729954E-2</c:v>
                </c:pt>
                <c:pt idx="54">
                  <c:v>2.0954430296661608E-2</c:v>
                </c:pt>
                <c:pt idx="55">
                  <c:v>2.1532482988980806E-2</c:v>
                </c:pt>
                <c:pt idx="56">
                  <c:v>2.2115506328334922E-2</c:v>
                </c:pt>
                <c:pt idx="57">
                  <c:v>2.2703447263014986E-2</c:v>
                </c:pt>
                <c:pt idx="58">
                  <c:v>2.3296254061646038E-2</c:v>
                </c:pt>
                <c:pt idx="59">
                  <c:v>2.3893876256515012E-2</c:v>
                </c:pt>
                <c:pt idx="60">
                  <c:v>2.4496264590262662E-2</c:v>
                </c:pt>
                <c:pt idx="61">
                  <c:v>2.5103370965682215E-2</c:v>
                </c:pt>
                <c:pt idx="62">
                  <c:v>2.5715148398400278E-2</c:v>
                </c:pt>
                <c:pt idx="63">
                  <c:v>2.6331550972224171E-2</c:v>
                </c:pt>
                <c:pt idx="64">
                  <c:v>2.6952533796972156E-2</c:v>
                </c:pt>
                <c:pt idx="65">
                  <c:v>2.7578052968604383E-2</c:v>
                </c:pt>
                <c:pt idx="66">
                  <c:v>2.8208065531501569E-2</c:v>
                </c:pt>
                <c:pt idx="67">
                  <c:v>2.8842529442739351E-2</c:v>
                </c:pt>
                <c:pt idx="68">
                  <c:v>2.9481403538228812E-2</c:v>
                </c:pt>
                <c:pt idx="69">
                  <c:v>3.0124647500595125E-2</c:v>
                </c:pt>
                <c:pt idx="70">
                  <c:v>3.0772221828685609E-2</c:v>
                </c:pt>
                <c:pt idx="71">
                  <c:v>3.1424087808596846E-2</c:v>
                </c:pt>
                <c:pt idx="72">
                  <c:v>3.2080207486130274E-2</c:v>
                </c:pt>
                <c:pt idx="73">
                  <c:v>3.2740543640581932E-2</c:v>
                </c:pt>
                <c:pt idx="74">
                  <c:v>3.3405059759788247E-2</c:v>
                </c:pt>
                <c:pt idx="75">
                  <c:v>3.4073720016346565E-2</c:v>
                </c:pt>
                <c:pt idx="76">
                  <c:v>3.4746489244947165E-2</c:v>
                </c:pt>
                <c:pt idx="77">
                  <c:v>3.542333292074118E-2</c:v>
                </c:pt>
                <c:pt idx="78">
                  <c:v>3.6104217138694605E-2</c:v>
                </c:pt>
                <c:pt idx="79">
                  <c:v>3.6789108593861641E-2</c:v>
                </c:pt>
                <c:pt idx="80">
                  <c:v>3.7477974562533045E-2</c:v>
                </c:pt>
                <c:pt idx="81">
                  <c:v>3.8170782884203613E-2</c:v>
                </c:pt>
                <c:pt idx="82">
                  <c:v>3.8867501944319982E-2</c:v>
                </c:pt>
                <c:pt idx="83">
                  <c:v>3.9568100657757843E-2</c:v>
                </c:pt>
                <c:pt idx="84">
                  <c:v>4.027254845299888E-2</c:v>
                </c:pt>
                <c:pt idx="85">
                  <c:v>4.0980815256959291E-2</c:v>
                </c:pt>
                <c:pt idx="86">
                  <c:v>4.1692871480445426E-2</c:v>
                </c:pt>
                <c:pt idx="87">
                  <c:v>4.2408688004195783E-2</c:v>
                </c:pt>
                <c:pt idx="88">
                  <c:v>4.3128236165484113E-2</c:v>
                </c:pt>
                <c:pt idx="89">
                  <c:v>4.3851487745252493E-2</c:v>
                </c:pt>
                <c:pt idx="90">
                  <c:v>4.4578414955748658E-2</c:v>
                </c:pt>
                <c:pt idx="91">
                  <c:v>4.5308990428642171E-2</c:v>
                </c:pt>
                <c:pt idx="92">
                  <c:v>4.604318720359446E-2</c:v>
                </c:pt>
                <c:pt idx="93">
                  <c:v>4.6780978717264221E-2</c:v>
                </c:pt>
                <c:pt idx="94">
                  <c:v>4.7522338792721608E-2</c:v>
                </c:pt>
                <c:pt idx="95">
                  <c:v>4.8267241629257274E-2</c:v>
                </c:pt>
                <c:pt idx="96">
                  <c:v>4.901566179256367E-2</c:v>
                </c:pt>
                <c:pt idx="97">
                  <c:v>4.9767574205272946E-2</c:v>
                </c:pt>
                <c:pt idx="98">
                  <c:v>5.0522954137834031E-2</c:v>
                </c:pt>
                <c:pt idx="99">
                  <c:v>5.1281777199715106E-2</c:v>
                </c:pt>
                <c:pt idx="100">
                  <c:v>5.2044019330913904E-2</c:v>
                </c:pt>
                <c:pt idx="101">
                  <c:v>5.280965679376437E-2</c:v>
                </c:pt>
                <c:pt idx="102">
                  <c:v>5.3578666165025712E-2</c:v>
                </c:pt>
                <c:pt idx="103">
                  <c:v>5.4351024328240904E-2</c:v>
                </c:pt>
                <c:pt idx="104">
                  <c:v>5.5126708466353536E-2</c:v>
                </c:pt>
                <c:pt idx="105">
                  <c:v>5.5905696054572074E-2</c:v>
                </c:pt>
                <c:pt idx="106">
                  <c:v>5.6687964853469663E-2</c:v>
                </c:pt>
                <c:pt idx="107">
                  <c:v>5.7473492902311241E-2</c:v>
                </c:pt>
                <c:pt idx="108">
                  <c:v>5.8262258512597032E-2</c:v>
                </c:pt>
                <c:pt idx="109">
                  <c:v>5.9054240261814051E-2</c:v>
                </c:pt>
                <c:pt idx="110">
                  <c:v>5.9849416987386717E-2</c:v>
                </c:pt>
                <c:pt idx="111">
                  <c:v>6.0647767780819484E-2</c:v>
                </c:pt>
                <c:pt idx="112">
                  <c:v>6.1449271982021547E-2</c:v>
                </c:pt>
                <c:pt idx="113">
                  <c:v>6.2253909173808963E-2</c:v>
                </c:pt>
                <c:pt idx="114">
                  <c:v>6.3061659176575358E-2</c:v>
                </c:pt>
                <c:pt idx="115">
                  <c:v>6.3872502043124557E-2</c:v>
                </c:pt>
                <c:pt idx="116">
                  <c:v>6.4686418053660488E-2</c:v>
                </c:pt>
                <c:pt idx="117">
                  <c:v>6.5503387710925676E-2</c:v>
                </c:pt>
                <c:pt idx="118">
                  <c:v>6.6323391735485848E-2</c:v>
                </c:pt>
                <c:pt idx="119">
                  <c:v>6.714641106115149E-2</c:v>
                </c:pt>
                <c:pt idx="120">
                  <c:v>6.7972426830534394E-2</c:v>
                </c:pt>
                <c:pt idx="121">
                  <c:v>6.8801420390731782E-2</c:v>
                </c:pt>
                <c:pt idx="122">
                  <c:v>6.9633373289135547E-2</c:v>
                </c:pt>
                <c:pt idx="123">
                  <c:v>7.0468267269358842E-2</c:v>
                </c:pt>
                <c:pt idx="124">
                  <c:v>7.130608426727969E-2</c:v>
                </c:pt>
                <c:pt idx="125">
                  <c:v>7.2146806407193731E-2</c:v>
                </c:pt>
                <c:pt idx="126">
                  <c:v>7.2990415998074654E-2</c:v>
                </c:pt>
                <c:pt idx="127">
                  <c:v>7.3836895529937274E-2</c:v>
                </c:pt>
                <c:pt idx="128">
                  <c:v>7.4686227670299976E-2</c:v>
                </c:pt>
                <c:pt idx="129">
                  <c:v>7.5538395260742963E-2</c:v>
                </c:pt>
                <c:pt idx="130">
                  <c:v>7.6393381313559328E-2</c:v>
                </c:pt>
                <c:pt idx="131">
                  <c:v>7.7251169008495157E-2</c:v>
                </c:pt>
                <c:pt idx="132">
                  <c:v>7.8111741689575909E-2</c:v>
                </c:pt>
                <c:pt idx="133">
                  <c:v>7.8975082862016432E-2</c:v>
                </c:pt>
                <c:pt idx="134">
                  <c:v>7.9841176189211382E-2</c:v>
                </c:pt>
                <c:pt idx="135">
                  <c:v>8.0710005489803005E-2</c:v>
                </c:pt>
                <c:pt idx="136">
                  <c:v>8.1581554734824979E-2</c:v>
                </c:pt>
                <c:pt idx="137">
                  <c:v>8.2455808044918755E-2</c:v>
                </c:pt>
                <c:pt idx="138">
                  <c:v>8.3332749687619778E-2</c:v>
                </c:pt>
                <c:pt idx="139">
                  <c:v>8.4212364074712553E-2</c:v>
                </c:pt>
                <c:pt idx="140">
                  <c:v>8.5094635759651149E-2</c:v>
                </c:pt>
                <c:pt idx="141">
                  <c:v>8.5979549435043712E-2</c:v>
                </c:pt>
                <c:pt idx="142">
                  <c:v>8.6867089930198427E-2</c:v>
                </c:pt>
                <c:pt idx="143">
                  <c:v>8.7757242208730157E-2</c:v>
                </c:pt>
                <c:pt idx="144">
                  <c:v>8.8649991366223813E-2</c:v>
                </c:pt>
                <c:pt idx="145">
                  <c:v>8.9545322627954671E-2</c:v>
                </c:pt>
                <c:pt idx="146">
                  <c:v>9.0443221346662939E-2</c:v>
                </c:pt>
                <c:pt idx="147">
                  <c:v>9.1343673000381154E-2</c:v>
                </c:pt>
                <c:pt idx="148">
                  <c:v>9.2246663190312217E-2</c:v>
                </c:pt>
                <c:pt idx="149">
                  <c:v>9.3152177638757605E-2</c:v>
                </c:pt>
                <c:pt idx="150">
                  <c:v>9.4060202187093656E-2</c:v>
                </c:pt>
                <c:pt idx="151">
                  <c:v>9.4970722793793705E-2</c:v>
                </c:pt>
                <c:pt idx="152">
                  <c:v>9.5883725532496356E-2</c:v>
                </c:pt>
                <c:pt idx="153">
                  <c:v>9.6799196590117653E-2</c:v>
                </c:pt>
                <c:pt idx="154">
                  <c:v>9.771712226500523E-2</c:v>
                </c:pt>
                <c:pt idx="155">
                  <c:v>9.8637488965134357E-2</c:v>
                </c:pt>
                <c:pt idx="156">
                  <c:v>9.9560283206344358E-2</c:v>
                </c:pt>
                <c:pt idx="157">
                  <c:v>0.10048549161061338</c:v>
                </c:pt>
                <c:pt idx="158">
                  <c:v>0.10141310090437206</c:v>
                </c:pt>
                <c:pt idx="159">
                  <c:v>0.10234309791685309</c:v>
                </c:pt>
                <c:pt idx="160">
                  <c:v>0.10327546957847744</c:v>
                </c:pt>
                <c:pt idx="161">
                  <c:v>0.10421020291927463</c:v>
                </c:pt>
                <c:pt idx="162">
                  <c:v>0.10514728506733773</c:v>
                </c:pt>
                <c:pt idx="163">
                  <c:v>0.10608670324731023</c:v>
                </c:pt>
                <c:pt idx="164">
                  <c:v>0.10702844477890611</c:v>
                </c:pt>
                <c:pt idx="165">
                  <c:v>0.10797249707545975</c:v>
                </c:pt>
                <c:pt idx="166">
                  <c:v>0.10891884764250725</c:v>
                </c:pt>
                <c:pt idx="167">
                  <c:v>0.1098674840763969</c:v>
                </c:pt>
                <c:pt idx="168">
                  <c:v>0.11081839406292759</c:v>
                </c:pt>
                <c:pt idx="169">
                  <c:v>0.11177156537601618</c:v>
                </c:pt>
                <c:pt idx="170">
                  <c:v>0.11272698587639191</c:v>
                </c:pt>
                <c:pt idx="171">
                  <c:v>0.11368464351031637</c:v>
                </c:pt>
                <c:pt idx="172">
                  <c:v>0.11464452630833011</c:v>
                </c:pt>
                <c:pt idx="173">
                  <c:v>0.11560662238402453</c:v>
                </c:pt>
                <c:pt idx="174">
                  <c:v>0.11657091993283669</c:v>
                </c:pt>
                <c:pt idx="175">
                  <c:v>0.11753740723087047</c:v>
                </c:pt>
                <c:pt idx="176">
                  <c:v>0.11850607263373814</c:v>
                </c:pt>
                <c:pt idx="177">
                  <c:v>0.11947690457542692</c:v>
                </c:pt>
                <c:pt idx="178">
                  <c:v>0.120449891567186</c:v>
                </c:pt>
                <c:pt idx="179">
                  <c:v>0.12142502219643603</c:v>
                </c:pt>
                <c:pt idx="180">
                  <c:v>0.12240228512569851</c:v>
                </c:pt>
                <c:pt idx="181">
                  <c:v>0.12338166909154724</c:v>
                </c:pt>
                <c:pt idx="182">
                  <c:v>0.1243631629035778</c:v>
                </c:pt>
                <c:pt idx="183">
                  <c:v>0.12534675544339802</c:v>
                </c:pt>
                <c:pt idx="184">
                  <c:v>0.12633243566363628</c:v>
                </c:pt>
                <c:pt idx="185">
                  <c:v>0.12732019258696947</c:v>
                </c:pt>
                <c:pt idx="186">
                  <c:v>0.12831001530516739</c:v>
                </c:pt>
                <c:pt idx="187">
                  <c:v>0.12930189297815675</c:v>
                </c:pt>
                <c:pt idx="188">
                  <c:v>0.13029581483310071</c:v>
                </c:pt>
                <c:pt idx="189">
                  <c:v>0.13129177016349591</c:v>
                </c:pt>
                <c:pt idx="190">
                  <c:v>0.13228974832828588</c:v>
                </c:pt>
                <c:pt idx="191">
                  <c:v>0.13328973875099048</c:v>
                </c:pt>
                <c:pt idx="192">
                  <c:v>0.13429173091885066</c:v>
                </c:pt>
                <c:pt idx="193">
                  <c:v>0.13529571438198884</c:v>
                </c:pt>
                <c:pt idx="194">
                  <c:v>0.13630167875258381</c:v>
                </c:pt>
                <c:pt idx="195">
                  <c:v>0.13730961370406092</c:v>
                </c:pt>
                <c:pt idx="196">
                  <c:v>0.13831950897029544</c:v>
                </c:pt>
                <c:pt idx="197">
                  <c:v>0.13933135434483068</c:v>
                </c:pt>
                <c:pt idx="198">
                  <c:v>0.14034513968010948</c:v>
                </c:pt>
                <c:pt idx="199">
                  <c:v>0.14136085488671873</c:v>
                </c:pt>
                <c:pt idx="200">
                  <c:v>0.14237848993264701</c:v>
                </c:pt>
                <c:pt idx="201">
                  <c:v>0.1433980348425552</c:v>
                </c:pt>
                <c:pt idx="202">
                  <c:v>0.14441947969705893</c:v>
                </c:pt>
                <c:pt idx="203">
                  <c:v>0.14544281463202396</c:v>
                </c:pt>
                <c:pt idx="204">
                  <c:v>0.14646802983787233</c:v>
                </c:pt>
                <c:pt idx="205">
                  <c:v>0.14749511555890132</c:v>
                </c:pt>
                <c:pt idx="206">
                  <c:v>0.14852406209261282</c:v>
                </c:pt>
                <c:pt idx="207">
                  <c:v>0.14955485978905425</c:v>
                </c:pt>
                <c:pt idx="208">
                  <c:v>0.15058749905017033</c:v>
                </c:pt>
                <c:pt idx="209">
                  <c:v>0.15162197032916525</c:v>
                </c:pt>
                <c:pt idx="210">
                  <c:v>0.15265826412987554</c:v>
                </c:pt>
                <c:pt idx="211">
                  <c:v>0.15369637100615285</c:v>
                </c:pt>
                <c:pt idx="212">
                  <c:v>0.15473628156125696</c:v>
                </c:pt>
                <c:pt idx="213">
                  <c:v>0.15577798644725838</c:v>
                </c:pt>
                <c:pt idx="214">
                  <c:v>0.15682147636445021</c:v>
                </c:pt>
                <c:pt idx="215">
                  <c:v>0.15786674206077</c:v>
                </c:pt>
                <c:pt idx="216">
                  <c:v>0.15891377433123055</c:v>
                </c:pt>
                <c:pt idx="217">
                  <c:v>0.15996256401735887</c:v>
                </c:pt>
                <c:pt idx="218">
                  <c:v>0.16101310200664537</c:v>
                </c:pt>
                <c:pt idx="219">
                  <c:v>0.16206537923200026</c:v>
                </c:pt>
                <c:pt idx="220">
                  <c:v>0.16311938667121928</c:v>
                </c:pt>
                <c:pt idx="221">
                  <c:v>0.16417511534645746</c:v>
                </c:pt>
                <c:pt idx="222">
                  <c:v>0.16523255632371048</c:v>
                </c:pt>
                <c:pt idx="223">
                  <c:v>0.16629170071230459</c:v>
                </c:pt>
                <c:pt idx="224">
                  <c:v>0.16735253966439412</c:v>
                </c:pt>
                <c:pt idx="225">
                  <c:v>0.16841506437446657</c:v>
                </c:pt>
                <c:pt idx="226">
                  <c:v>0.1694792660788545</c:v>
                </c:pt>
                <c:pt idx="227">
                  <c:v>0.17054513605525612</c:v>
                </c:pt>
                <c:pt idx="228">
                  <c:v>0.17161266562226174</c:v>
                </c:pt>
                <c:pt idx="229">
                  <c:v>0.17268184613888793</c:v>
                </c:pt>
                <c:pt idx="230">
                  <c:v>0.17375266900411829</c:v>
                </c:pt>
                <c:pt idx="231">
                  <c:v>0.17482512565645103</c:v>
                </c:pt>
                <c:pt idx="232">
                  <c:v>0.17589920757345329</c:v>
                </c:pt>
                <c:pt idx="233">
                  <c:v>0.17697490627132167</c:v>
                </c:pt>
                <c:pt idx="234">
                  <c:v>0.17805221330444954</c:v>
                </c:pt>
                <c:pt idx="235">
                  <c:v>0.17913112026500011</c:v>
                </c:pt>
                <c:pt idx="236">
                  <c:v>0.18021161878248593</c:v>
                </c:pt>
                <c:pt idx="237">
                  <c:v>0.18129370052335431</c:v>
                </c:pt>
                <c:pt idx="238">
                  <c:v>0.18237735719057874</c:v>
                </c:pt>
                <c:pt idx="239">
                  <c:v>0.18346258052325598</c:v>
                </c:pt>
                <c:pt idx="240">
                  <c:v>0.18454936229620855</c:v>
                </c:pt>
                <c:pt idx="241">
                  <c:v>0.18563769431959343</c:v>
                </c:pt>
                <c:pt idx="242">
                  <c:v>0.18672756843851573</c:v>
                </c:pt>
                <c:pt idx="243">
                  <c:v>0.18781897653264779</c:v>
                </c:pt>
                <c:pt idx="244">
                  <c:v>0.1889119105158536</c:v>
                </c:pt>
                <c:pt idx="245">
                  <c:v>0.19000636233581847</c:v>
                </c:pt>
                <c:pt idx="246">
                  <c:v>0.19110232397368376</c:v>
                </c:pt>
                <c:pt idx="247">
                  <c:v>0.19219978744368615</c:v>
                </c:pt>
                <c:pt idx="248">
                  <c:v>0.1932987447928024</c:v>
                </c:pt>
                <c:pt idx="249">
                  <c:v>0.19439918810039891</c:v>
                </c:pt>
                <c:pt idx="250">
                  <c:v>0.19550110947788529</c:v>
                </c:pt>
                <c:pt idx="251">
                  <c:v>0.19660450106837324</c:v>
                </c:pt>
                <c:pt idx="252">
                  <c:v>0.19770935504633946</c:v>
                </c:pt>
                <c:pt idx="253">
                  <c:v>0.19881566361729397</c:v>
                </c:pt>
                <c:pt idx="254">
                  <c:v>0.19992341901745142</c:v>
                </c:pt>
                <c:pt idx="255">
                  <c:v>0.20103261351340762</c:v>
                </c:pt>
                <c:pt idx="256">
                  <c:v>0.20214323940182044</c:v>
                </c:pt>
                <c:pt idx="257">
                  <c:v>0.20325528900909429</c:v>
                </c:pt>
                <c:pt idx="258">
                  <c:v>0.20436875469106852</c:v>
                </c:pt>
                <c:pt idx="259">
                  <c:v>0.20548362883271104</c:v>
                </c:pt>
                <c:pt idx="260">
                  <c:v>0.20659990384781435</c:v>
                </c:pt>
                <c:pt idx="261">
                  <c:v>0.20771757217869669</c:v>
                </c:pt>
                <c:pt idx="262">
                  <c:v>0.20883662629590594</c:v>
                </c:pt>
                <c:pt idx="263">
                  <c:v>0.20995705869792824</c:v>
                </c:pt>
                <c:pt idx="264">
                  <c:v>0.21107886191089964</c:v>
                </c:pt>
                <c:pt idx="265">
                  <c:v>0.21220202848832143</c:v>
                </c:pt>
                <c:pt idx="266">
                  <c:v>0.21332655101077924</c:v>
                </c:pt>
                <c:pt idx="267">
                  <c:v>0.21445242208566567</c:v>
                </c:pt>
                <c:pt idx="268">
                  <c:v>0.21557963434690602</c:v>
                </c:pt>
                <c:pt idx="269">
                  <c:v>0.21670818045468754</c:v>
                </c:pt>
                <c:pt idx="270">
                  <c:v>0.21783805309519211</c:v>
                </c:pt>
                <c:pt idx="271">
                  <c:v>0.21896924498033232</c:v>
                </c:pt>
                <c:pt idx="272">
                  <c:v>0.22010174884749001</c:v>
                </c:pt>
                <c:pt idx="273">
                  <c:v>0.2212355574592591</c:v>
                </c:pt>
                <c:pt idx="274">
                  <c:v>0.22237066360319047</c:v>
                </c:pt>
                <c:pt idx="275">
                  <c:v>0.22350706009154042</c:v>
                </c:pt>
                <c:pt idx="276">
                  <c:v>0.22464473976102228</c:v>
                </c:pt>
                <c:pt idx="277">
                  <c:v>0.22578369547256061</c:v>
                </c:pt>
                <c:pt idx="278">
                  <c:v>0.22692392011104801</c:v>
                </c:pt>
                <c:pt idx="279">
                  <c:v>0.22806540658510588</c:v>
                </c:pt>
                <c:pt idx="280">
                  <c:v>0.22920814782684673</c:v>
                </c:pt>
                <c:pt idx="281">
                  <c:v>0.23035213679164029</c:v>
                </c:pt>
                <c:pt idx="282">
                  <c:v>0.23149736645788149</c:v>
                </c:pt>
                <c:pt idx="283">
                  <c:v>0.23264382982676157</c:v>
                </c:pt>
                <c:pt idx="284">
                  <c:v>0.23379151992204206</c:v>
                </c:pt>
                <c:pt idx="285">
                  <c:v>0.23494042978983048</c:v>
                </c:pt>
                <c:pt idx="286">
                  <c:v>0.2360905524983597</c:v>
                </c:pt>
                <c:pt idx="287">
                  <c:v>0.23724188113776873</c:v>
                </c:pt>
                <c:pt idx="288">
                  <c:v>0.23839440881988688</c:v>
                </c:pt>
                <c:pt idx="289">
                  <c:v>0.23954812867801978</c:v>
                </c:pt>
                <c:pt idx="290">
                  <c:v>0.24070303386673803</c:v>
                </c:pt>
                <c:pt idx="291">
                  <c:v>0.241859117561668</c:v>
                </c:pt>
                <c:pt idx="292">
                  <c:v>0.2430163729592853</c:v>
                </c:pt>
                <c:pt idx="293">
                  <c:v>0.2441747932767101</c:v>
                </c:pt>
                <c:pt idx="294">
                  <c:v>0.24533437175150508</c:v>
                </c:pt>
                <c:pt idx="295">
                  <c:v>0.24649510164147515</c:v>
                </c:pt>
                <c:pt idx="296">
                  <c:v>0.24765697622446992</c:v>
                </c:pt>
                <c:pt idx="297">
                  <c:v>0.24881998879818779</c:v>
                </c:pt>
                <c:pt idx="298">
                  <c:v>0.24998413267998243</c:v>
                </c:pt>
                <c:pt idx="299">
                  <c:v>0.25114940120667112</c:v>
                </c:pt>
                <c:pt idx="300">
                  <c:v>0.25231578773434549</c:v>
                </c:pt>
                <c:pt idx="301">
                  <c:v>0.25348328563818368</c:v>
                </c:pt>
                <c:pt idx="302">
                  <c:v>0.25465188831226548</c:v>
                </c:pt>
                <c:pt idx="303">
                  <c:v>0.25582158916938813</c:v>
                </c:pt>
                <c:pt idx="304">
                  <c:v>0.25699238164088489</c:v>
                </c:pt>
                <c:pt idx="305">
                  <c:v>0.25816425917644548</c:v>
                </c:pt>
                <c:pt idx="306">
                  <c:v>0.25933721524393816</c:v>
                </c:pt>
                <c:pt idx="307">
                  <c:v>0.26051124332923353</c:v>
                </c:pt>
                <c:pt idx="308">
                  <c:v>0.26168633693603049</c:v>
                </c:pt>
                <c:pt idx="309">
                  <c:v>0.26286248958568376</c:v>
                </c:pt>
                <c:pt idx="310">
                  <c:v>0.26403969481703299</c:v>
                </c:pt>
                <c:pt idx="311">
                  <c:v>0.26521794618623407</c:v>
                </c:pt>
                <c:pt idx="312">
                  <c:v>0.26639723726659165</c:v>
                </c:pt>
                <c:pt idx="313">
                  <c:v>0.26757756164839375</c:v>
                </c:pt>
                <c:pt idx="314">
                  <c:v>0.26875891293874776</c:v>
                </c:pt>
                <c:pt idx="315">
                  <c:v>0.26994128476141788</c:v>
                </c:pt>
                <c:pt idx="316">
                  <c:v>0.2711246707566648</c:v>
                </c:pt>
                <c:pt idx="317">
                  <c:v>0.27230906458108634</c:v>
                </c:pt>
                <c:pt idx="318">
                  <c:v>0.27349445990745985</c:v>
                </c:pt>
                <c:pt idx="319">
                  <c:v>0.27468085042458645</c:v>
                </c:pt>
                <c:pt idx="320">
                  <c:v>0.27586822983713605</c:v>
                </c:pt>
                <c:pt idx="321">
                  <c:v>0.27705659186549486</c:v>
                </c:pt>
                <c:pt idx="322">
                  <c:v>0.27824593024561328</c:v>
                </c:pt>
                <c:pt idx="323">
                  <c:v>0.27943623872885609</c:v>
                </c:pt>
                <c:pt idx="324">
                  <c:v>0.2806275110818538</c:v>
                </c:pt>
                <c:pt idx="325">
                  <c:v>0.28181974108635499</c:v>
                </c:pt>
                <c:pt idx="326">
                  <c:v>0.28301292253908089</c:v>
                </c:pt>
                <c:pt idx="327">
                  <c:v>0.28420704925158041</c:v>
                </c:pt>
                <c:pt idx="328">
                  <c:v>0.28540211505008717</c:v>
                </c:pt>
                <c:pt idx="329">
                  <c:v>0.28659811377537758</c:v>
                </c:pt>
                <c:pt idx="330">
                  <c:v>0.28779503928263017</c:v>
                </c:pt>
                <c:pt idx="331">
                  <c:v>0.28899288544128648</c:v>
                </c:pt>
                <c:pt idx="332">
                  <c:v>0.29019164613491272</c:v>
                </c:pt>
                <c:pt idx="333">
                  <c:v>0.29139131526106343</c:v>
                </c:pt>
                <c:pt idx="334">
                  <c:v>0.29259188673114567</c:v>
                </c:pt>
                <c:pt idx="335">
                  <c:v>0.29379335447028476</c:v>
                </c:pt>
                <c:pt idx="336">
                  <c:v>0.29499571241719102</c:v>
                </c:pt>
                <c:pt idx="337">
                  <c:v>0.29619895452402822</c:v>
                </c:pt>
                <c:pt idx="338">
                  <c:v>0.29740307475628236</c:v>
                </c:pt>
                <c:pt idx="339">
                  <c:v>0.29860806709263221</c:v>
                </c:pt>
                <c:pt idx="340">
                  <c:v>0.299813925524821</c:v>
                </c:pt>
                <c:pt idx="341">
                  <c:v>0.30102064405752871</c:v>
                </c:pt>
                <c:pt idx="342">
                  <c:v>0.30222821670824607</c:v>
                </c:pt>
                <c:pt idx="343">
                  <c:v>0.30343663750714911</c:v>
                </c:pt>
                <c:pt idx="344">
                  <c:v>0.30464590049697521</c:v>
                </c:pt>
                <c:pt idx="345">
                  <c:v>0.30585599973290012</c:v>
                </c:pt>
                <c:pt idx="346">
                  <c:v>0.30706692928241547</c:v>
                </c:pt>
                <c:pt idx="347">
                  <c:v>0.30827868322520835</c:v>
                </c:pt>
                <c:pt idx="348">
                  <c:v>0.30949125565304092</c:v>
                </c:pt>
                <c:pt idx="349">
                  <c:v>0.31070464066963144</c:v>
                </c:pt>
                <c:pt idx="350">
                  <c:v>0.31191883239053642</c:v>
                </c:pt>
                <c:pt idx="351">
                  <c:v>0.31313382494303343</c:v>
                </c:pt>
                <c:pt idx="352">
                  <c:v>0.31434961246600507</c:v>
                </c:pt>
                <c:pt idx="353">
                  <c:v>0.3155661891098237</c:v>
                </c:pt>
                <c:pt idx="354">
                  <c:v>0.31678354903623729</c:v>
                </c:pt>
                <c:pt idx="355">
                  <c:v>0.31800168641825632</c:v>
                </c:pt>
                <c:pt idx="356">
                  <c:v>0.31922059544004078</c:v>
                </c:pt>
                <c:pt idx="357">
                  <c:v>0.32044027029678945</c:v>
                </c:pt>
                <c:pt idx="358">
                  <c:v>0.32166070519462847</c:v>
                </c:pt>
                <c:pt idx="359">
                  <c:v>0.32288189435050224</c:v>
                </c:pt>
                <c:pt idx="360">
                  <c:v>0.32410383199206394</c:v>
                </c:pt>
                <c:pt idx="361">
                  <c:v>0.32532651235756793</c:v>
                </c:pt>
                <c:pt idx="362">
                  <c:v>0.32654992969576202</c:v>
                </c:pt>
                <c:pt idx="363">
                  <c:v>0.32777407826578153</c:v>
                </c:pt>
                <c:pt idx="364">
                  <c:v>0.3289989523370434</c:v>
                </c:pt>
                <c:pt idx="365">
                  <c:v>0.33022454618914127</c:v>
                </c:pt>
                <c:pt idx="366">
                  <c:v>0.33145085411174158</c:v>
                </c:pt>
                <c:pt idx="367">
                  <c:v>0.33267787040448049</c:v>
                </c:pt>
                <c:pt idx="368">
                  <c:v>0.33390558937686088</c:v>
                </c:pt>
                <c:pt idx="369">
                  <c:v>0.33513400534815113</c:v>
                </c:pt>
                <c:pt idx="370">
                  <c:v>0.3363631126472838</c:v>
                </c:pt>
                <c:pt idx="371">
                  <c:v>0.3375929056127554</c:v>
                </c:pt>
                <c:pt idx="372">
                  <c:v>0.33882337859252687</c:v>
                </c:pt>
                <c:pt idx="373">
                  <c:v>0.34005452594392488</c:v>
                </c:pt>
                <c:pt idx="374">
                  <c:v>0.34128634203354336</c:v>
                </c:pt>
                <c:pt idx="375">
                  <c:v>0.34251882123714628</c:v>
                </c:pt>
                <c:pt idx="376">
                  <c:v>0.34375195793957097</c:v>
                </c:pt>
                <c:pt idx="377">
                  <c:v>0.34498574653463188</c:v>
                </c:pt>
                <c:pt idx="378">
                  <c:v>0.34622018142502503</c:v>
                </c:pt>
                <c:pt idx="379">
                  <c:v>0.34745525702223357</c:v>
                </c:pt>
                <c:pt idx="380">
                  <c:v>0.34869096774643338</c:v>
                </c:pt>
                <c:pt idx="381">
                  <c:v>0.34992730802639976</c:v>
                </c:pt>
                <c:pt idx="382">
                  <c:v>0.35116427229941444</c:v>
                </c:pt>
                <c:pt idx="383">
                  <c:v>0.35240185501117333</c:v>
                </c:pt>
                <c:pt idx="384">
                  <c:v>0.35364005061569503</c:v>
                </c:pt>
                <c:pt idx="385">
                  <c:v>0.35487885357522958</c:v>
                </c:pt>
                <c:pt idx="386">
                  <c:v>0.35611825836016836</c:v>
                </c:pt>
                <c:pt idx="387">
                  <c:v>0.35735825944895383</c:v>
                </c:pt>
                <c:pt idx="388">
                  <c:v>0.35859885132799063</c:v>
                </c:pt>
                <c:pt idx="389">
                  <c:v>0.35984002849155639</c:v>
                </c:pt>
                <c:pt idx="390">
                  <c:v>0.36108178544171426</c:v>
                </c:pt>
                <c:pt idx="391">
                  <c:v>0.36232411668822473</c:v>
                </c:pt>
                <c:pt idx="392">
                  <c:v>0.36356701674845876</c:v>
                </c:pt>
                <c:pt idx="393">
                  <c:v>0.36481048014731143</c:v>
                </c:pt>
                <c:pt idx="394">
                  <c:v>0.36605450141711565</c:v>
                </c:pt>
                <c:pt idx="395">
                  <c:v>0.36729907509755705</c:v>
                </c:pt>
                <c:pt idx="396">
                  <c:v>0.36854419573558872</c:v>
                </c:pt>
                <c:pt idx="397">
                  <c:v>0.36978985788534685</c:v>
                </c:pt>
                <c:pt idx="398">
                  <c:v>0.371036056108067</c:v>
                </c:pt>
                <c:pt idx="399">
                  <c:v>0.3722827849720004</c:v>
                </c:pt>
                <c:pt idx="400">
                  <c:v>0.37353003905233101</c:v>
                </c:pt>
                <c:pt idx="401">
                  <c:v>0.37477781293109313</c:v>
                </c:pt>
                <c:pt idx="402">
                  <c:v>0.37602610119708929</c:v>
                </c:pt>
                <c:pt idx="403">
                  <c:v>0.37727489844580886</c:v>
                </c:pt>
                <c:pt idx="404">
                  <c:v>0.37852419927934672</c:v>
                </c:pt>
                <c:pt idx="405">
                  <c:v>0.37977399830632286</c:v>
                </c:pt>
                <c:pt idx="406">
                  <c:v>0.38102429014180184</c:v>
                </c:pt>
                <c:pt idx="407">
                  <c:v>0.38227506940721351</c:v>
                </c:pt>
                <c:pt idx="408">
                  <c:v>0.38352633073027326</c:v>
                </c:pt>
                <c:pt idx="409">
                  <c:v>0.38477806874490328</c:v>
                </c:pt>
                <c:pt idx="410">
                  <c:v>0.38603027809115409</c:v>
                </c:pt>
                <c:pt idx="411">
                  <c:v>0.38728295341512631</c:v>
                </c:pt>
                <c:pt idx="412">
                  <c:v>0.38853608936889317</c:v>
                </c:pt>
                <c:pt idx="413">
                  <c:v>0.38978968061042329</c:v>
                </c:pt>
                <c:pt idx="414">
                  <c:v>0.39104372180350355</c:v>
                </c:pt>
                <c:pt idx="415">
                  <c:v>0.3922982076176626</c:v>
                </c:pt>
                <c:pt idx="416">
                  <c:v>0.39355313272809511</c:v>
                </c:pt>
                <c:pt idx="417">
                  <c:v>0.39480849181558564</c:v>
                </c:pt>
                <c:pt idx="418">
                  <c:v>0.39606427956643353</c:v>
                </c:pt>
                <c:pt idx="419">
                  <c:v>0.39732049067237762</c:v>
                </c:pt>
                <c:pt idx="420">
                  <c:v>0.39857711983052202</c:v>
                </c:pt>
                <c:pt idx="421">
                  <c:v>0.39983416174326136</c:v>
                </c:pt>
                <c:pt idx="422">
                  <c:v>0.40109161111820724</c:v>
                </c:pt>
                <c:pt idx="423">
                  <c:v>0.40234946266811422</c:v>
                </c:pt>
                <c:pt idx="424">
                  <c:v>0.4036077111108069</c:v>
                </c:pt>
                <c:pt idx="425">
                  <c:v>0.40486635116910691</c:v>
                </c:pt>
                <c:pt idx="426">
                  <c:v>0.40612537757076006</c:v>
                </c:pt>
                <c:pt idx="427">
                  <c:v>0.40738478504836428</c:v>
                </c:pt>
                <c:pt idx="428">
                  <c:v>0.40864456833929769</c:v>
                </c:pt>
                <c:pt idx="429">
                  <c:v>0.40990472218564661</c:v>
                </c:pt>
                <c:pt idx="430">
                  <c:v>0.41116524133413446</c:v>
                </c:pt>
                <c:pt idx="431">
                  <c:v>0.41242612053605071</c:v>
                </c:pt>
                <c:pt idx="432">
                  <c:v>0.41368735454717981</c:v>
                </c:pt>
                <c:pt idx="433">
                  <c:v>0.41494893812773098</c:v>
                </c:pt>
                <c:pt idx="434">
                  <c:v>0.41621086604226798</c:v>
                </c:pt>
                <c:pt idx="435">
                  <c:v>0.4174731330596389</c:v>
                </c:pt>
                <c:pt idx="436">
                  <c:v>0.41873573395290692</c:v>
                </c:pt>
                <c:pt idx="437">
                  <c:v>0.41999866349928061</c:v>
                </c:pt>
                <c:pt idx="438">
                  <c:v>0.4212619164800448</c:v>
                </c:pt>
                <c:pt idx="439">
                  <c:v>0.42252548768049203</c:v>
                </c:pt>
                <c:pt idx="440">
                  <c:v>0.42378937188985344</c:v>
                </c:pt>
                <c:pt idx="441">
                  <c:v>0.42505356390123084</c:v>
                </c:pt>
                <c:pt idx="442">
                  <c:v>0.42631805851152849</c:v>
                </c:pt>
                <c:pt idx="443">
                  <c:v>0.42758285052138489</c:v>
                </c:pt>
                <c:pt idx="444">
                  <c:v>0.42884793473510568</c:v>
                </c:pt>
                <c:pt idx="445">
                  <c:v>0.43011330596059572</c:v>
                </c:pt>
                <c:pt idx="446">
                  <c:v>0.43137895900929213</c:v>
                </c:pt>
                <c:pt idx="447">
                  <c:v>0.43264488869609741</c:v>
                </c:pt>
                <c:pt idx="448">
                  <c:v>0.43391108983931248</c:v>
                </c:pt>
                <c:pt idx="449">
                  <c:v>0.43517755726057017</c:v>
                </c:pt>
                <c:pt idx="450">
                  <c:v>0.43644428578476913</c:v>
                </c:pt>
                <c:pt idx="451">
                  <c:v>0.43771127024000722</c:v>
                </c:pt>
                <c:pt idx="452">
                  <c:v>0.43897850545751604</c:v>
                </c:pt>
                <c:pt idx="453">
                  <c:v>0.44024598627159511</c:v>
                </c:pt>
                <c:pt idx="454">
                  <c:v>0.44151370751954594</c:v>
                </c:pt>
                <c:pt idx="455">
                  <c:v>0.44278166404160718</c:v>
                </c:pt>
                <c:pt idx="456">
                  <c:v>0.44404985068088909</c:v>
                </c:pt>
                <c:pt idx="457">
                  <c:v>0.44531826228330862</c:v>
                </c:pt>
                <c:pt idx="458">
                  <c:v>0.44658689369752474</c:v>
                </c:pt>
                <c:pt idx="459">
                  <c:v>0.44785573977487353</c:v>
                </c:pt>
                <c:pt idx="460">
                  <c:v>0.44912479536930383</c:v>
                </c:pt>
                <c:pt idx="461">
                  <c:v>0.45039405533731286</c:v>
                </c:pt>
                <c:pt idx="462">
                  <c:v>0.451663514537882</c:v>
                </c:pt>
                <c:pt idx="463">
                  <c:v>0.45293316783241289</c:v>
                </c:pt>
                <c:pt idx="464">
                  <c:v>0.45420301008466335</c:v>
                </c:pt>
                <c:pt idx="465">
                  <c:v>0.4554730361606838</c:v>
                </c:pt>
                <c:pt idx="466">
                  <c:v>0.45674324092875374</c:v>
                </c:pt>
                <c:pt idx="467">
                  <c:v>0.45801361925931794</c:v>
                </c:pt>
                <c:pt idx="468">
                  <c:v>0.4592841660249235</c:v>
                </c:pt>
                <c:pt idx="469">
                  <c:v>0.46055487610015633</c:v>
                </c:pt>
                <c:pt idx="470">
                  <c:v>0.46182574436157847</c:v>
                </c:pt>
                <c:pt idx="471">
                  <c:v>0.46309676568766467</c:v>
                </c:pt>
                <c:pt idx="472">
                  <c:v>0.46436793495873985</c:v>
                </c:pt>
                <c:pt idx="473">
                  <c:v>0.46563924705691628</c:v>
                </c:pt>
                <c:pt idx="474">
                  <c:v>0.46691069686603104</c:v>
                </c:pt>
                <c:pt idx="475">
                  <c:v>0.46818227927158329</c:v>
                </c:pt>
                <c:pt idx="476">
                  <c:v>0.46945398916067216</c:v>
                </c:pt>
                <c:pt idx="477">
                  <c:v>0.47072582142193409</c:v>
                </c:pt>
                <c:pt idx="478">
                  <c:v>0.47199777094548101</c:v>
                </c:pt>
                <c:pt idx="479">
                  <c:v>0.47326983262283784</c:v>
                </c:pt>
                <c:pt idx="480">
                  <c:v>0.47454200134688063</c:v>
                </c:pt>
                <c:pt idx="481">
                  <c:v>0.47581427201177445</c:v>
                </c:pt>
                <c:pt idx="482">
                  <c:v>0.47708663951291175</c:v>
                </c:pt>
                <c:pt idx="483">
                  <c:v>0.47835909874685034</c:v>
                </c:pt>
                <c:pt idx="484">
                  <c:v>0.47963164461125163</c:v>
                </c:pt>
                <c:pt idx="485">
                  <c:v>0.48090427200481906</c:v>
                </c:pt>
                <c:pt idx="486">
                  <c:v>0.48217697582723645</c:v>
                </c:pt>
                <c:pt idx="487">
                  <c:v>0.48344975097910636</c:v>
                </c:pt>
                <c:pt idx="488">
                  <c:v>0.48472259236188875</c:v>
                </c:pt>
                <c:pt idx="489">
                  <c:v>0.48599549487783933</c:v>
                </c:pt>
                <c:pt idx="490">
                  <c:v>0.4872684534299484</c:v>
                </c:pt>
                <c:pt idx="491">
                  <c:v>0.48854146292187917</c:v>
                </c:pt>
                <c:pt idx="492">
                  <c:v>0.48981451825790678</c:v>
                </c:pt>
                <c:pt idx="493">
                  <c:v>0.49108761434285675</c:v>
                </c:pt>
                <c:pt idx="494">
                  <c:v>0.49236074608204394</c:v>
                </c:pt>
                <c:pt idx="495">
                  <c:v>0.49363390838121118</c:v>
                </c:pt>
                <c:pt idx="496">
                  <c:v>0.49490709614646811</c:v>
                </c:pt>
                <c:pt idx="497">
                  <c:v>0.4961803042842301</c:v>
                </c:pt>
                <c:pt idx="498">
                  <c:v>0.49745352770115686</c:v>
                </c:pt>
                <c:pt idx="499">
                  <c:v>0.49872676130409171</c:v>
                </c:pt>
                <c:pt idx="500">
                  <c:v>0.5</c:v>
                </c:pt>
                <c:pt idx="501">
                  <c:v>0.50127323869590834</c:v>
                </c:pt>
                <c:pt idx="502">
                  <c:v>0.50254647229884308</c:v>
                </c:pt>
                <c:pt idx="503">
                  <c:v>0.5038196957157699</c:v>
                </c:pt>
                <c:pt idx="504">
                  <c:v>0.50509290385353189</c:v>
                </c:pt>
                <c:pt idx="505">
                  <c:v>0.50636609161878887</c:v>
                </c:pt>
                <c:pt idx="506">
                  <c:v>0.50763925391795606</c:v>
                </c:pt>
                <c:pt idx="507">
                  <c:v>0.50891238565714325</c:v>
                </c:pt>
                <c:pt idx="508">
                  <c:v>0.51018548174209322</c:v>
                </c:pt>
                <c:pt idx="509">
                  <c:v>0.51145853707812083</c:v>
                </c:pt>
                <c:pt idx="510">
                  <c:v>0.5127315465700516</c:v>
                </c:pt>
                <c:pt idx="511">
                  <c:v>0.51400450512216067</c:v>
                </c:pt>
                <c:pt idx="512">
                  <c:v>0.51527740763811125</c:v>
                </c:pt>
                <c:pt idx="513">
                  <c:v>0.51655024902089364</c:v>
                </c:pt>
                <c:pt idx="514">
                  <c:v>0.5178230241727636</c:v>
                </c:pt>
                <c:pt idx="515">
                  <c:v>0.51909572799518089</c:v>
                </c:pt>
                <c:pt idx="516">
                  <c:v>0.52036835538874837</c:v>
                </c:pt>
                <c:pt idx="517">
                  <c:v>0.52164090125314966</c:v>
                </c:pt>
                <c:pt idx="518">
                  <c:v>0.52291336048708825</c:v>
                </c:pt>
                <c:pt idx="519">
                  <c:v>0.5241857279882256</c:v>
                </c:pt>
                <c:pt idx="520">
                  <c:v>0.52545799865311937</c:v>
                </c:pt>
                <c:pt idx="521">
                  <c:v>0.52673016737716216</c:v>
                </c:pt>
                <c:pt idx="522">
                  <c:v>0.52800222905451899</c:v>
                </c:pt>
                <c:pt idx="523">
                  <c:v>0.52927417857806591</c:v>
                </c:pt>
                <c:pt idx="524">
                  <c:v>0.53054601083932784</c:v>
                </c:pt>
                <c:pt idx="525">
                  <c:v>0.53181772072841671</c:v>
                </c:pt>
                <c:pt idx="526">
                  <c:v>0.53308930313396896</c:v>
                </c:pt>
                <c:pt idx="527">
                  <c:v>0.53436075294308372</c:v>
                </c:pt>
                <c:pt idx="528">
                  <c:v>0.53563206504126015</c:v>
                </c:pt>
                <c:pt idx="529">
                  <c:v>0.53690323431233533</c:v>
                </c:pt>
                <c:pt idx="530">
                  <c:v>0.53817425563842158</c:v>
                </c:pt>
                <c:pt idx="531">
                  <c:v>0.53944512389984367</c:v>
                </c:pt>
                <c:pt idx="532">
                  <c:v>0.54071583397507661</c:v>
                </c:pt>
                <c:pt idx="533">
                  <c:v>0.54198638074068217</c:v>
                </c:pt>
                <c:pt idx="534">
                  <c:v>0.54325675907124638</c:v>
                </c:pt>
                <c:pt idx="535">
                  <c:v>0.5445269638393162</c:v>
                </c:pt>
                <c:pt idx="536">
                  <c:v>0.54579698991533676</c:v>
                </c:pt>
                <c:pt idx="537">
                  <c:v>0.54706683216758722</c:v>
                </c:pt>
                <c:pt idx="538">
                  <c:v>0.54833648546211811</c:v>
                </c:pt>
                <c:pt idx="539">
                  <c:v>0.5496059446626872</c:v>
                </c:pt>
                <c:pt idx="540">
                  <c:v>0.55087520463069617</c:v>
                </c:pt>
                <c:pt idx="541">
                  <c:v>0.55214426022512653</c:v>
                </c:pt>
                <c:pt idx="542">
                  <c:v>0.55341310630247531</c:v>
                </c:pt>
                <c:pt idx="543">
                  <c:v>0.55468173771669149</c:v>
                </c:pt>
                <c:pt idx="544">
                  <c:v>0.55595014931911102</c:v>
                </c:pt>
                <c:pt idx="545">
                  <c:v>0.55721833595839287</c:v>
                </c:pt>
                <c:pt idx="546">
                  <c:v>0.55848629248045412</c:v>
                </c:pt>
                <c:pt idx="547">
                  <c:v>0.55975401372840494</c:v>
                </c:pt>
                <c:pt idx="548">
                  <c:v>0.56102149454248396</c:v>
                </c:pt>
                <c:pt idx="549">
                  <c:v>0.56228872975999289</c:v>
                </c:pt>
                <c:pt idx="550">
                  <c:v>0.56355571421523099</c:v>
                </c:pt>
                <c:pt idx="551">
                  <c:v>0.56482244273942983</c:v>
                </c:pt>
                <c:pt idx="552">
                  <c:v>0.56608891016068763</c:v>
                </c:pt>
                <c:pt idx="553">
                  <c:v>0.56735511130390259</c:v>
                </c:pt>
                <c:pt idx="554">
                  <c:v>0.56862104099070798</c:v>
                </c:pt>
                <c:pt idx="555">
                  <c:v>0.5698866940394044</c:v>
                </c:pt>
                <c:pt idx="556">
                  <c:v>0.57115206526489437</c:v>
                </c:pt>
                <c:pt idx="557">
                  <c:v>0.57241714947861522</c:v>
                </c:pt>
                <c:pt idx="558">
                  <c:v>0.57368194148847163</c:v>
                </c:pt>
                <c:pt idx="559">
                  <c:v>0.57494643609876928</c:v>
                </c:pt>
                <c:pt idx="560">
                  <c:v>0.57621062811014667</c:v>
                </c:pt>
                <c:pt idx="561">
                  <c:v>0.57747451231950808</c:v>
                </c:pt>
                <c:pt idx="562">
                  <c:v>0.57873808351995526</c:v>
                </c:pt>
                <c:pt idx="563">
                  <c:v>0.58000133650071928</c:v>
                </c:pt>
                <c:pt idx="564">
                  <c:v>0.58126426604709303</c:v>
                </c:pt>
                <c:pt idx="565">
                  <c:v>0.58252686694036104</c:v>
                </c:pt>
                <c:pt idx="566">
                  <c:v>0.58378913395773191</c:v>
                </c:pt>
                <c:pt idx="567">
                  <c:v>0.58505106187226896</c:v>
                </c:pt>
                <c:pt idx="568">
                  <c:v>0.58631264545282014</c:v>
                </c:pt>
                <c:pt idx="569">
                  <c:v>0.58757387946394923</c:v>
                </c:pt>
                <c:pt idx="570">
                  <c:v>0.58883475866586543</c:v>
                </c:pt>
                <c:pt idx="571">
                  <c:v>0.59009527781435334</c:v>
                </c:pt>
                <c:pt idx="572">
                  <c:v>0.59135543166070226</c:v>
                </c:pt>
                <c:pt idx="573">
                  <c:v>0.5926152149516356</c:v>
                </c:pt>
                <c:pt idx="574">
                  <c:v>0.59387462242923994</c:v>
                </c:pt>
                <c:pt idx="575">
                  <c:v>0.59513364883089304</c:v>
                </c:pt>
                <c:pt idx="576">
                  <c:v>0.59639228888919305</c:v>
                </c:pt>
                <c:pt idx="577">
                  <c:v>0.59765053733188567</c:v>
                </c:pt>
                <c:pt idx="578">
                  <c:v>0.59890838888179276</c:v>
                </c:pt>
                <c:pt idx="579">
                  <c:v>0.60016583825673853</c:v>
                </c:pt>
                <c:pt idx="580">
                  <c:v>0.60142288016947787</c:v>
                </c:pt>
                <c:pt idx="581">
                  <c:v>0.60267950932762226</c:v>
                </c:pt>
                <c:pt idx="582">
                  <c:v>0.60393572043356647</c:v>
                </c:pt>
                <c:pt idx="583">
                  <c:v>0.60519150818441436</c:v>
                </c:pt>
                <c:pt idx="584">
                  <c:v>0.60644686727190478</c:v>
                </c:pt>
                <c:pt idx="585">
                  <c:v>0.60770179238233735</c:v>
                </c:pt>
                <c:pt idx="586">
                  <c:v>0.60895627819649645</c:v>
                </c:pt>
                <c:pt idx="587">
                  <c:v>0.61021031938957659</c:v>
                </c:pt>
                <c:pt idx="588">
                  <c:v>0.61146391063110672</c:v>
                </c:pt>
                <c:pt idx="589">
                  <c:v>0.61271704658487369</c:v>
                </c:pt>
                <c:pt idx="590">
                  <c:v>0.61396972190884591</c:v>
                </c:pt>
                <c:pt idx="591">
                  <c:v>0.61522193125509661</c:v>
                </c:pt>
                <c:pt idx="592">
                  <c:v>0.61647366926972669</c:v>
                </c:pt>
                <c:pt idx="593">
                  <c:v>0.61772493059278644</c:v>
                </c:pt>
                <c:pt idx="594">
                  <c:v>0.61897570985819816</c:v>
                </c:pt>
                <c:pt idx="595">
                  <c:v>0.62022600169367714</c:v>
                </c:pt>
                <c:pt idx="596">
                  <c:v>0.62147580072065334</c:v>
                </c:pt>
                <c:pt idx="597">
                  <c:v>0.62272510155419114</c:v>
                </c:pt>
                <c:pt idx="598">
                  <c:v>0.62397389880291065</c:v>
                </c:pt>
                <c:pt idx="599">
                  <c:v>0.62522218706890687</c:v>
                </c:pt>
                <c:pt idx="600">
                  <c:v>0.62646996094766894</c:v>
                </c:pt>
                <c:pt idx="601">
                  <c:v>0.6277172150279996</c:v>
                </c:pt>
                <c:pt idx="602">
                  <c:v>0.628963943891933</c:v>
                </c:pt>
                <c:pt idx="603">
                  <c:v>0.63021014211465309</c:v>
                </c:pt>
                <c:pt idx="604">
                  <c:v>0.63145580426441128</c:v>
                </c:pt>
                <c:pt idx="605">
                  <c:v>0.6327009249024429</c:v>
                </c:pt>
                <c:pt idx="606">
                  <c:v>0.63394549858288429</c:v>
                </c:pt>
                <c:pt idx="607">
                  <c:v>0.63518951985268857</c:v>
                </c:pt>
                <c:pt idx="608">
                  <c:v>0.63643298325154118</c:v>
                </c:pt>
                <c:pt idx="609">
                  <c:v>0.63767588331177527</c:v>
                </c:pt>
                <c:pt idx="610">
                  <c:v>0.63891821455828568</c:v>
                </c:pt>
                <c:pt idx="611">
                  <c:v>0.64015997150844361</c:v>
                </c:pt>
                <c:pt idx="612">
                  <c:v>0.64140114867200937</c:v>
                </c:pt>
                <c:pt idx="613">
                  <c:v>0.64264174055104617</c:v>
                </c:pt>
                <c:pt idx="614">
                  <c:v>0.6438817416398317</c:v>
                </c:pt>
                <c:pt idx="615">
                  <c:v>0.64512114642477036</c:v>
                </c:pt>
                <c:pt idx="616">
                  <c:v>0.64635994938430497</c:v>
                </c:pt>
                <c:pt idx="617">
                  <c:v>0.64759814498882662</c:v>
                </c:pt>
                <c:pt idx="618">
                  <c:v>0.64883572770058562</c:v>
                </c:pt>
                <c:pt idx="619">
                  <c:v>0.65007269197360018</c:v>
                </c:pt>
                <c:pt idx="620">
                  <c:v>0.65130903225356662</c:v>
                </c:pt>
                <c:pt idx="621">
                  <c:v>0.65254474297776643</c:v>
                </c:pt>
                <c:pt idx="622">
                  <c:v>0.65377981857497502</c:v>
                </c:pt>
                <c:pt idx="623">
                  <c:v>0.65501425346536812</c:v>
                </c:pt>
                <c:pt idx="624">
                  <c:v>0.65624804206042908</c:v>
                </c:pt>
                <c:pt idx="625">
                  <c:v>0.65748117876285372</c:v>
                </c:pt>
                <c:pt idx="626">
                  <c:v>0.65871365796645664</c:v>
                </c:pt>
                <c:pt idx="627">
                  <c:v>0.65994547405607507</c:v>
                </c:pt>
                <c:pt idx="628">
                  <c:v>0.66117662140747313</c:v>
                </c:pt>
                <c:pt idx="629">
                  <c:v>0.66240709438724465</c:v>
                </c:pt>
                <c:pt idx="630">
                  <c:v>0.6636368873527162</c:v>
                </c:pt>
                <c:pt idx="631">
                  <c:v>0.66486599465184892</c:v>
                </c:pt>
                <c:pt idx="632">
                  <c:v>0.66609441062313912</c:v>
                </c:pt>
                <c:pt idx="633">
                  <c:v>0.66732212959551951</c:v>
                </c:pt>
                <c:pt idx="634">
                  <c:v>0.66854914588825842</c:v>
                </c:pt>
                <c:pt idx="635">
                  <c:v>0.66977545381085868</c:v>
                </c:pt>
                <c:pt idx="636">
                  <c:v>0.67100104766295665</c:v>
                </c:pt>
                <c:pt idx="637">
                  <c:v>0.67222592173421847</c:v>
                </c:pt>
                <c:pt idx="638">
                  <c:v>0.67345007030423798</c:v>
                </c:pt>
                <c:pt idx="639">
                  <c:v>0.67467348764243207</c:v>
                </c:pt>
                <c:pt idx="640">
                  <c:v>0.67589616800793606</c:v>
                </c:pt>
                <c:pt idx="641">
                  <c:v>0.67711810564949781</c:v>
                </c:pt>
                <c:pt idx="642">
                  <c:v>0.67833929480537147</c:v>
                </c:pt>
                <c:pt idx="643">
                  <c:v>0.67955972970321055</c:v>
                </c:pt>
                <c:pt idx="644">
                  <c:v>0.68077940455995922</c:v>
                </c:pt>
                <c:pt idx="645">
                  <c:v>0.68199831358174368</c:v>
                </c:pt>
                <c:pt idx="646">
                  <c:v>0.68321645096376271</c:v>
                </c:pt>
                <c:pt idx="647">
                  <c:v>0.6844338108901763</c:v>
                </c:pt>
                <c:pt idx="648">
                  <c:v>0.68565038753399499</c:v>
                </c:pt>
                <c:pt idx="649">
                  <c:v>0.68686617505696657</c:v>
                </c:pt>
                <c:pt idx="650">
                  <c:v>0.68808116760946358</c:v>
                </c:pt>
                <c:pt idx="651">
                  <c:v>0.68929535933036856</c:v>
                </c:pt>
                <c:pt idx="652">
                  <c:v>0.69050874434695908</c:v>
                </c:pt>
                <c:pt idx="653">
                  <c:v>0.69172131677479165</c:v>
                </c:pt>
                <c:pt idx="654">
                  <c:v>0.69293307071758448</c:v>
                </c:pt>
                <c:pt idx="655">
                  <c:v>0.69414400026709988</c:v>
                </c:pt>
                <c:pt idx="656">
                  <c:v>0.69535409950302474</c:v>
                </c:pt>
                <c:pt idx="657">
                  <c:v>0.69656336249285089</c:v>
                </c:pt>
                <c:pt idx="658">
                  <c:v>0.69777178329175404</c:v>
                </c:pt>
                <c:pt idx="659">
                  <c:v>0.69897935594247129</c:v>
                </c:pt>
                <c:pt idx="660">
                  <c:v>0.70018607447517911</c:v>
                </c:pt>
                <c:pt idx="661">
                  <c:v>0.7013919329073679</c:v>
                </c:pt>
                <c:pt idx="662">
                  <c:v>0.70259692524371775</c:v>
                </c:pt>
                <c:pt idx="663">
                  <c:v>0.70380104547597189</c:v>
                </c:pt>
                <c:pt idx="664">
                  <c:v>0.70500428758280898</c:v>
                </c:pt>
                <c:pt idx="665">
                  <c:v>0.70620664552971535</c:v>
                </c:pt>
                <c:pt idx="666">
                  <c:v>0.70740811326885433</c:v>
                </c:pt>
                <c:pt idx="667">
                  <c:v>0.70860868473893657</c:v>
                </c:pt>
                <c:pt idx="668">
                  <c:v>0.70980835386508734</c:v>
                </c:pt>
                <c:pt idx="669">
                  <c:v>0.71100711455871357</c:v>
                </c:pt>
                <c:pt idx="670">
                  <c:v>0.71220496071736983</c:v>
                </c:pt>
                <c:pt idx="671">
                  <c:v>0.71340188622462253</c:v>
                </c:pt>
                <c:pt idx="672">
                  <c:v>0.71459788494991283</c:v>
                </c:pt>
                <c:pt idx="673">
                  <c:v>0.71579295074841964</c:v>
                </c:pt>
                <c:pt idx="674">
                  <c:v>0.71698707746091916</c:v>
                </c:pt>
                <c:pt idx="675">
                  <c:v>0.71818025891364512</c:v>
                </c:pt>
                <c:pt idx="676">
                  <c:v>0.71937248891814631</c:v>
                </c:pt>
                <c:pt idx="677">
                  <c:v>0.72056376127114397</c:v>
                </c:pt>
                <c:pt idx="678">
                  <c:v>0.72175406975438683</c:v>
                </c:pt>
                <c:pt idx="679">
                  <c:v>0.72294340813450519</c:v>
                </c:pt>
                <c:pt idx="680">
                  <c:v>0.72413177016286401</c:v>
                </c:pt>
                <c:pt idx="681">
                  <c:v>0.72531914957541366</c:v>
                </c:pt>
                <c:pt idx="682">
                  <c:v>0.7265055400925402</c:v>
                </c:pt>
                <c:pt idx="683">
                  <c:v>0.72769093541891372</c:v>
                </c:pt>
                <c:pt idx="684">
                  <c:v>0.7288753292433352</c:v>
                </c:pt>
                <c:pt idx="685">
                  <c:v>0.73005871523858223</c:v>
                </c:pt>
                <c:pt idx="686">
                  <c:v>0.73124108706125224</c:v>
                </c:pt>
                <c:pt idx="687">
                  <c:v>0.73242243835160625</c:v>
                </c:pt>
                <c:pt idx="688">
                  <c:v>0.7336027627334083</c:v>
                </c:pt>
                <c:pt idx="689">
                  <c:v>0.73478205381376593</c:v>
                </c:pt>
                <c:pt idx="690">
                  <c:v>0.73596030518296696</c:v>
                </c:pt>
                <c:pt idx="691">
                  <c:v>0.73713751041431619</c:v>
                </c:pt>
                <c:pt idx="692">
                  <c:v>0.73831366306396939</c:v>
                </c:pt>
                <c:pt idx="693">
                  <c:v>0.73948875667076641</c:v>
                </c:pt>
                <c:pt idx="694">
                  <c:v>0.74066278475606184</c:v>
                </c:pt>
                <c:pt idx="695">
                  <c:v>0.74183574082355452</c:v>
                </c:pt>
                <c:pt idx="696">
                  <c:v>0.743007618359115</c:v>
                </c:pt>
                <c:pt idx="697">
                  <c:v>0.74417841083061176</c:v>
                </c:pt>
                <c:pt idx="698">
                  <c:v>0.7453481116877344</c:v>
                </c:pt>
                <c:pt idx="699">
                  <c:v>0.74651671436181621</c:v>
                </c:pt>
                <c:pt idx="700">
                  <c:v>0.74768421226565451</c:v>
                </c:pt>
                <c:pt idx="701">
                  <c:v>0.74885059879332883</c:v>
                </c:pt>
                <c:pt idx="702">
                  <c:v>0.75001586732001746</c:v>
                </c:pt>
                <c:pt idx="703">
                  <c:v>0.7511800112018121</c:v>
                </c:pt>
                <c:pt idx="704">
                  <c:v>0.75234302377552997</c:v>
                </c:pt>
                <c:pt idx="705">
                  <c:v>0.75350489835852485</c:v>
                </c:pt>
                <c:pt idx="706">
                  <c:v>0.75466562824849492</c:v>
                </c:pt>
                <c:pt idx="707">
                  <c:v>0.75582520672328979</c:v>
                </c:pt>
                <c:pt idx="708">
                  <c:v>0.75698362704071465</c:v>
                </c:pt>
                <c:pt idx="709">
                  <c:v>0.758140882438332</c:v>
                </c:pt>
                <c:pt idx="710">
                  <c:v>0.75929696613326192</c:v>
                </c:pt>
                <c:pt idx="711">
                  <c:v>0.76045187132198011</c:v>
                </c:pt>
                <c:pt idx="712">
                  <c:v>0.76160559118011306</c:v>
                </c:pt>
                <c:pt idx="713">
                  <c:v>0.76275811886223122</c:v>
                </c:pt>
                <c:pt idx="714">
                  <c:v>0.76390944750164025</c:v>
                </c:pt>
                <c:pt idx="715">
                  <c:v>0.76505957021016946</c:v>
                </c:pt>
                <c:pt idx="716">
                  <c:v>0.76620848007795783</c:v>
                </c:pt>
                <c:pt idx="717">
                  <c:v>0.76735617017323832</c:v>
                </c:pt>
                <c:pt idx="718">
                  <c:v>0.76850263354211845</c:v>
                </c:pt>
                <c:pt idx="719">
                  <c:v>0.76964786320835965</c:v>
                </c:pt>
                <c:pt idx="720">
                  <c:v>0.77079185217315327</c:v>
                </c:pt>
                <c:pt idx="721">
                  <c:v>0.77193459341489412</c:v>
                </c:pt>
                <c:pt idx="722">
                  <c:v>0.77307607988895199</c:v>
                </c:pt>
                <c:pt idx="723">
                  <c:v>0.77421630452743939</c:v>
                </c:pt>
                <c:pt idx="724">
                  <c:v>0.77535526023897772</c:v>
                </c:pt>
                <c:pt idx="725">
                  <c:v>0.77649293990845958</c:v>
                </c:pt>
                <c:pt idx="726">
                  <c:v>0.77762933639680953</c:v>
                </c:pt>
                <c:pt idx="727">
                  <c:v>0.77876444254074095</c:v>
                </c:pt>
                <c:pt idx="728">
                  <c:v>0.77989825115250999</c:v>
                </c:pt>
                <c:pt idx="729">
                  <c:v>0.78103075501966768</c:v>
                </c:pt>
                <c:pt idx="730">
                  <c:v>0.78216194690480789</c:v>
                </c:pt>
                <c:pt idx="731">
                  <c:v>0.78329181954531246</c:v>
                </c:pt>
                <c:pt idx="732">
                  <c:v>0.78442036565309392</c:v>
                </c:pt>
                <c:pt idx="733">
                  <c:v>0.78554757791433427</c:v>
                </c:pt>
                <c:pt idx="734">
                  <c:v>0.78667344898922076</c:v>
                </c:pt>
                <c:pt idx="735">
                  <c:v>0.78779797151167852</c:v>
                </c:pt>
                <c:pt idx="736">
                  <c:v>0.78892113808910036</c:v>
                </c:pt>
                <c:pt idx="737">
                  <c:v>0.79004294130207176</c:v>
                </c:pt>
                <c:pt idx="738">
                  <c:v>0.79116337370409406</c:v>
                </c:pt>
                <c:pt idx="739">
                  <c:v>0.79228242782130331</c:v>
                </c:pt>
                <c:pt idx="740">
                  <c:v>0.79340009615218565</c:v>
                </c:pt>
                <c:pt idx="741">
                  <c:v>0.7945163711672889</c:v>
                </c:pt>
                <c:pt idx="742">
                  <c:v>0.79563124530893148</c:v>
                </c:pt>
                <c:pt idx="743">
                  <c:v>0.79674471099090571</c:v>
                </c:pt>
                <c:pt idx="744">
                  <c:v>0.79785676059817945</c:v>
                </c:pt>
                <c:pt idx="745">
                  <c:v>0.79896738648659238</c:v>
                </c:pt>
                <c:pt idx="746">
                  <c:v>0.80007658098254852</c:v>
                </c:pt>
                <c:pt idx="747">
                  <c:v>0.80118433638270603</c:v>
                </c:pt>
                <c:pt idx="748">
                  <c:v>0.80229064495366054</c:v>
                </c:pt>
                <c:pt idx="749">
                  <c:v>0.80339549893162676</c:v>
                </c:pt>
                <c:pt idx="750">
                  <c:v>0.80449889052211465</c:v>
                </c:pt>
                <c:pt idx="751">
                  <c:v>0.80560081189960109</c:v>
                </c:pt>
                <c:pt idx="752">
                  <c:v>0.8067012552071976</c:v>
                </c:pt>
                <c:pt idx="753">
                  <c:v>0.80780021255631385</c:v>
                </c:pt>
                <c:pt idx="754">
                  <c:v>0.80889767602631624</c:v>
                </c:pt>
                <c:pt idx="755">
                  <c:v>0.80999363766418153</c:v>
                </c:pt>
                <c:pt idx="756">
                  <c:v>0.81108808948414635</c:v>
                </c:pt>
                <c:pt idx="757">
                  <c:v>0.81218102346735221</c:v>
                </c:pt>
                <c:pt idx="758">
                  <c:v>0.81327243156148432</c:v>
                </c:pt>
                <c:pt idx="759">
                  <c:v>0.81436230568040657</c:v>
                </c:pt>
                <c:pt idx="760">
                  <c:v>0.81545063770379145</c:v>
                </c:pt>
                <c:pt idx="761">
                  <c:v>0.81653741947674408</c:v>
                </c:pt>
                <c:pt idx="762">
                  <c:v>0.81762264280942121</c:v>
                </c:pt>
                <c:pt idx="763">
                  <c:v>0.81870629947664564</c:v>
                </c:pt>
                <c:pt idx="764">
                  <c:v>0.81978838121751407</c:v>
                </c:pt>
                <c:pt idx="765">
                  <c:v>0.82086887973499989</c:v>
                </c:pt>
                <c:pt idx="766">
                  <c:v>0.82194778669555046</c:v>
                </c:pt>
                <c:pt idx="767">
                  <c:v>0.82302509372867827</c:v>
                </c:pt>
                <c:pt idx="768">
                  <c:v>0.82410079242654666</c:v>
                </c:pt>
                <c:pt idx="769">
                  <c:v>0.82517487434354897</c:v>
                </c:pt>
                <c:pt idx="770">
                  <c:v>0.82624733099588177</c:v>
                </c:pt>
                <c:pt idx="771">
                  <c:v>0.82731815386111207</c:v>
                </c:pt>
                <c:pt idx="772">
                  <c:v>0.82838733437773826</c:v>
                </c:pt>
                <c:pt idx="773">
                  <c:v>0.82945486394474388</c:v>
                </c:pt>
                <c:pt idx="774">
                  <c:v>0.83052073392114556</c:v>
                </c:pt>
                <c:pt idx="775">
                  <c:v>0.83158493562553337</c:v>
                </c:pt>
                <c:pt idx="776">
                  <c:v>0.83264746033560577</c:v>
                </c:pt>
                <c:pt idx="777">
                  <c:v>0.83370829928769541</c:v>
                </c:pt>
                <c:pt idx="778">
                  <c:v>0.83476744367628952</c:v>
                </c:pt>
                <c:pt idx="779">
                  <c:v>0.83582488465354254</c:v>
                </c:pt>
                <c:pt idx="780">
                  <c:v>0.83688061332878072</c:v>
                </c:pt>
                <c:pt idx="781">
                  <c:v>0.83793462076799974</c:v>
                </c:pt>
                <c:pt idx="782">
                  <c:v>0.83898689799335457</c:v>
                </c:pt>
                <c:pt idx="783">
                  <c:v>0.84003743598264113</c:v>
                </c:pt>
                <c:pt idx="784">
                  <c:v>0.84108622566876945</c:v>
                </c:pt>
                <c:pt idx="785">
                  <c:v>0.84213325793923</c:v>
                </c:pt>
                <c:pt idx="786">
                  <c:v>0.84317852363554979</c:v>
                </c:pt>
                <c:pt idx="787">
                  <c:v>0.84422201355274162</c:v>
                </c:pt>
                <c:pt idx="788">
                  <c:v>0.84526371843874304</c:v>
                </c:pt>
                <c:pt idx="789">
                  <c:v>0.84630362899384715</c:v>
                </c:pt>
                <c:pt idx="790">
                  <c:v>0.8473417358701244</c:v>
                </c:pt>
                <c:pt idx="791">
                  <c:v>0.84837802967083475</c:v>
                </c:pt>
                <c:pt idx="792">
                  <c:v>0.84941250094982967</c:v>
                </c:pt>
                <c:pt idx="793">
                  <c:v>0.85044514021094575</c:v>
                </c:pt>
                <c:pt idx="794">
                  <c:v>0.85147593790738718</c:v>
                </c:pt>
                <c:pt idx="795">
                  <c:v>0.85250488444109873</c:v>
                </c:pt>
                <c:pt idx="796">
                  <c:v>0.85353197016212767</c:v>
                </c:pt>
                <c:pt idx="797">
                  <c:v>0.85455718536797609</c:v>
                </c:pt>
                <c:pt idx="798">
                  <c:v>0.85558052030294118</c:v>
                </c:pt>
                <c:pt idx="799">
                  <c:v>0.85660196515744491</c:v>
                </c:pt>
                <c:pt idx="800">
                  <c:v>0.85762151006735299</c:v>
                </c:pt>
                <c:pt idx="801">
                  <c:v>0.85863914511328132</c:v>
                </c:pt>
                <c:pt idx="802">
                  <c:v>0.85965486031989058</c:v>
                </c:pt>
                <c:pt idx="803">
                  <c:v>0.86066864565516932</c:v>
                </c:pt>
                <c:pt idx="804">
                  <c:v>0.86168049102970456</c:v>
                </c:pt>
                <c:pt idx="805">
                  <c:v>0.86269038629593919</c:v>
                </c:pt>
                <c:pt idx="806">
                  <c:v>0.86369832124741619</c:v>
                </c:pt>
                <c:pt idx="807">
                  <c:v>0.86470428561801127</c:v>
                </c:pt>
                <c:pt idx="808">
                  <c:v>0.86570826908114928</c:v>
                </c:pt>
                <c:pt idx="809">
                  <c:v>0.86671026124900963</c:v>
                </c:pt>
                <c:pt idx="810">
                  <c:v>0.86771025167171412</c:v>
                </c:pt>
                <c:pt idx="811">
                  <c:v>0.86870822983650409</c:v>
                </c:pt>
                <c:pt idx="812">
                  <c:v>0.8697041851668994</c:v>
                </c:pt>
                <c:pt idx="813">
                  <c:v>0.87069810702184314</c:v>
                </c:pt>
                <c:pt idx="814">
                  <c:v>0.8716899846948325</c:v>
                </c:pt>
                <c:pt idx="815">
                  <c:v>0.87267980741303053</c:v>
                </c:pt>
                <c:pt idx="816">
                  <c:v>0.87366756433636361</c:v>
                </c:pt>
                <c:pt idx="817">
                  <c:v>0.87465324455660198</c:v>
                </c:pt>
                <c:pt idx="818">
                  <c:v>0.87563683709642204</c:v>
                </c:pt>
                <c:pt idx="819">
                  <c:v>0.87661833090845276</c:v>
                </c:pt>
                <c:pt idx="820">
                  <c:v>0.87759771487430138</c:v>
                </c:pt>
                <c:pt idx="821">
                  <c:v>0.87857497780356397</c:v>
                </c:pt>
                <c:pt idx="822">
                  <c:v>0.87955010843281389</c:v>
                </c:pt>
                <c:pt idx="823">
                  <c:v>0.88052309542457308</c:v>
                </c:pt>
                <c:pt idx="824">
                  <c:v>0.88149392736626175</c:v>
                </c:pt>
                <c:pt idx="825">
                  <c:v>0.88246259276912953</c:v>
                </c:pt>
                <c:pt idx="826">
                  <c:v>0.88342908006716325</c:v>
                </c:pt>
                <c:pt idx="827">
                  <c:v>0.88439337761597547</c:v>
                </c:pt>
                <c:pt idx="828">
                  <c:v>0.88535547369166978</c:v>
                </c:pt>
                <c:pt idx="829">
                  <c:v>0.88631535648968363</c:v>
                </c:pt>
                <c:pt idx="830">
                  <c:v>0.88727301412360804</c:v>
                </c:pt>
                <c:pt idx="831">
                  <c:v>0.88822843462398382</c:v>
                </c:pt>
                <c:pt idx="832">
                  <c:v>0.88918160593707241</c:v>
                </c:pt>
                <c:pt idx="833">
                  <c:v>0.8901325159236031</c:v>
                </c:pt>
                <c:pt idx="834">
                  <c:v>0.89108115235749275</c:v>
                </c:pt>
                <c:pt idx="835">
                  <c:v>0.89202750292454025</c:v>
                </c:pt>
                <c:pt idx="836">
                  <c:v>0.89297155522109395</c:v>
                </c:pt>
                <c:pt idx="837">
                  <c:v>0.89391329675268971</c:v>
                </c:pt>
                <c:pt idx="838">
                  <c:v>0.89485271493266227</c:v>
                </c:pt>
                <c:pt idx="839">
                  <c:v>0.89578979708072537</c:v>
                </c:pt>
                <c:pt idx="840">
                  <c:v>0.89672453042152267</c:v>
                </c:pt>
                <c:pt idx="841">
                  <c:v>0.89765690208314697</c:v>
                </c:pt>
                <c:pt idx="842">
                  <c:v>0.89858689909562806</c:v>
                </c:pt>
                <c:pt idx="843">
                  <c:v>0.89951450838938662</c:v>
                </c:pt>
                <c:pt idx="844">
                  <c:v>0.90043971679365564</c:v>
                </c:pt>
                <c:pt idx="845">
                  <c:v>0.90136251103486564</c:v>
                </c:pt>
                <c:pt idx="846">
                  <c:v>0.90228287773499483</c:v>
                </c:pt>
                <c:pt idx="847">
                  <c:v>0.9032008034098824</c:v>
                </c:pt>
                <c:pt idx="848">
                  <c:v>0.90411627446750364</c:v>
                </c:pt>
                <c:pt idx="849">
                  <c:v>0.9050292772062063</c:v>
                </c:pt>
                <c:pt idx="850">
                  <c:v>0.90593979781290634</c:v>
                </c:pt>
                <c:pt idx="851">
                  <c:v>0.90684782236124239</c:v>
                </c:pt>
                <c:pt idx="852">
                  <c:v>0.90775333680968773</c:v>
                </c:pt>
                <c:pt idx="853">
                  <c:v>0.90865632699961885</c:v>
                </c:pt>
                <c:pt idx="854">
                  <c:v>0.90955677865333706</c:v>
                </c:pt>
                <c:pt idx="855">
                  <c:v>0.91045467737204533</c:v>
                </c:pt>
                <c:pt idx="856">
                  <c:v>0.91135000863377624</c:v>
                </c:pt>
                <c:pt idx="857">
                  <c:v>0.91224275779126984</c:v>
                </c:pt>
                <c:pt idx="858">
                  <c:v>0.91313291006980157</c:v>
                </c:pt>
                <c:pt idx="859">
                  <c:v>0.91402045056495629</c:v>
                </c:pt>
                <c:pt idx="860">
                  <c:v>0.91490536424034885</c:v>
                </c:pt>
                <c:pt idx="861">
                  <c:v>0.91578763592528745</c:v>
                </c:pt>
                <c:pt idx="862">
                  <c:v>0.91666725031238028</c:v>
                </c:pt>
                <c:pt idx="863">
                  <c:v>0.91754419195508119</c:v>
                </c:pt>
                <c:pt idx="864">
                  <c:v>0.91841844526517502</c:v>
                </c:pt>
                <c:pt idx="865">
                  <c:v>0.91928999451019699</c:v>
                </c:pt>
                <c:pt idx="866">
                  <c:v>0.92015882381078873</c:v>
                </c:pt>
                <c:pt idx="867">
                  <c:v>0.92102491713798362</c:v>
                </c:pt>
                <c:pt idx="868">
                  <c:v>0.92188825831042409</c:v>
                </c:pt>
                <c:pt idx="869">
                  <c:v>0.92274883099150484</c:v>
                </c:pt>
                <c:pt idx="870">
                  <c:v>0.92360661868644067</c:v>
                </c:pt>
                <c:pt idx="871">
                  <c:v>0.92446160473925709</c:v>
                </c:pt>
                <c:pt idx="872">
                  <c:v>0.92531377232970002</c:v>
                </c:pt>
                <c:pt idx="873">
                  <c:v>0.92616310447006278</c:v>
                </c:pt>
                <c:pt idx="874">
                  <c:v>0.92700958400192535</c:v>
                </c:pt>
                <c:pt idx="875">
                  <c:v>0.92785319359280627</c:v>
                </c:pt>
                <c:pt idx="876">
                  <c:v>0.92869391573272031</c:v>
                </c:pt>
                <c:pt idx="877">
                  <c:v>0.92953173273064116</c:v>
                </c:pt>
                <c:pt idx="878">
                  <c:v>0.93036662671086445</c:v>
                </c:pt>
                <c:pt idx="879">
                  <c:v>0.93119857960926822</c:v>
                </c:pt>
                <c:pt idx="880">
                  <c:v>0.93202757316946561</c:v>
                </c:pt>
                <c:pt idx="881">
                  <c:v>0.93285358893884851</c:v>
                </c:pt>
                <c:pt idx="882">
                  <c:v>0.93367660826451404</c:v>
                </c:pt>
                <c:pt idx="883">
                  <c:v>0.93449661228907432</c:v>
                </c:pt>
                <c:pt idx="884">
                  <c:v>0.93531358194633951</c:v>
                </c:pt>
                <c:pt idx="885">
                  <c:v>0.93612749795687544</c:v>
                </c:pt>
                <c:pt idx="886">
                  <c:v>0.93693834082342464</c:v>
                </c:pt>
                <c:pt idx="887">
                  <c:v>0.93774609082619098</c:v>
                </c:pt>
                <c:pt idx="888">
                  <c:v>0.93855072801797845</c:v>
                </c:pt>
                <c:pt idx="889">
                  <c:v>0.93935223221918052</c:v>
                </c:pt>
                <c:pt idx="890">
                  <c:v>0.94015058301261323</c:v>
                </c:pt>
                <c:pt idx="891">
                  <c:v>0.94094575973818595</c:v>
                </c:pt>
                <c:pt idx="892">
                  <c:v>0.94173774148740297</c:v>
                </c:pt>
                <c:pt idx="893">
                  <c:v>0.9425265070976887</c:v>
                </c:pt>
                <c:pt idx="894">
                  <c:v>0.94331203514653028</c:v>
                </c:pt>
                <c:pt idx="895">
                  <c:v>0.94409430394542793</c:v>
                </c:pt>
                <c:pt idx="896">
                  <c:v>0.94487329153364641</c:v>
                </c:pt>
                <c:pt idx="897">
                  <c:v>0.9456489756717591</c:v>
                </c:pt>
                <c:pt idx="898">
                  <c:v>0.94642133383497429</c:v>
                </c:pt>
                <c:pt idx="899">
                  <c:v>0.94719034320623563</c:v>
                </c:pt>
                <c:pt idx="900">
                  <c:v>0.94795598066908604</c:v>
                </c:pt>
                <c:pt idx="901">
                  <c:v>0.94871822280028484</c:v>
                </c:pt>
                <c:pt idx="902">
                  <c:v>0.94947704586216597</c:v>
                </c:pt>
                <c:pt idx="903">
                  <c:v>0.950232425794727</c:v>
                </c:pt>
                <c:pt idx="904">
                  <c:v>0.95098433820743633</c:v>
                </c:pt>
                <c:pt idx="905">
                  <c:v>0.95173275837074267</c:v>
                </c:pt>
                <c:pt idx="906">
                  <c:v>0.95247766120727839</c:v>
                </c:pt>
                <c:pt idx="907">
                  <c:v>0.95321902128273572</c:v>
                </c:pt>
                <c:pt idx="908">
                  <c:v>0.95395681279640543</c:v>
                </c:pt>
                <c:pt idx="909">
                  <c:v>0.95469100957135788</c:v>
                </c:pt>
                <c:pt idx="910">
                  <c:v>0.95542158504425134</c:v>
                </c:pt>
                <c:pt idx="911">
                  <c:v>0.95614851225474751</c:v>
                </c:pt>
                <c:pt idx="912">
                  <c:v>0.95687176383451589</c:v>
                </c:pt>
                <c:pt idx="913">
                  <c:v>0.95759131199580416</c:v>
                </c:pt>
                <c:pt idx="914">
                  <c:v>0.95830712851955457</c:v>
                </c:pt>
                <c:pt idx="915">
                  <c:v>0.95901918474304071</c:v>
                </c:pt>
                <c:pt idx="916">
                  <c:v>0.95972745154700134</c:v>
                </c:pt>
                <c:pt idx="917">
                  <c:v>0.96043189934224205</c:v>
                </c:pt>
                <c:pt idx="918">
                  <c:v>0.96113249805568013</c:v>
                </c:pt>
                <c:pt idx="919">
                  <c:v>0.96182921711579628</c:v>
                </c:pt>
                <c:pt idx="920">
                  <c:v>0.96252202543746712</c:v>
                </c:pt>
                <c:pt idx="921">
                  <c:v>0.96321089140613847</c:v>
                </c:pt>
                <c:pt idx="922">
                  <c:v>0.96389578286130551</c:v>
                </c:pt>
                <c:pt idx="923">
                  <c:v>0.96457666707925882</c:v>
                </c:pt>
                <c:pt idx="924">
                  <c:v>0.96525351075505295</c:v>
                </c:pt>
                <c:pt idx="925">
                  <c:v>0.96592627998365344</c:v>
                </c:pt>
                <c:pt idx="926">
                  <c:v>0.96659494024021186</c:v>
                </c:pt>
                <c:pt idx="927">
                  <c:v>0.96725945635941801</c:v>
                </c:pt>
                <c:pt idx="928">
                  <c:v>0.96791979251386984</c:v>
                </c:pt>
                <c:pt idx="929">
                  <c:v>0.96857591219140327</c:v>
                </c:pt>
                <c:pt idx="930">
                  <c:v>0.96922777817131445</c:v>
                </c:pt>
                <c:pt idx="931">
                  <c:v>0.96987535249940482</c:v>
                </c:pt>
                <c:pt idx="932">
                  <c:v>0.9705185964617713</c:v>
                </c:pt>
                <c:pt idx="933">
                  <c:v>0.97115747055726065</c:v>
                </c:pt>
                <c:pt idx="934">
                  <c:v>0.97179193446849843</c:v>
                </c:pt>
                <c:pt idx="935">
                  <c:v>0.97242194703139562</c:v>
                </c:pt>
                <c:pt idx="936">
                  <c:v>0.97304746620302796</c:v>
                </c:pt>
                <c:pt idx="937">
                  <c:v>0.97366844902777583</c:v>
                </c:pt>
                <c:pt idx="938">
                  <c:v>0.97428485160159983</c:v>
                </c:pt>
                <c:pt idx="939">
                  <c:v>0.97489662903431773</c:v>
                </c:pt>
                <c:pt idx="940">
                  <c:v>0.97550373540973734</c:v>
                </c:pt>
                <c:pt idx="941">
                  <c:v>0.97610612374348493</c:v>
                </c:pt>
                <c:pt idx="942">
                  <c:v>0.97670374593835385</c:v>
                </c:pt>
                <c:pt idx="943">
                  <c:v>0.97729655273698479</c:v>
                </c:pt>
                <c:pt idx="944">
                  <c:v>0.97788449367166508</c:v>
                </c:pt>
                <c:pt idx="945">
                  <c:v>0.97846751701101908</c:v>
                </c:pt>
                <c:pt idx="946">
                  <c:v>0.97904556970333845</c:v>
                </c:pt>
                <c:pt idx="947">
                  <c:v>0.9796185973162701</c:v>
                </c:pt>
                <c:pt idx="948">
                  <c:v>0.98018654397255855</c:v>
                </c:pt>
                <c:pt idx="949">
                  <c:v>0.98074935228150317</c:v>
                </c:pt>
                <c:pt idx="950">
                  <c:v>0.98130696326575062</c:v>
                </c:pt>
                <c:pt idx="951">
                  <c:v>0.98185931628301371</c:v>
                </c:pt>
                <c:pt idx="952">
                  <c:v>0.9824063489422441</c:v>
                </c:pt>
                <c:pt idx="953">
                  <c:v>0.98294799701375224</c:v>
                </c:pt>
                <c:pt idx="954">
                  <c:v>0.98348419433269185</c:v>
                </c:pt>
                <c:pt idx="955">
                  <c:v>0.98401487269526844</c:v>
                </c:pt>
                <c:pt idx="956">
                  <c:v>0.98453996174694813</c:v>
                </c:pt>
                <c:pt idx="957">
                  <c:v>0.98505938886185573</c:v>
                </c:pt>
                <c:pt idx="958">
                  <c:v>0.98557307901244418</c:v>
                </c:pt>
                <c:pt idx="959">
                  <c:v>0.98608095462840595</c:v>
                </c:pt>
                <c:pt idx="960">
                  <c:v>0.98658293544364717</c:v>
                </c:pt>
                <c:pt idx="961">
                  <c:v>0.98707893832999982</c:v>
                </c:pt>
                <c:pt idx="962">
                  <c:v>0.98756887711614605</c:v>
                </c:pt>
                <c:pt idx="963">
                  <c:v>0.98805266239002321</c:v>
                </c:pt>
                <c:pt idx="964">
                  <c:v>0.98853020128271174</c:v>
                </c:pt>
                <c:pt idx="965">
                  <c:v>0.98900139723151304</c:v>
                </c:pt>
                <c:pt idx="966">
                  <c:v>0.98946614971956048</c:v>
                </c:pt>
                <c:pt idx="967">
                  <c:v>0.98992435398888523</c:v>
                </c:pt>
                <c:pt idx="968">
                  <c:v>0.99037590072334547</c:v>
                </c:pt>
                <c:pt idx="969">
                  <c:v>0.9908206756972191</c:v>
                </c:pt>
                <c:pt idx="970">
                  <c:v>0.9912585593845149</c:v>
                </c:pt>
                <c:pt idx="971">
                  <c:v>0.99168942652316383</c:v>
                </c:pt>
                <c:pt idx="972">
                  <c:v>0.99211314562715125</c:v>
                </c:pt>
                <c:pt idx="973">
                  <c:v>0.99252957843829737</c:v>
                </c:pt>
                <c:pt idx="974">
                  <c:v>0.99293857930772034</c:v>
                </c:pt>
                <c:pt idx="975">
                  <c:v>0.99333999449492938</c:v>
                </c:pt>
                <c:pt idx="976">
                  <c:v>0.99373366136985997</c:v>
                </c:pt>
                <c:pt idx="977">
                  <c:v>0.99411940749983452</c:v>
                </c:pt>
                <c:pt idx="978">
                  <c:v>0.99449704959916241</c:v>
                </c:pt>
                <c:pt idx="979">
                  <c:v>0.99486639231357354</c:v>
                </c:pt>
                <c:pt idx="980">
                  <c:v>0.99522722680446996</c:v>
                </c:pt>
                <c:pt idx="981">
                  <c:v>0.9955793290884507</c:v>
                </c:pt>
                <c:pt idx="982">
                  <c:v>0.99592245807480739</c:v>
                </c:pt>
                <c:pt idx="983">
                  <c:v>0.99625635322636008</c:v>
                </c:pt>
                <c:pt idx="984">
                  <c:v>0.99658073174514639</c:v>
                </c:pt>
                <c:pt idx="985">
                  <c:v>0.99689528515099868</c:v>
                </c:pt>
                <c:pt idx="986">
                  <c:v>0.99719967507325191</c:v>
                </c:pt>
                <c:pt idx="987">
                  <c:v>0.99749352800608881</c:v>
                </c:pt>
                <c:pt idx="988">
                  <c:v>0.99777642867384675</c:v>
                </c:pt>
                <c:pt idx="989">
                  <c:v>0.99804791149270389</c:v>
                </c:pt>
                <c:pt idx="990">
                  <c:v>0.99830744936198323</c:v>
                </c:pt>
                <c:pt idx="991">
                  <c:v>0.99855443860275339</c:v>
                </c:pt>
                <c:pt idx="992">
                  <c:v>0.99878817814978427</c:v>
                </c:pt>
                <c:pt idx="993">
                  <c:v>0.99900783982102581</c:v>
                </c:pt>
                <c:pt idx="994">
                  <c:v>0.9992124240326401</c:v>
                </c:pt>
                <c:pt idx="995">
                  <c:v>0.99940069024429878</c:v>
                </c:pt>
                <c:pt idx="996">
                  <c:v>0.99957103979653628</c:v>
                </c:pt>
                <c:pt idx="997">
                  <c:v>0.99972129838427559</c:v>
                </c:pt>
                <c:pt idx="998">
                  <c:v>0.99984824846223963</c:v>
                </c:pt>
                <c:pt idx="999">
                  <c:v>0.99994633161531321</c:v>
                </c:pt>
                <c:pt idx="10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7F-4154-82EB-668F741EF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731695"/>
        <c:axId val="763736271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Manual</c:v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squar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rgbClr val="FF000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Height!$T$43:$T$47</c15:sqref>
                        </c15:formulaRef>
                      </c:ext>
                    </c:extLst>
                    <c:numCache>
                      <c:formatCode>0.000</c:formatCode>
                      <c:ptCount val="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Height!$Q$43:$Q$47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F47F-4154-82EB-668F741EFDCA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v>Auto</c:v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rgbClr val="FF000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Height!$T$43:$T$47</c15:sqref>
                        </c15:formulaRef>
                      </c:ext>
                    </c:extLst>
                    <c:numCache>
                      <c:formatCode>0.000</c:formatCode>
                      <c:ptCount val="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Height!$S$43:$S$47</c15:sqref>
                        </c15:formulaRef>
                      </c:ext>
                    </c:extLst>
                    <c:numCache>
                      <c:formatCode>0.000</c:formatCode>
                      <c:ptCount val="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47F-4154-82EB-668F741EFDCA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Height!$O$43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Height!$T$43</c15:sqref>
                        </c15:formulaRef>
                      </c:ext>
                    </c:extLst>
                    <c:numCache>
                      <c:formatCode>0.000</c:formatCode>
                      <c:ptCount val="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Height!$S$43</c15:sqref>
                        </c15:formulaRef>
                      </c:ext>
                    </c:extLst>
                    <c:numCache>
                      <c:formatCode>0.000</c:formatCode>
                      <c:ptCount val="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47F-4154-82EB-668F741EFDCA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Height!$O$44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Height!$T$44</c15:sqref>
                        </c15:formulaRef>
                      </c:ext>
                    </c:extLst>
                    <c:numCache>
                      <c:formatCode>0.000</c:formatCode>
                      <c:ptCount val="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Height!$S$44</c15:sqref>
                        </c15:formulaRef>
                      </c:ext>
                    </c:extLst>
                    <c:numCache>
                      <c:formatCode>0.000</c:formatCode>
                      <c:ptCount val="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47F-4154-82EB-668F741EFDC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Height!$I$11</c15:sqref>
                        </c15:formulaRef>
                      </c:ext>
                    </c:extLst>
                    <c:strCache>
                      <c:ptCount val="1"/>
                      <c:pt idx="0">
                        <c:v>1.825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Height!$T$45</c15:sqref>
                        </c15:formulaRef>
                      </c:ext>
                    </c:extLst>
                    <c:numCache>
                      <c:formatCode>0.000</c:formatCode>
                      <c:ptCount val="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Height!$S$45</c15:sqref>
                        </c15:formulaRef>
                      </c:ext>
                    </c:extLst>
                    <c:numCache>
                      <c:formatCode>0.000</c:formatCode>
                      <c:ptCount val="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47F-4154-82EB-668F741EFDC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Height!$I$12</c15:sqref>
                        </c15:formulaRef>
                      </c:ext>
                    </c:extLst>
                    <c:strCache>
                      <c:ptCount val="1"/>
                      <c:pt idx="0">
                        <c:v>1.106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Height!$T$46</c15:sqref>
                        </c15:formulaRef>
                      </c:ext>
                    </c:extLst>
                    <c:numCache>
                      <c:formatCode>0.000</c:formatCode>
                      <c:ptCount val="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Height!$S$46</c15:sqref>
                        </c15:formulaRef>
                      </c:ext>
                    </c:extLst>
                    <c:numCache>
                      <c:formatCode>0.000</c:formatCode>
                      <c:ptCount val="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47F-4154-82EB-668F741EFDC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Height!$I$13</c15:sqref>
                        </c15:formulaRef>
                      </c:ext>
                    </c:extLst>
                    <c:strCache>
                      <c:ptCount val="1"/>
                      <c:pt idx="0">
                        <c:v>0.889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Height!$T$47</c15:sqref>
                        </c15:formulaRef>
                      </c:ext>
                    </c:extLst>
                    <c:numCache>
                      <c:formatCode>0.000</c:formatCode>
                      <c:ptCount val="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Height!$S$47</c15:sqref>
                        </c15:formulaRef>
                      </c:ext>
                    </c:extLst>
                    <c:numCache>
                      <c:formatCode>0.000</c:formatCode>
                      <c:ptCount val="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47F-4154-82EB-668F741EFDC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10^-4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Height!$E$22:$E$10005</c15:sqref>
                        </c15:formulaRef>
                      </c:ext>
                    </c:extLst>
                    <c:numCache>
                      <c:formatCode>0.000</c:formatCode>
                      <c:ptCount val="99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Height!$F$22:$F$10005</c15:sqref>
                        </c15:formulaRef>
                      </c:ext>
                    </c:extLst>
                    <c:numCache>
                      <c:formatCode>0.000</c:formatCode>
                      <c:ptCount val="9984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47F-4154-82EB-668F741EFDCA}"/>
                  </c:ext>
                </c:extLst>
              </c15:ser>
            </c15:filteredScatterSeries>
          </c:ext>
        </c:extLst>
      </c:scatterChart>
      <c:valAx>
        <c:axId val="763731695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63736271"/>
        <c:crosses val="autoZero"/>
        <c:crossBetween val="midCat"/>
        <c:majorUnit val="0.2"/>
      </c:valAx>
      <c:valAx>
        <c:axId val="763736271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63731695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87899342655523"/>
          <c:y val="0.31944131650562874"/>
          <c:w val="0.29281498736863271"/>
          <c:h val="0.196387674603961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Height/Area</a:t>
            </a:r>
            <a:r>
              <a:rPr lang="nb-NO" baseline="0"/>
              <a:t> </a:t>
            </a:r>
            <a:r>
              <a:rPr lang="nb-NO"/>
              <a:t>(dimensionless)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4475761511021978"/>
          <c:y val="0.16245370370370371"/>
          <c:w val="0.80242412287190612"/>
          <c:h val="0.7718967731325741"/>
        </c:manualLayout>
      </c:layout>
      <c:scatterChart>
        <c:scatterStyle val="lineMarker"/>
        <c:varyColors val="0"/>
        <c:ser>
          <c:idx val="0"/>
          <c:order val="0"/>
          <c:tx>
            <c:v>c/Ad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104765441724764"/>
                  <c:y val="-7.177556974086831E-3"/>
                </c:manualLayout>
              </c:layout>
              <c:numFmt formatCode="General" sourceLinked="0"/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b-NO"/>
                </a:p>
              </c:txPr>
            </c:trendlineLbl>
          </c:trendline>
          <c:xVal>
            <c:numRef>
              <c:f>Height!$C$5:$C$1005</c:f>
              <c:numCache>
                <c:formatCode>0.000</c:formatCode>
                <c:ptCount val="1001"/>
                <c:pt idx="0">
                  <c:v>0</c:v>
                </c:pt>
                <c:pt idx="1">
                  <c:v>5.3668384686511583E-5</c:v>
                </c:pt>
                <c:pt idx="2">
                  <c:v>1.5175153776031403E-4</c:v>
                </c:pt>
                <c:pt idx="3">
                  <c:v>2.7870161572424168E-4</c:v>
                </c:pt>
                <c:pt idx="4">
                  <c:v>4.2896020346366859E-4</c:v>
                </c:pt>
                <c:pt idx="5">
                  <c:v>5.993097557009941E-4</c:v>
                </c:pt>
                <c:pt idx="6">
                  <c:v>7.8757596735978819E-4</c:v>
                </c:pt>
                <c:pt idx="7">
                  <c:v>9.9216017897441056E-4</c:v>
                </c:pt>
                <c:pt idx="8">
                  <c:v>1.211821850215955E-3</c:v>
                </c:pt>
                <c:pt idx="9">
                  <c:v>1.4455613972466086E-3</c:v>
                </c:pt>
                <c:pt idx="10">
                  <c:v>1.6925506380167654E-3</c:v>
                </c:pt>
                <c:pt idx="11">
                  <c:v>1.952088507296057E-3</c:v>
                </c:pt>
                <c:pt idx="12">
                  <c:v>2.2235713261531398E-3</c:v>
                </c:pt>
                <c:pt idx="13">
                  <c:v>2.5064719939112967E-3</c:v>
                </c:pt>
                <c:pt idx="14">
                  <c:v>2.8003249267481989E-3</c:v>
                </c:pt>
                <c:pt idx="15">
                  <c:v>3.1047148490012666E-3</c:v>
                </c:pt>
                <c:pt idx="16">
                  <c:v>3.4192682548536135E-3</c:v>
                </c:pt>
                <c:pt idx="17">
                  <c:v>3.7436467736399748E-3</c:v>
                </c:pt>
                <c:pt idx="18">
                  <c:v>4.0775419251927181E-3</c:v>
                </c:pt>
                <c:pt idx="19">
                  <c:v>4.4206709115492959E-3</c:v>
                </c:pt>
                <c:pt idx="20">
                  <c:v>4.7727731955302666E-3</c:v>
                </c:pt>
                <c:pt idx="21">
                  <c:v>5.1336076864264557E-3</c:v>
                </c:pt>
                <c:pt idx="22">
                  <c:v>5.5029504008375918E-3</c:v>
                </c:pt>
                <c:pt idx="23">
                  <c:v>5.8805925001655934E-3</c:v>
                </c:pt>
                <c:pt idx="24">
                  <c:v>6.2663386301400892E-3</c:v>
                </c:pt>
                <c:pt idx="25">
                  <c:v>6.6600055050706763E-3</c:v>
                </c:pt>
                <c:pt idx="26">
                  <c:v>7.061420692279774E-3</c:v>
                </c:pt>
                <c:pt idx="27">
                  <c:v>7.4704215617027447E-3</c:v>
                </c:pt>
                <c:pt idx="28">
                  <c:v>7.8868543728487506E-3</c:v>
                </c:pt>
                <c:pt idx="29">
                  <c:v>8.3105734768362804E-3</c:v>
                </c:pt>
                <c:pt idx="30">
                  <c:v>8.7414406154852076E-3</c:v>
                </c:pt>
                <c:pt idx="31">
                  <c:v>9.1793243027809002E-3</c:v>
                </c:pt>
                <c:pt idx="32">
                  <c:v>9.6240992766545297E-3</c:v>
                </c:pt>
                <c:pt idx="33">
                  <c:v>1.0075646011114825E-2</c:v>
                </c:pt>
                <c:pt idx="34">
                  <c:v>1.0533850280439461E-2</c:v>
                </c:pt>
                <c:pt idx="35">
                  <c:v>1.0998602768486965E-2</c:v>
                </c:pt>
                <c:pt idx="36">
                  <c:v>1.1469798717288315E-2</c:v>
                </c:pt>
                <c:pt idx="37">
                  <c:v>1.1947337609976738E-2</c:v>
                </c:pt>
                <c:pt idx="38">
                  <c:v>1.2431122883854007E-2</c:v>
                </c:pt>
                <c:pt idx="39">
                  <c:v>1.2921061670000011E-2</c:v>
                </c:pt>
                <c:pt idx="40">
                  <c:v>1.3417064556352776E-2</c:v>
                </c:pt>
                <c:pt idx="41">
                  <c:v>1.3919045371593941E-2</c:v>
                </c:pt>
                <c:pt idx="42">
                  <c:v>1.4426920987555825E-2</c:v>
                </c:pt>
                <c:pt idx="43">
                  <c:v>1.4940611138144266E-2</c:v>
                </c:pt>
                <c:pt idx="44">
                  <c:v>1.5460038253051811E-2</c:v>
                </c:pt>
                <c:pt idx="45">
                  <c:v>1.598512730473145E-2</c:v>
                </c:pt>
                <c:pt idx="46">
                  <c:v>1.6515805667308037E-2</c:v>
                </c:pt>
                <c:pt idx="47">
                  <c:v>1.705200298624765E-2</c:v>
                </c:pt>
                <c:pt idx="48">
                  <c:v>1.759365105775601E-2</c:v>
                </c:pt>
                <c:pt idx="49">
                  <c:v>1.8140683716986294E-2</c:v>
                </c:pt>
                <c:pt idx="50">
                  <c:v>1.869303673424938E-2</c:v>
                </c:pt>
                <c:pt idx="51">
                  <c:v>1.9250647718496827E-2</c:v>
                </c:pt>
                <c:pt idx="52">
                  <c:v>1.9813456027441445E-2</c:v>
                </c:pt>
                <c:pt idx="53">
                  <c:v>2.0381402683729954E-2</c:v>
                </c:pt>
                <c:pt idx="54">
                  <c:v>2.0954430296661608E-2</c:v>
                </c:pt>
                <c:pt idx="55">
                  <c:v>2.1532482988980806E-2</c:v>
                </c:pt>
                <c:pt idx="56">
                  <c:v>2.2115506328334922E-2</c:v>
                </c:pt>
                <c:pt idx="57">
                  <c:v>2.2703447263014986E-2</c:v>
                </c:pt>
                <c:pt idx="58">
                  <c:v>2.3296254061646038E-2</c:v>
                </c:pt>
                <c:pt idx="59">
                  <c:v>2.3893876256515012E-2</c:v>
                </c:pt>
                <c:pt idx="60">
                  <c:v>2.4496264590262662E-2</c:v>
                </c:pt>
                <c:pt idx="61">
                  <c:v>2.5103370965682215E-2</c:v>
                </c:pt>
                <c:pt idx="62">
                  <c:v>2.5715148398400278E-2</c:v>
                </c:pt>
                <c:pt idx="63">
                  <c:v>2.6331550972224171E-2</c:v>
                </c:pt>
                <c:pt idx="64">
                  <c:v>2.6952533796972156E-2</c:v>
                </c:pt>
                <c:pt idx="65">
                  <c:v>2.7578052968604383E-2</c:v>
                </c:pt>
                <c:pt idx="66">
                  <c:v>2.8208065531501569E-2</c:v>
                </c:pt>
                <c:pt idx="67">
                  <c:v>2.8842529442739351E-2</c:v>
                </c:pt>
                <c:pt idx="68">
                  <c:v>2.9481403538228812E-2</c:v>
                </c:pt>
                <c:pt idx="69">
                  <c:v>3.0124647500595125E-2</c:v>
                </c:pt>
                <c:pt idx="70">
                  <c:v>3.0772221828685609E-2</c:v>
                </c:pt>
                <c:pt idx="71">
                  <c:v>3.1424087808596846E-2</c:v>
                </c:pt>
                <c:pt idx="72">
                  <c:v>3.2080207486130274E-2</c:v>
                </c:pt>
                <c:pt idx="73">
                  <c:v>3.2740543640581932E-2</c:v>
                </c:pt>
                <c:pt idx="74">
                  <c:v>3.3405059759788247E-2</c:v>
                </c:pt>
                <c:pt idx="75">
                  <c:v>3.4073720016346565E-2</c:v>
                </c:pt>
                <c:pt idx="76">
                  <c:v>3.4746489244947165E-2</c:v>
                </c:pt>
                <c:pt idx="77">
                  <c:v>3.542333292074118E-2</c:v>
                </c:pt>
                <c:pt idx="78">
                  <c:v>3.6104217138694605E-2</c:v>
                </c:pt>
                <c:pt idx="79">
                  <c:v>3.6789108593861641E-2</c:v>
                </c:pt>
                <c:pt idx="80">
                  <c:v>3.7477974562533045E-2</c:v>
                </c:pt>
                <c:pt idx="81">
                  <c:v>3.8170782884203613E-2</c:v>
                </c:pt>
                <c:pt idx="82">
                  <c:v>3.8867501944319982E-2</c:v>
                </c:pt>
                <c:pt idx="83">
                  <c:v>3.9568100657757843E-2</c:v>
                </c:pt>
                <c:pt idx="84">
                  <c:v>4.027254845299888E-2</c:v>
                </c:pt>
                <c:pt idx="85">
                  <c:v>4.0980815256959291E-2</c:v>
                </c:pt>
                <c:pt idx="86">
                  <c:v>4.1692871480445426E-2</c:v>
                </c:pt>
                <c:pt idx="87">
                  <c:v>4.2408688004195783E-2</c:v>
                </c:pt>
                <c:pt idx="88">
                  <c:v>4.3128236165484113E-2</c:v>
                </c:pt>
                <c:pt idx="89">
                  <c:v>4.3851487745252493E-2</c:v>
                </c:pt>
                <c:pt idx="90">
                  <c:v>4.4578414955748658E-2</c:v>
                </c:pt>
                <c:pt idx="91">
                  <c:v>4.5308990428642171E-2</c:v>
                </c:pt>
                <c:pt idx="92">
                  <c:v>4.604318720359446E-2</c:v>
                </c:pt>
                <c:pt idx="93">
                  <c:v>4.6780978717264221E-2</c:v>
                </c:pt>
                <c:pt idx="94">
                  <c:v>4.7522338792721608E-2</c:v>
                </c:pt>
                <c:pt idx="95">
                  <c:v>4.8267241629257274E-2</c:v>
                </c:pt>
                <c:pt idx="96">
                  <c:v>4.901566179256367E-2</c:v>
                </c:pt>
                <c:pt idx="97">
                  <c:v>4.9767574205272946E-2</c:v>
                </c:pt>
                <c:pt idx="98">
                  <c:v>5.0522954137834031E-2</c:v>
                </c:pt>
                <c:pt idx="99">
                  <c:v>5.1281777199715106E-2</c:v>
                </c:pt>
                <c:pt idx="100">
                  <c:v>5.2044019330913904E-2</c:v>
                </c:pt>
                <c:pt idx="101">
                  <c:v>5.280965679376437E-2</c:v>
                </c:pt>
                <c:pt idx="102">
                  <c:v>5.3578666165025712E-2</c:v>
                </c:pt>
                <c:pt idx="103">
                  <c:v>5.4351024328240904E-2</c:v>
                </c:pt>
                <c:pt idx="104">
                  <c:v>5.5126708466353536E-2</c:v>
                </c:pt>
                <c:pt idx="105">
                  <c:v>5.5905696054572074E-2</c:v>
                </c:pt>
                <c:pt idx="106">
                  <c:v>5.6687964853469663E-2</c:v>
                </c:pt>
                <c:pt idx="107">
                  <c:v>5.7473492902311241E-2</c:v>
                </c:pt>
                <c:pt idx="108">
                  <c:v>5.8262258512597032E-2</c:v>
                </c:pt>
                <c:pt idx="109">
                  <c:v>5.9054240261814051E-2</c:v>
                </c:pt>
                <c:pt idx="110">
                  <c:v>5.9849416987386717E-2</c:v>
                </c:pt>
                <c:pt idx="111">
                  <c:v>6.0647767780819484E-2</c:v>
                </c:pt>
                <c:pt idx="112">
                  <c:v>6.1449271982021547E-2</c:v>
                </c:pt>
                <c:pt idx="113">
                  <c:v>6.2253909173808963E-2</c:v>
                </c:pt>
                <c:pt idx="114">
                  <c:v>6.3061659176575358E-2</c:v>
                </c:pt>
                <c:pt idx="115">
                  <c:v>6.3872502043124557E-2</c:v>
                </c:pt>
                <c:pt idx="116">
                  <c:v>6.4686418053660488E-2</c:v>
                </c:pt>
                <c:pt idx="117">
                  <c:v>6.5503387710925676E-2</c:v>
                </c:pt>
                <c:pt idx="118">
                  <c:v>6.6323391735485848E-2</c:v>
                </c:pt>
                <c:pt idx="119">
                  <c:v>6.714641106115149E-2</c:v>
                </c:pt>
                <c:pt idx="120">
                  <c:v>6.7972426830534394E-2</c:v>
                </c:pt>
                <c:pt idx="121">
                  <c:v>6.8801420390731782E-2</c:v>
                </c:pt>
                <c:pt idx="122">
                  <c:v>6.9633373289135547E-2</c:v>
                </c:pt>
                <c:pt idx="123">
                  <c:v>7.0468267269358842E-2</c:v>
                </c:pt>
                <c:pt idx="124">
                  <c:v>7.130608426727969E-2</c:v>
                </c:pt>
                <c:pt idx="125">
                  <c:v>7.2146806407193731E-2</c:v>
                </c:pt>
                <c:pt idx="126">
                  <c:v>7.2990415998074654E-2</c:v>
                </c:pt>
                <c:pt idx="127">
                  <c:v>7.3836895529937274E-2</c:v>
                </c:pt>
                <c:pt idx="128">
                  <c:v>7.4686227670299976E-2</c:v>
                </c:pt>
                <c:pt idx="129">
                  <c:v>7.5538395260742963E-2</c:v>
                </c:pt>
                <c:pt idx="130">
                  <c:v>7.6393381313559328E-2</c:v>
                </c:pt>
                <c:pt idx="131">
                  <c:v>7.7251169008495157E-2</c:v>
                </c:pt>
                <c:pt idx="132">
                  <c:v>7.8111741689575909E-2</c:v>
                </c:pt>
                <c:pt idx="133">
                  <c:v>7.8975082862016432E-2</c:v>
                </c:pt>
                <c:pt idx="134">
                  <c:v>7.9841176189211382E-2</c:v>
                </c:pt>
                <c:pt idx="135">
                  <c:v>8.0710005489803005E-2</c:v>
                </c:pt>
                <c:pt idx="136">
                  <c:v>8.1581554734824979E-2</c:v>
                </c:pt>
                <c:pt idx="137">
                  <c:v>8.2455808044918755E-2</c:v>
                </c:pt>
                <c:pt idx="138">
                  <c:v>8.3332749687619778E-2</c:v>
                </c:pt>
                <c:pt idx="139">
                  <c:v>8.4212364074712553E-2</c:v>
                </c:pt>
                <c:pt idx="140">
                  <c:v>8.5094635759651149E-2</c:v>
                </c:pt>
                <c:pt idx="141">
                  <c:v>8.5979549435043712E-2</c:v>
                </c:pt>
                <c:pt idx="142">
                  <c:v>8.6867089930198427E-2</c:v>
                </c:pt>
                <c:pt idx="143">
                  <c:v>8.7757242208730157E-2</c:v>
                </c:pt>
                <c:pt idx="144">
                  <c:v>8.8649991366223813E-2</c:v>
                </c:pt>
                <c:pt idx="145">
                  <c:v>8.9545322627954671E-2</c:v>
                </c:pt>
                <c:pt idx="146">
                  <c:v>9.0443221346662939E-2</c:v>
                </c:pt>
                <c:pt idx="147">
                  <c:v>9.1343673000381154E-2</c:v>
                </c:pt>
                <c:pt idx="148">
                  <c:v>9.2246663190312217E-2</c:v>
                </c:pt>
                <c:pt idx="149">
                  <c:v>9.3152177638757605E-2</c:v>
                </c:pt>
                <c:pt idx="150">
                  <c:v>9.4060202187093656E-2</c:v>
                </c:pt>
                <c:pt idx="151">
                  <c:v>9.4970722793793705E-2</c:v>
                </c:pt>
                <c:pt idx="152">
                  <c:v>9.5883725532496356E-2</c:v>
                </c:pt>
                <c:pt idx="153">
                  <c:v>9.6799196590117653E-2</c:v>
                </c:pt>
                <c:pt idx="154">
                  <c:v>9.771712226500523E-2</c:v>
                </c:pt>
                <c:pt idx="155">
                  <c:v>9.8637488965134357E-2</c:v>
                </c:pt>
                <c:pt idx="156">
                  <c:v>9.9560283206344358E-2</c:v>
                </c:pt>
                <c:pt idx="157">
                  <c:v>0.10048549161061338</c:v>
                </c:pt>
                <c:pt idx="158">
                  <c:v>0.10141310090437206</c:v>
                </c:pt>
                <c:pt idx="159">
                  <c:v>0.10234309791685309</c:v>
                </c:pt>
                <c:pt idx="160">
                  <c:v>0.10327546957847744</c:v>
                </c:pt>
                <c:pt idx="161">
                  <c:v>0.10421020291927463</c:v>
                </c:pt>
                <c:pt idx="162">
                  <c:v>0.10514728506733773</c:v>
                </c:pt>
                <c:pt idx="163">
                  <c:v>0.10608670324731023</c:v>
                </c:pt>
                <c:pt idx="164">
                  <c:v>0.10702844477890611</c:v>
                </c:pt>
                <c:pt idx="165">
                  <c:v>0.10797249707545975</c:v>
                </c:pt>
                <c:pt idx="166">
                  <c:v>0.10891884764250725</c:v>
                </c:pt>
                <c:pt idx="167">
                  <c:v>0.1098674840763969</c:v>
                </c:pt>
                <c:pt idx="168">
                  <c:v>0.11081839406292759</c:v>
                </c:pt>
                <c:pt idx="169">
                  <c:v>0.11177156537601618</c:v>
                </c:pt>
                <c:pt idx="170">
                  <c:v>0.11272698587639191</c:v>
                </c:pt>
                <c:pt idx="171">
                  <c:v>0.11368464351031637</c:v>
                </c:pt>
                <c:pt idx="172">
                  <c:v>0.11464452630833011</c:v>
                </c:pt>
                <c:pt idx="173">
                  <c:v>0.11560662238402453</c:v>
                </c:pt>
                <c:pt idx="174">
                  <c:v>0.11657091993283669</c:v>
                </c:pt>
                <c:pt idx="175">
                  <c:v>0.11753740723087047</c:v>
                </c:pt>
                <c:pt idx="176">
                  <c:v>0.11850607263373814</c:v>
                </c:pt>
                <c:pt idx="177">
                  <c:v>0.11947690457542692</c:v>
                </c:pt>
                <c:pt idx="178">
                  <c:v>0.120449891567186</c:v>
                </c:pt>
                <c:pt idx="179">
                  <c:v>0.12142502219643603</c:v>
                </c:pt>
                <c:pt idx="180">
                  <c:v>0.12240228512569851</c:v>
                </c:pt>
                <c:pt idx="181">
                  <c:v>0.12338166909154724</c:v>
                </c:pt>
                <c:pt idx="182">
                  <c:v>0.1243631629035778</c:v>
                </c:pt>
                <c:pt idx="183">
                  <c:v>0.12534675544339802</c:v>
                </c:pt>
                <c:pt idx="184">
                  <c:v>0.12633243566363628</c:v>
                </c:pt>
                <c:pt idx="185">
                  <c:v>0.12732019258696947</c:v>
                </c:pt>
                <c:pt idx="186">
                  <c:v>0.12831001530516739</c:v>
                </c:pt>
                <c:pt idx="187">
                  <c:v>0.12930189297815675</c:v>
                </c:pt>
                <c:pt idx="188">
                  <c:v>0.13029581483310071</c:v>
                </c:pt>
                <c:pt idx="189">
                  <c:v>0.13129177016349591</c:v>
                </c:pt>
                <c:pt idx="190">
                  <c:v>0.13228974832828588</c:v>
                </c:pt>
                <c:pt idx="191">
                  <c:v>0.13328973875099048</c:v>
                </c:pt>
                <c:pt idx="192">
                  <c:v>0.13429173091885066</c:v>
                </c:pt>
                <c:pt idx="193">
                  <c:v>0.13529571438198884</c:v>
                </c:pt>
                <c:pt idx="194">
                  <c:v>0.13630167875258381</c:v>
                </c:pt>
                <c:pt idx="195">
                  <c:v>0.13730961370406092</c:v>
                </c:pt>
                <c:pt idx="196">
                  <c:v>0.13831950897029544</c:v>
                </c:pt>
                <c:pt idx="197">
                  <c:v>0.13933135434483068</c:v>
                </c:pt>
                <c:pt idx="198">
                  <c:v>0.14034513968010948</c:v>
                </c:pt>
                <c:pt idx="199">
                  <c:v>0.14136085488671873</c:v>
                </c:pt>
                <c:pt idx="200">
                  <c:v>0.14237848993264701</c:v>
                </c:pt>
                <c:pt idx="201">
                  <c:v>0.1433980348425552</c:v>
                </c:pt>
                <c:pt idx="202">
                  <c:v>0.14441947969705893</c:v>
                </c:pt>
                <c:pt idx="203">
                  <c:v>0.14544281463202396</c:v>
                </c:pt>
                <c:pt idx="204">
                  <c:v>0.14646802983787233</c:v>
                </c:pt>
                <c:pt idx="205">
                  <c:v>0.14749511555890132</c:v>
                </c:pt>
                <c:pt idx="206">
                  <c:v>0.14852406209261282</c:v>
                </c:pt>
                <c:pt idx="207">
                  <c:v>0.14955485978905425</c:v>
                </c:pt>
                <c:pt idx="208">
                  <c:v>0.15058749905017033</c:v>
                </c:pt>
                <c:pt idx="209">
                  <c:v>0.15162197032916525</c:v>
                </c:pt>
                <c:pt idx="210">
                  <c:v>0.15265826412987554</c:v>
                </c:pt>
                <c:pt idx="211">
                  <c:v>0.15369637100615285</c:v>
                </c:pt>
                <c:pt idx="212">
                  <c:v>0.15473628156125696</c:v>
                </c:pt>
                <c:pt idx="213">
                  <c:v>0.15577798644725838</c:v>
                </c:pt>
                <c:pt idx="214">
                  <c:v>0.15682147636445021</c:v>
                </c:pt>
                <c:pt idx="215">
                  <c:v>0.15786674206077</c:v>
                </c:pt>
                <c:pt idx="216">
                  <c:v>0.15891377433123055</c:v>
                </c:pt>
                <c:pt idx="217">
                  <c:v>0.15996256401735887</c:v>
                </c:pt>
                <c:pt idx="218">
                  <c:v>0.16101310200664537</c:v>
                </c:pt>
                <c:pt idx="219">
                  <c:v>0.16206537923200026</c:v>
                </c:pt>
                <c:pt idx="220">
                  <c:v>0.16311938667121928</c:v>
                </c:pt>
                <c:pt idx="221">
                  <c:v>0.16417511534645746</c:v>
                </c:pt>
                <c:pt idx="222">
                  <c:v>0.16523255632371048</c:v>
                </c:pt>
                <c:pt idx="223">
                  <c:v>0.16629170071230459</c:v>
                </c:pt>
                <c:pt idx="224">
                  <c:v>0.16735253966439412</c:v>
                </c:pt>
                <c:pt idx="225">
                  <c:v>0.16841506437446657</c:v>
                </c:pt>
                <c:pt idx="226">
                  <c:v>0.1694792660788545</c:v>
                </c:pt>
                <c:pt idx="227">
                  <c:v>0.17054513605525612</c:v>
                </c:pt>
                <c:pt idx="228">
                  <c:v>0.17161266562226174</c:v>
                </c:pt>
                <c:pt idx="229">
                  <c:v>0.17268184613888793</c:v>
                </c:pt>
                <c:pt idx="230">
                  <c:v>0.17375266900411829</c:v>
                </c:pt>
                <c:pt idx="231">
                  <c:v>0.17482512565645103</c:v>
                </c:pt>
                <c:pt idx="232">
                  <c:v>0.17589920757345329</c:v>
                </c:pt>
                <c:pt idx="233">
                  <c:v>0.17697490627132167</c:v>
                </c:pt>
                <c:pt idx="234">
                  <c:v>0.17805221330444954</c:v>
                </c:pt>
                <c:pt idx="235">
                  <c:v>0.17913112026500011</c:v>
                </c:pt>
                <c:pt idx="236">
                  <c:v>0.18021161878248593</c:v>
                </c:pt>
                <c:pt idx="237">
                  <c:v>0.18129370052335431</c:v>
                </c:pt>
                <c:pt idx="238">
                  <c:v>0.18237735719057874</c:v>
                </c:pt>
                <c:pt idx="239">
                  <c:v>0.18346258052325598</c:v>
                </c:pt>
                <c:pt idx="240">
                  <c:v>0.18454936229620855</c:v>
                </c:pt>
                <c:pt idx="241">
                  <c:v>0.18563769431959343</c:v>
                </c:pt>
                <c:pt idx="242">
                  <c:v>0.18672756843851573</c:v>
                </c:pt>
                <c:pt idx="243">
                  <c:v>0.18781897653264779</c:v>
                </c:pt>
                <c:pt idx="244">
                  <c:v>0.1889119105158536</c:v>
                </c:pt>
                <c:pt idx="245">
                  <c:v>0.19000636233581847</c:v>
                </c:pt>
                <c:pt idx="246">
                  <c:v>0.19110232397368376</c:v>
                </c:pt>
                <c:pt idx="247">
                  <c:v>0.19219978744368615</c:v>
                </c:pt>
                <c:pt idx="248">
                  <c:v>0.1932987447928024</c:v>
                </c:pt>
                <c:pt idx="249">
                  <c:v>0.19439918810039891</c:v>
                </c:pt>
                <c:pt idx="250">
                  <c:v>0.19550110947788529</c:v>
                </c:pt>
                <c:pt idx="251">
                  <c:v>0.19660450106837324</c:v>
                </c:pt>
                <c:pt idx="252">
                  <c:v>0.19770935504633946</c:v>
                </c:pt>
                <c:pt idx="253">
                  <c:v>0.19881566361729397</c:v>
                </c:pt>
                <c:pt idx="254">
                  <c:v>0.19992341901745142</c:v>
                </c:pt>
                <c:pt idx="255">
                  <c:v>0.20103261351340762</c:v>
                </c:pt>
                <c:pt idx="256">
                  <c:v>0.20214323940182044</c:v>
                </c:pt>
                <c:pt idx="257">
                  <c:v>0.20325528900909429</c:v>
                </c:pt>
                <c:pt idx="258">
                  <c:v>0.20436875469106852</c:v>
                </c:pt>
                <c:pt idx="259">
                  <c:v>0.20548362883271104</c:v>
                </c:pt>
                <c:pt idx="260">
                  <c:v>0.20659990384781435</c:v>
                </c:pt>
                <c:pt idx="261">
                  <c:v>0.20771757217869669</c:v>
                </c:pt>
                <c:pt idx="262">
                  <c:v>0.20883662629590594</c:v>
                </c:pt>
                <c:pt idx="263">
                  <c:v>0.20995705869792824</c:v>
                </c:pt>
                <c:pt idx="264">
                  <c:v>0.21107886191089964</c:v>
                </c:pt>
                <c:pt idx="265">
                  <c:v>0.21220202848832143</c:v>
                </c:pt>
                <c:pt idx="266">
                  <c:v>0.21332655101077924</c:v>
                </c:pt>
                <c:pt idx="267">
                  <c:v>0.21445242208566567</c:v>
                </c:pt>
                <c:pt idx="268">
                  <c:v>0.21557963434690602</c:v>
                </c:pt>
                <c:pt idx="269">
                  <c:v>0.21670818045468754</c:v>
                </c:pt>
                <c:pt idx="270">
                  <c:v>0.21783805309519211</c:v>
                </c:pt>
                <c:pt idx="271">
                  <c:v>0.21896924498033232</c:v>
                </c:pt>
                <c:pt idx="272">
                  <c:v>0.22010174884749001</c:v>
                </c:pt>
                <c:pt idx="273">
                  <c:v>0.2212355574592591</c:v>
                </c:pt>
                <c:pt idx="274">
                  <c:v>0.22237066360319047</c:v>
                </c:pt>
                <c:pt idx="275">
                  <c:v>0.22350706009154042</c:v>
                </c:pt>
                <c:pt idx="276">
                  <c:v>0.22464473976102228</c:v>
                </c:pt>
                <c:pt idx="277">
                  <c:v>0.22578369547256061</c:v>
                </c:pt>
                <c:pt idx="278">
                  <c:v>0.22692392011104801</c:v>
                </c:pt>
                <c:pt idx="279">
                  <c:v>0.22806540658510588</c:v>
                </c:pt>
                <c:pt idx="280">
                  <c:v>0.22920814782684673</c:v>
                </c:pt>
                <c:pt idx="281">
                  <c:v>0.23035213679164029</c:v>
                </c:pt>
                <c:pt idx="282">
                  <c:v>0.23149736645788149</c:v>
                </c:pt>
                <c:pt idx="283">
                  <c:v>0.23264382982676157</c:v>
                </c:pt>
                <c:pt idx="284">
                  <c:v>0.23379151992204206</c:v>
                </c:pt>
                <c:pt idx="285">
                  <c:v>0.23494042978983048</c:v>
                </c:pt>
                <c:pt idx="286">
                  <c:v>0.2360905524983597</c:v>
                </c:pt>
                <c:pt idx="287">
                  <c:v>0.23724188113776873</c:v>
                </c:pt>
                <c:pt idx="288">
                  <c:v>0.23839440881988688</c:v>
                </c:pt>
                <c:pt idx="289">
                  <c:v>0.23954812867801978</c:v>
                </c:pt>
                <c:pt idx="290">
                  <c:v>0.24070303386673803</c:v>
                </c:pt>
                <c:pt idx="291">
                  <c:v>0.241859117561668</c:v>
                </c:pt>
                <c:pt idx="292">
                  <c:v>0.2430163729592853</c:v>
                </c:pt>
                <c:pt idx="293">
                  <c:v>0.2441747932767101</c:v>
                </c:pt>
                <c:pt idx="294">
                  <c:v>0.24533437175150508</c:v>
                </c:pt>
                <c:pt idx="295">
                  <c:v>0.24649510164147515</c:v>
                </c:pt>
                <c:pt idx="296">
                  <c:v>0.24765697622446992</c:v>
                </c:pt>
                <c:pt idx="297">
                  <c:v>0.24881998879818779</c:v>
                </c:pt>
                <c:pt idx="298">
                  <c:v>0.24998413267998243</c:v>
                </c:pt>
                <c:pt idx="299">
                  <c:v>0.25114940120667112</c:v>
                </c:pt>
                <c:pt idx="300">
                  <c:v>0.25231578773434549</c:v>
                </c:pt>
                <c:pt idx="301">
                  <c:v>0.25348328563818368</c:v>
                </c:pt>
                <c:pt idx="302">
                  <c:v>0.25465188831226548</c:v>
                </c:pt>
                <c:pt idx="303">
                  <c:v>0.25582158916938813</c:v>
                </c:pt>
                <c:pt idx="304">
                  <c:v>0.25699238164088489</c:v>
                </c:pt>
                <c:pt idx="305">
                  <c:v>0.25816425917644548</c:v>
                </c:pt>
                <c:pt idx="306">
                  <c:v>0.25933721524393816</c:v>
                </c:pt>
                <c:pt idx="307">
                  <c:v>0.26051124332923353</c:v>
                </c:pt>
                <c:pt idx="308">
                  <c:v>0.26168633693603049</c:v>
                </c:pt>
                <c:pt idx="309">
                  <c:v>0.26286248958568376</c:v>
                </c:pt>
                <c:pt idx="310">
                  <c:v>0.26403969481703299</c:v>
                </c:pt>
                <c:pt idx="311">
                  <c:v>0.26521794618623407</c:v>
                </c:pt>
                <c:pt idx="312">
                  <c:v>0.26639723726659165</c:v>
                </c:pt>
                <c:pt idx="313">
                  <c:v>0.26757756164839375</c:v>
                </c:pt>
                <c:pt idx="314">
                  <c:v>0.26875891293874776</c:v>
                </c:pt>
                <c:pt idx="315">
                  <c:v>0.26994128476141788</c:v>
                </c:pt>
                <c:pt idx="316">
                  <c:v>0.2711246707566648</c:v>
                </c:pt>
                <c:pt idx="317">
                  <c:v>0.27230906458108634</c:v>
                </c:pt>
                <c:pt idx="318">
                  <c:v>0.27349445990745985</c:v>
                </c:pt>
                <c:pt idx="319">
                  <c:v>0.27468085042458645</c:v>
                </c:pt>
                <c:pt idx="320">
                  <c:v>0.27586822983713605</c:v>
                </c:pt>
                <c:pt idx="321">
                  <c:v>0.27705659186549486</c:v>
                </c:pt>
                <c:pt idx="322">
                  <c:v>0.27824593024561328</c:v>
                </c:pt>
                <c:pt idx="323">
                  <c:v>0.27943623872885609</c:v>
                </c:pt>
                <c:pt idx="324">
                  <c:v>0.2806275110818538</c:v>
                </c:pt>
                <c:pt idx="325">
                  <c:v>0.28181974108635499</c:v>
                </c:pt>
                <c:pt idx="326">
                  <c:v>0.28301292253908089</c:v>
                </c:pt>
                <c:pt idx="327">
                  <c:v>0.28420704925158041</c:v>
                </c:pt>
                <c:pt idx="328">
                  <c:v>0.28540211505008717</c:v>
                </c:pt>
                <c:pt idx="329">
                  <c:v>0.28659811377537758</c:v>
                </c:pt>
                <c:pt idx="330">
                  <c:v>0.28779503928263017</c:v>
                </c:pt>
                <c:pt idx="331">
                  <c:v>0.28899288544128648</c:v>
                </c:pt>
                <c:pt idx="332">
                  <c:v>0.29019164613491272</c:v>
                </c:pt>
                <c:pt idx="333">
                  <c:v>0.29139131526106343</c:v>
                </c:pt>
                <c:pt idx="334">
                  <c:v>0.29259188673114567</c:v>
                </c:pt>
                <c:pt idx="335">
                  <c:v>0.29379335447028476</c:v>
                </c:pt>
                <c:pt idx="336">
                  <c:v>0.29499571241719102</c:v>
                </c:pt>
                <c:pt idx="337">
                  <c:v>0.29619895452402822</c:v>
                </c:pt>
                <c:pt idx="338">
                  <c:v>0.29740307475628236</c:v>
                </c:pt>
                <c:pt idx="339">
                  <c:v>0.29860806709263221</c:v>
                </c:pt>
                <c:pt idx="340">
                  <c:v>0.299813925524821</c:v>
                </c:pt>
                <c:pt idx="341">
                  <c:v>0.30102064405752871</c:v>
                </c:pt>
                <c:pt idx="342">
                  <c:v>0.30222821670824607</c:v>
                </c:pt>
                <c:pt idx="343">
                  <c:v>0.30343663750714911</c:v>
                </c:pt>
                <c:pt idx="344">
                  <c:v>0.30464590049697521</c:v>
                </c:pt>
                <c:pt idx="345">
                  <c:v>0.30585599973290012</c:v>
                </c:pt>
                <c:pt idx="346">
                  <c:v>0.30706692928241547</c:v>
                </c:pt>
                <c:pt idx="347">
                  <c:v>0.30827868322520835</c:v>
                </c:pt>
                <c:pt idx="348">
                  <c:v>0.30949125565304092</c:v>
                </c:pt>
                <c:pt idx="349">
                  <c:v>0.31070464066963144</c:v>
                </c:pt>
                <c:pt idx="350">
                  <c:v>0.31191883239053642</c:v>
                </c:pt>
                <c:pt idx="351">
                  <c:v>0.31313382494303343</c:v>
                </c:pt>
                <c:pt idx="352">
                  <c:v>0.31434961246600507</c:v>
                </c:pt>
                <c:pt idx="353">
                  <c:v>0.3155661891098237</c:v>
                </c:pt>
                <c:pt idx="354">
                  <c:v>0.31678354903623729</c:v>
                </c:pt>
                <c:pt idx="355">
                  <c:v>0.31800168641825632</c:v>
                </c:pt>
                <c:pt idx="356">
                  <c:v>0.31922059544004078</c:v>
                </c:pt>
                <c:pt idx="357">
                  <c:v>0.32044027029678945</c:v>
                </c:pt>
                <c:pt idx="358">
                  <c:v>0.32166070519462847</c:v>
                </c:pt>
                <c:pt idx="359">
                  <c:v>0.32288189435050224</c:v>
                </c:pt>
                <c:pt idx="360">
                  <c:v>0.32410383199206394</c:v>
                </c:pt>
                <c:pt idx="361">
                  <c:v>0.32532651235756793</c:v>
                </c:pt>
                <c:pt idx="362">
                  <c:v>0.32654992969576202</c:v>
                </c:pt>
                <c:pt idx="363">
                  <c:v>0.32777407826578153</c:v>
                </c:pt>
                <c:pt idx="364">
                  <c:v>0.3289989523370434</c:v>
                </c:pt>
                <c:pt idx="365">
                  <c:v>0.33022454618914127</c:v>
                </c:pt>
                <c:pt idx="366">
                  <c:v>0.33145085411174158</c:v>
                </c:pt>
                <c:pt idx="367">
                  <c:v>0.33267787040448049</c:v>
                </c:pt>
                <c:pt idx="368">
                  <c:v>0.33390558937686088</c:v>
                </c:pt>
                <c:pt idx="369">
                  <c:v>0.33513400534815113</c:v>
                </c:pt>
                <c:pt idx="370">
                  <c:v>0.3363631126472838</c:v>
                </c:pt>
                <c:pt idx="371">
                  <c:v>0.3375929056127554</c:v>
                </c:pt>
                <c:pt idx="372">
                  <c:v>0.33882337859252687</c:v>
                </c:pt>
                <c:pt idx="373">
                  <c:v>0.34005452594392488</c:v>
                </c:pt>
                <c:pt idx="374">
                  <c:v>0.34128634203354336</c:v>
                </c:pt>
                <c:pt idx="375">
                  <c:v>0.34251882123714628</c:v>
                </c:pt>
                <c:pt idx="376">
                  <c:v>0.34375195793957097</c:v>
                </c:pt>
                <c:pt idx="377">
                  <c:v>0.34498574653463188</c:v>
                </c:pt>
                <c:pt idx="378">
                  <c:v>0.34622018142502503</c:v>
                </c:pt>
                <c:pt idx="379">
                  <c:v>0.34745525702223357</c:v>
                </c:pt>
                <c:pt idx="380">
                  <c:v>0.34869096774643338</c:v>
                </c:pt>
                <c:pt idx="381">
                  <c:v>0.34992730802639976</c:v>
                </c:pt>
                <c:pt idx="382">
                  <c:v>0.35116427229941444</c:v>
                </c:pt>
                <c:pt idx="383">
                  <c:v>0.35240185501117333</c:v>
                </c:pt>
                <c:pt idx="384">
                  <c:v>0.35364005061569503</c:v>
                </c:pt>
                <c:pt idx="385">
                  <c:v>0.35487885357522958</c:v>
                </c:pt>
                <c:pt idx="386">
                  <c:v>0.35611825836016836</c:v>
                </c:pt>
                <c:pt idx="387">
                  <c:v>0.35735825944895383</c:v>
                </c:pt>
                <c:pt idx="388">
                  <c:v>0.35859885132799063</c:v>
                </c:pt>
                <c:pt idx="389">
                  <c:v>0.35984002849155639</c:v>
                </c:pt>
                <c:pt idx="390">
                  <c:v>0.36108178544171426</c:v>
                </c:pt>
                <c:pt idx="391">
                  <c:v>0.36232411668822473</c:v>
                </c:pt>
                <c:pt idx="392">
                  <c:v>0.36356701674845876</c:v>
                </c:pt>
                <c:pt idx="393">
                  <c:v>0.36481048014731143</c:v>
                </c:pt>
                <c:pt idx="394">
                  <c:v>0.36605450141711565</c:v>
                </c:pt>
                <c:pt idx="395">
                  <c:v>0.36729907509755705</c:v>
                </c:pt>
                <c:pt idx="396">
                  <c:v>0.36854419573558872</c:v>
                </c:pt>
                <c:pt idx="397">
                  <c:v>0.36978985788534685</c:v>
                </c:pt>
                <c:pt idx="398">
                  <c:v>0.371036056108067</c:v>
                </c:pt>
                <c:pt idx="399">
                  <c:v>0.3722827849720004</c:v>
                </c:pt>
                <c:pt idx="400">
                  <c:v>0.37353003905233101</c:v>
                </c:pt>
                <c:pt idx="401">
                  <c:v>0.37477781293109313</c:v>
                </c:pt>
                <c:pt idx="402">
                  <c:v>0.37602610119708929</c:v>
                </c:pt>
                <c:pt idx="403">
                  <c:v>0.37727489844580886</c:v>
                </c:pt>
                <c:pt idx="404">
                  <c:v>0.37852419927934672</c:v>
                </c:pt>
                <c:pt idx="405">
                  <c:v>0.37977399830632286</c:v>
                </c:pt>
                <c:pt idx="406">
                  <c:v>0.38102429014180184</c:v>
                </c:pt>
                <c:pt idx="407">
                  <c:v>0.38227506940721351</c:v>
                </c:pt>
                <c:pt idx="408">
                  <c:v>0.38352633073027326</c:v>
                </c:pt>
                <c:pt idx="409">
                  <c:v>0.38477806874490328</c:v>
                </c:pt>
                <c:pt idx="410">
                  <c:v>0.38603027809115409</c:v>
                </c:pt>
                <c:pt idx="411">
                  <c:v>0.38728295341512631</c:v>
                </c:pt>
                <c:pt idx="412">
                  <c:v>0.38853608936889317</c:v>
                </c:pt>
                <c:pt idx="413">
                  <c:v>0.38978968061042329</c:v>
                </c:pt>
                <c:pt idx="414">
                  <c:v>0.39104372180350355</c:v>
                </c:pt>
                <c:pt idx="415">
                  <c:v>0.3922982076176626</c:v>
                </c:pt>
                <c:pt idx="416">
                  <c:v>0.39355313272809511</c:v>
                </c:pt>
                <c:pt idx="417">
                  <c:v>0.39480849181558564</c:v>
                </c:pt>
                <c:pt idx="418">
                  <c:v>0.39606427956643353</c:v>
                </c:pt>
                <c:pt idx="419">
                  <c:v>0.39732049067237762</c:v>
                </c:pt>
                <c:pt idx="420">
                  <c:v>0.39857711983052202</c:v>
                </c:pt>
                <c:pt idx="421">
                  <c:v>0.39983416174326136</c:v>
                </c:pt>
                <c:pt idx="422">
                  <c:v>0.40109161111820724</c:v>
                </c:pt>
                <c:pt idx="423">
                  <c:v>0.40234946266811422</c:v>
                </c:pt>
                <c:pt idx="424">
                  <c:v>0.4036077111108069</c:v>
                </c:pt>
                <c:pt idx="425">
                  <c:v>0.40486635116910691</c:v>
                </c:pt>
                <c:pt idx="426">
                  <c:v>0.40612537757076006</c:v>
                </c:pt>
                <c:pt idx="427">
                  <c:v>0.40738478504836428</c:v>
                </c:pt>
                <c:pt idx="428">
                  <c:v>0.40864456833929769</c:v>
                </c:pt>
                <c:pt idx="429">
                  <c:v>0.40990472218564661</c:v>
                </c:pt>
                <c:pt idx="430">
                  <c:v>0.41116524133413446</c:v>
                </c:pt>
                <c:pt idx="431">
                  <c:v>0.41242612053605071</c:v>
                </c:pt>
                <c:pt idx="432">
                  <c:v>0.41368735454717981</c:v>
                </c:pt>
                <c:pt idx="433">
                  <c:v>0.41494893812773098</c:v>
                </c:pt>
                <c:pt idx="434">
                  <c:v>0.41621086604226798</c:v>
                </c:pt>
                <c:pt idx="435">
                  <c:v>0.4174731330596389</c:v>
                </c:pt>
                <c:pt idx="436">
                  <c:v>0.41873573395290692</c:v>
                </c:pt>
                <c:pt idx="437">
                  <c:v>0.41999866349928061</c:v>
                </c:pt>
                <c:pt idx="438">
                  <c:v>0.4212619164800448</c:v>
                </c:pt>
                <c:pt idx="439">
                  <c:v>0.42252548768049203</c:v>
                </c:pt>
                <c:pt idx="440">
                  <c:v>0.42378937188985344</c:v>
                </c:pt>
                <c:pt idx="441">
                  <c:v>0.42505356390123084</c:v>
                </c:pt>
                <c:pt idx="442">
                  <c:v>0.42631805851152849</c:v>
                </c:pt>
                <c:pt idx="443">
                  <c:v>0.42758285052138489</c:v>
                </c:pt>
                <c:pt idx="444">
                  <c:v>0.42884793473510568</c:v>
                </c:pt>
                <c:pt idx="445">
                  <c:v>0.43011330596059572</c:v>
                </c:pt>
                <c:pt idx="446">
                  <c:v>0.43137895900929213</c:v>
                </c:pt>
                <c:pt idx="447">
                  <c:v>0.43264488869609741</c:v>
                </c:pt>
                <c:pt idx="448">
                  <c:v>0.43391108983931248</c:v>
                </c:pt>
                <c:pt idx="449">
                  <c:v>0.43517755726057017</c:v>
                </c:pt>
                <c:pt idx="450">
                  <c:v>0.43644428578476913</c:v>
                </c:pt>
                <c:pt idx="451">
                  <c:v>0.43771127024000722</c:v>
                </c:pt>
                <c:pt idx="452">
                  <c:v>0.43897850545751604</c:v>
                </c:pt>
                <c:pt idx="453">
                  <c:v>0.44024598627159511</c:v>
                </c:pt>
                <c:pt idx="454">
                  <c:v>0.44151370751954594</c:v>
                </c:pt>
                <c:pt idx="455">
                  <c:v>0.44278166404160718</c:v>
                </c:pt>
                <c:pt idx="456">
                  <c:v>0.44404985068088909</c:v>
                </c:pt>
                <c:pt idx="457">
                  <c:v>0.44531826228330862</c:v>
                </c:pt>
                <c:pt idx="458">
                  <c:v>0.44658689369752474</c:v>
                </c:pt>
                <c:pt idx="459">
                  <c:v>0.44785573977487353</c:v>
                </c:pt>
                <c:pt idx="460">
                  <c:v>0.44912479536930383</c:v>
                </c:pt>
                <c:pt idx="461">
                  <c:v>0.45039405533731286</c:v>
                </c:pt>
                <c:pt idx="462">
                  <c:v>0.451663514537882</c:v>
                </c:pt>
                <c:pt idx="463">
                  <c:v>0.45293316783241289</c:v>
                </c:pt>
                <c:pt idx="464">
                  <c:v>0.45420301008466335</c:v>
                </c:pt>
                <c:pt idx="465">
                  <c:v>0.4554730361606838</c:v>
                </c:pt>
                <c:pt idx="466">
                  <c:v>0.45674324092875374</c:v>
                </c:pt>
                <c:pt idx="467">
                  <c:v>0.45801361925931794</c:v>
                </c:pt>
                <c:pt idx="468">
                  <c:v>0.4592841660249235</c:v>
                </c:pt>
                <c:pt idx="469">
                  <c:v>0.46055487610015633</c:v>
                </c:pt>
                <c:pt idx="470">
                  <c:v>0.46182574436157847</c:v>
                </c:pt>
                <c:pt idx="471">
                  <c:v>0.46309676568766467</c:v>
                </c:pt>
                <c:pt idx="472">
                  <c:v>0.46436793495873985</c:v>
                </c:pt>
                <c:pt idx="473">
                  <c:v>0.46563924705691628</c:v>
                </c:pt>
                <c:pt idx="474">
                  <c:v>0.46691069686603104</c:v>
                </c:pt>
                <c:pt idx="475">
                  <c:v>0.46818227927158329</c:v>
                </c:pt>
                <c:pt idx="476">
                  <c:v>0.46945398916067216</c:v>
                </c:pt>
                <c:pt idx="477">
                  <c:v>0.47072582142193409</c:v>
                </c:pt>
                <c:pt idx="478">
                  <c:v>0.47199777094548101</c:v>
                </c:pt>
                <c:pt idx="479">
                  <c:v>0.47326983262283784</c:v>
                </c:pt>
                <c:pt idx="480">
                  <c:v>0.47454200134688063</c:v>
                </c:pt>
                <c:pt idx="481">
                  <c:v>0.47581427201177445</c:v>
                </c:pt>
                <c:pt idx="482">
                  <c:v>0.47708663951291175</c:v>
                </c:pt>
                <c:pt idx="483">
                  <c:v>0.47835909874685034</c:v>
                </c:pt>
                <c:pt idx="484">
                  <c:v>0.47963164461125163</c:v>
                </c:pt>
                <c:pt idx="485">
                  <c:v>0.48090427200481906</c:v>
                </c:pt>
                <c:pt idx="486">
                  <c:v>0.48217697582723645</c:v>
                </c:pt>
                <c:pt idx="487">
                  <c:v>0.48344975097910636</c:v>
                </c:pt>
                <c:pt idx="488">
                  <c:v>0.48472259236188875</c:v>
                </c:pt>
                <c:pt idx="489">
                  <c:v>0.48599549487783933</c:v>
                </c:pt>
                <c:pt idx="490">
                  <c:v>0.4872684534299484</c:v>
                </c:pt>
                <c:pt idx="491">
                  <c:v>0.48854146292187917</c:v>
                </c:pt>
                <c:pt idx="492">
                  <c:v>0.48981451825790678</c:v>
                </c:pt>
                <c:pt idx="493">
                  <c:v>0.49108761434285675</c:v>
                </c:pt>
                <c:pt idx="494">
                  <c:v>0.49236074608204394</c:v>
                </c:pt>
                <c:pt idx="495">
                  <c:v>0.49363390838121118</c:v>
                </c:pt>
                <c:pt idx="496">
                  <c:v>0.49490709614646811</c:v>
                </c:pt>
                <c:pt idx="497">
                  <c:v>0.4961803042842301</c:v>
                </c:pt>
                <c:pt idx="498">
                  <c:v>0.49745352770115686</c:v>
                </c:pt>
                <c:pt idx="499">
                  <c:v>0.49872676130409171</c:v>
                </c:pt>
                <c:pt idx="500">
                  <c:v>0.5</c:v>
                </c:pt>
                <c:pt idx="501">
                  <c:v>0.50127323869590834</c:v>
                </c:pt>
                <c:pt idx="502">
                  <c:v>0.50254647229884308</c:v>
                </c:pt>
                <c:pt idx="503">
                  <c:v>0.5038196957157699</c:v>
                </c:pt>
                <c:pt idx="504">
                  <c:v>0.50509290385353189</c:v>
                </c:pt>
                <c:pt idx="505">
                  <c:v>0.50636609161878887</c:v>
                </c:pt>
                <c:pt idx="506">
                  <c:v>0.50763925391795606</c:v>
                </c:pt>
                <c:pt idx="507">
                  <c:v>0.50891238565714325</c:v>
                </c:pt>
                <c:pt idx="508">
                  <c:v>0.51018548174209322</c:v>
                </c:pt>
                <c:pt idx="509">
                  <c:v>0.51145853707812083</c:v>
                </c:pt>
                <c:pt idx="510">
                  <c:v>0.5127315465700516</c:v>
                </c:pt>
                <c:pt idx="511">
                  <c:v>0.51400450512216067</c:v>
                </c:pt>
                <c:pt idx="512">
                  <c:v>0.51527740763811125</c:v>
                </c:pt>
                <c:pt idx="513">
                  <c:v>0.51655024902089364</c:v>
                </c:pt>
                <c:pt idx="514">
                  <c:v>0.5178230241727636</c:v>
                </c:pt>
                <c:pt idx="515">
                  <c:v>0.51909572799518089</c:v>
                </c:pt>
                <c:pt idx="516">
                  <c:v>0.52036835538874837</c:v>
                </c:pt>
                <c:pt idx="517">
                  <c:v>0.52164090125314966</c:v>
                </c:pt>
                <c:pt idx="518">
                  <c:v>0.52291336048708825</c:v>
                </c:pt>
                <c:pt idx="519">
                  <c:v>0.5241857279882256</c:v>
                </c:pt>
                <c:pt idx="520">
                  <c:v>0.52545799865311937</c:v>
                </c:pt>
                <c:pt idx="521">
                  <c:v>0.52673016737716216</c:v>
                </c:pt>
                <c:pt idx="522">
                  <c:v>0.52800222905451899</c:v>
                </c:pt>
                <c:pt idx="523">
                  <c:v>0.52927417857806591</c:v>
                </c:pt>
                <c:pt idx="524">
                  <c:v>0.53054601083932784</c:v>
                </c:pt>
                <c:pt idx="525">
                  <c:v>0.53181772072841671</c:v>
                </c:pt>
                <c:pt idx="526">
                  <c:v>0.53308930313396896</c:v>
                </c:pt>
                <c:pt idx="527">
                  <c:v>0.53436075294308372</c:v>
                </c:pt>
                <c:pt idx="528">
                  <c:v>0.53563206504126015</c:v>
                </c:pt>
                <c:pt idx="529">
                  <c:v>0.53690323431233533</c:v>
                </c:pt>
                <c:pt idx="530">
                  <c:v>0.53817425563842158</c:v>
                </c:pt>
                <c:pt idx="531">
                  <c:v>0.53944512389984367</c:v>
                </c:pt>
                <c:pt idx="532">
                  <c:v>0.54071583397507661</c:v>
                </c:pt>
                <c:pt idx="533">
                  <c:v>0.54198638074068217</c:v>
                </c:pt>
                <c:pt idx="534">
                  <c:v>0.54325675907124638</c:v>
                </c:pt>
                <c:pt idx="535">
                  <c:v>0.5445269638393162</c:v>
                </c:pt>
                <c:pt idx="536">
                  <c:v>0.54579698991533676</c:v>
                </c:pt>
                <c:pt idx="537">
                  <c:v>0.54706683216758722</c:v>
                </c:pt>
                <c:pt idx="538">
                  <c:v>0.54833648546211811</c:v>
                </c:pt>
                <c:pt idx="539">
                  <c:v>0.5496059446626872</c:v>
                </c:pt>
                <c:pt idx="540">
                  <c:v>0.55087520463069617</c:v>
                </c:pt>
                <c:pt idx="541">
                  <c:v>0.55214426022512653</c:v>
                </c:pt>
                <c:pt idx="542">
                  <c:v>0.55341310630247531</c:v>
                </c:pt>
                <c:pt idx="543">
                  <c:v>0.55468173771669149</c:v>
                </c:pt>
                <c:pt idx="544">
                  <c:v>0.55595014931911102</c:v>
                </c:pt>
                <c:pt idx="545">
                  <c:v>0.55721833595839287</c:v>
                </c:pt>
                <c:pt idx="546">
                  <c:v>0.55848629248045412</c:v>
                </c:pt>
                <c:pt idx="547">
                  <c:v>0.55975401372840494</c:v>
                </c:pt>
                <c:pt idx="548">
                  <c:v>0.56102149454248396</c:v>
                </c:pt>
                <c:pt idx="549">
                  <c:v>0.56228872975999289</c:v>
                </c:pt>
                <c:pt idx="550">
                  <c:v>0.56355571421523099</c:v>
                </c:pt>
                <c:pt idx="551">
                  <c:v>0.56482244273942983</c:v>
                </c:pt>
                <c:pt idx="552">
                  <c:v>0.56608891016068763</c:v>
                </c:pt>
                <c:pt idx="553">
                  <c:v>0.56735511130390259</c:v>
                </c:pt>
                <c:pt idx="554">
                  <c:v>0.56862104099070798</c:v>
                </c:pt>
                <c:pt idx="555">
                  <c:v>0.5698866940394044</c:v>
                </c:pt>
                <c:pt idx="556">
                  <c:v>0.57115206526489437</c:v>
                </c:pt>
                <c:pt idx="557">
                  <c:v>0.57241714947861522</c:v>
                </c:pt>
                <c:pt idx="558">
                  <c:v>0.57368194148847163</c:v>
                </c:pt>
                <c:pt idx="559">
                  <c:v>0.57494643609876928</c:v>
                </c:pt>
                <c:pt idx="560">
                  <c:v>0.57621062811014667</c:v>
                </c:pt>
                <c:pt idx="561">
                  <c:v>0.57747451231950808</c:v>
                </c:pt>
                <c:pt idx="562">
                  <c:v>0.57873808351995526</c:v>
                </c:pt>
                <c:pt idx="563">
                  <c:v>0.58000133650071928</c:v>
                </c:pt>
                <c:pt idx="564">
                  <c:v>0.58126426604709303</c:v>
                </c:pt>
                <c:pt idx="565">
                  <c:v>0.58252686694036104</c:v>
                </c:pt>
                <c:pt idx="566">
                  <c:v>0.58378913395773191</c:v>
                </c:pt>
                <c:pt idx="567">
                  <c:v>0.58505106187226896</c:v>
                </c:pt>
                <c:pt idx="568">
                  <c:v>0.58631264545282014</c:v>
                </c:pt>
                <c:pt idx="569">
                  <c:v>0.58757387946394923</c:v>
                </c:pt>
                <c:pt idx="570">
                  <c:v>0.58883475866586543</c:v>
                </c:pt>
                <c:pt idx="571">
                  <c:v>0.59009527781435334</c:v>
                </c:pt>
                <c:pt idx="572">
                  <c:v>0.59135543166070226</c:v>
                </c:pt>
                <c:pt idx="573">
                  <c:v>0.5926152149516356</c:v>
                </c:pt>
                <c:pt idx="574">
                  <c:v>0.59387462242923994</c:v>
                </c:pt>
                <c:pt idx="575">
                  <c:v>0.59513364883089304</c:v>
                </c:pt>
                <c:pt idx="576">
                  <c:v>0.59639228888919305</c:v>
                </c:pt>
                <c:pt idx="577">
                  <c:v>0.59765053733188567</c:v>
                </c:pt>
                <c:pt idx="578">
                  <c:v>0.59890838888179276</c:v>
                </c:pt>
                <c:pt idx="579">
                  <c:v>0.60016583825673853</c:v>
                </c:pt>
                <c:pt idx="580">
                  <c:v>0.60142288016947787</c:v>
                </c:pt>
                <c:pt idx="581">
                  <c:v>0.60267950932762226</c:v>
                </c:pt>
                <c:pt idx="582">
                  <c:v>0.60393572043356647</c:v>
                </c:pt>
                <c:pt idx="583">
                  <c:v>0.60519150818441436</c:v>
                </c:pt>
                <c:pt idx="584">
                  <c:v>0.60644686727190478</c:v>
                </c:pt>
                <c:pt idx="585">
                  <c:v>0.60770179238233735</c:v>
                </c:pt>
                <c:pt idx="586">
                  <c:v>0.60895627819649645</c:v>
                </c:pt>
                <c:pt idx="587">
                  <c:v>0.61021031938957659</c:v>
                </c:pt>
                <c:pt idx="588">
                  <c:v>0.61146391063110672</c:v>
                </c:pt>
                <c:pt idx="589">
                  <c:v>0.61271704658487369</c:v>
                </c:pt>
                <c:pt idx="590">
                  <c:v>0.61396972190884591</c:v>
                </c:pt>
                <c:pt idx="591">
                  <c:v>0.61522193125509661</c:v>
                </c:pt>
                <c:pt idx="592">
                  <c:v>0.61647366926972669</c:v>
                </c:pt>
                <c:pt idx="593">
                  <c:v>0.61772493059278644</c:v>
                </c:pt>
                <c:pt idx="594">
                  <c:v>0.61897570985819816</c:v>
                </c:pt>
                <c:pt idx="595">
                  <c:v>0.62022600169367714</c:v>
                </c:pt>
                <c:pt idx="596">
                  <c:v>0.62147580072065334</c:v>
                </c:pt>
                <c:pt idx="597">
                  <c:v>0.62272510155419114</c:v>
                </c:pt>
                <c:pt idx="598">
                  <c:v>0.62397389880291065</c:v>
                </c:pt>
                <c:pt idx="599">
                  <c:v>0.62522218706890687</c:v>
                </c:pt>
                <c:pt idx="600">
                  <c:v>0.62646996094766894</c:v>
                </c:pt>
                <c:pt idx="601">
                  <c:v>0.6277172150279996</c:v>
                </c:pt>
                <c:pt idx="602">
                  <c:v>0.628963943891933</c:v>
                </c:pt>
                <c:pt idx="603">
                  <c:v>0.63021014211465309</c:v>
                </c:pt>
                <c:pt idx="604">
                  <c:v>0.63145580426441128</c:v>
                </c:pt>
                <c:pt idx="605">
                  <c:v>0.6327009249024429</c:v>
                </c:pt>
                <c:pt idx="606">
                  <c:v>0.63394549858288429</c:v>
                </c:pt>
                <c:pt idx="607">
                  <c:v>0.63518951985268857</c:v>
                </c:pt>
                <c:pt idx="608">
                  <c:v>0.63643298325154118</c:v>
                </c:pt>
                <c:pt idx="609">
                  <c:v>0.63767588331177527</c:v>
                </c:pt>
                <c:pt idx="610">
                  <c:v>0.63891821455828568</c:v>
                </c:pt>
                <c:pt idx="611">
                  <c:v>0.64015997150844361</c:v>
                </c:pt>
                <c:pt idx="612">
                  <c:v>0.64140114867200937</c:v>
                </c:pt>
                <c:pt idx="613">
                  <c:v>0.64264174055104617</c:v>
                </c:pt>
                <c:pt idx="614">
                  <c:v>0.6438817416398317</c:v>
                </c:pt>
                <c:pt idx="615">
                  <c:v>0.64512114642477036</c:v>
                </c:pt>
                <c:pt idx="616">
                  <c:v>0.64635994938430497</c:v>
                </c:pt>
                <c:pt idx="617">
                  <c:v>0.64759814498882662</c:v>
                </c:pt>
                <c:pt idx="618">
                  <c:v>0.64883572770058562</c:v>
                </c:pt>
                <c:pt idx="619">
                  <c:v>0.65007269197360018</c:v>
                </c:pt>
                <c:pt idx="620">
                  <c:v>0.65130903225356662</c:v>
                </c:pt>
                <c:pt idx="621">
                  <c:v>0.65254474297776643</c:v>
                </c:pt>
                <c:pt idx="622">
                  <c:v>0.65377981857497502</c:v>
                </c:pt>
                <c:pt idx="623">
                  <c:v>0.65501425346536812</c:v>
                </c:pt>
                <c:pt idx="624">
                  <c:v>0.65624804206042908</c:v>
                </c:pt>
                <c:pt idx="625">
                  <c:v>0.65748117876285372</c:v>
                </c:pt>
                <c:pt idx="626">
                  <c:v>0.65871365796645664</c:v>
                </c:pt>
                <c:pt idx="627">
                  <c:v>0.65994547405607507</c:v>
                </c:pt>
                <c:pt idx="628">
                  <c:v>0.66117662140747313</c:v>
                </c:pt>
                <c:pt idx="629">
                  <c:v>0.66240709438724465</c:v>
                </c:pt>
                <c:pt idx="630">
                  <c:v>0.6636368873527162</c:v>
                </c:pt>
                <c:pt idx="631">
                  <c:v>0.66486599465184892</c:v>
                </c:pt>
                <c:pt idx="632">
                  <c:v>0.66609441062313912</c:v>
                </c:pt>
                <c:pt idx="633">
                  <c:v>0.66732212959551951</c:v>
                </c:pt>
                <c:pt idx="634">
                  <c:v>0.66854914588825842</c:v>
                </c:pt>
                <c:pt idx="635">
                  <c:v>0.66977545381085868</c:v>
                </c:pt>
                <c:pt idx="636">
                  <c:v>0.67100104766295665</c:v>
                </c:pt>
                <c:pt idx="637">
                  <c:v>0.67222592173421847</c:v>
                </c:pt>
                <c:pt idx="638">
                  <c:v>0.67345007030423798</c:v>
                </c:pt>
                <c:pt idx="639">
                  <c:v>0.67467348764243207</c:v>
                </c:pt>
                <c:pt idx="640">
                  <c:v>0.67589616800793606</c:v>
                </c:pt>
                <c:pt idx="641">
                  <c:v>0.67711810564949781</c:v>
                </c:pt>
                <c:pt idx="642">
                  <c:v>0.67833929480537147</c:v>
                </c:pt>
                <c:pt idx="643">
                  <c:v>0.67955972970321055</c:v>
                </c:pt>
                <c:pt idx="644">
                  <c:v>0.68077940455995922</c:v>
                </c:pt>
                <c:pt idx="645">
                  <c:v>0.68199831358174368</c:v>
                </c:pt>
                <c:pt idx="646">
                  <c:v>0.68321645096376271</c:v>
                </c:pt>
                <c:pt idx="647">
                  <c:v>0.6844338108901763</c:v>
                </c:pt>
                <c:pt idx="648">
                  <c:v>0.68565038753399499</c:v>
                </c:pt>
                <c:pt idx="649">
                  <c:v>0.68686617505696657</c:v>
                </c:pt>
                <c:pt idx="650">
                  <c:v>0.68808116760946358</c:v>
                </c:pt>
                <c:pt idx="651">
                  <c:v>0.68929535933036856</c:v>
                </c:pt>
                <c:pt idx="652">
                  <c:v>0.69050874434695908</c:v>
                </c:pt>
                <c:pt idx="653">
                  <c:v>0.69172131677479165</c:v>
                </c:pt>
                <c:pt idx="654">
                  <c:v>0.69293307071758448</c:v>
                </c:pt>
                <c:pt idx="655">
                  <c:v>0.69414400026709988</c:v>
                </c:pt>
                <c:pt idx="656">
                  <c:v>0.69535409950302474</c:v>
                </c:pt>
                <c:pt idx="657">
                  <c:v>0.69656336249285089</c:v>
                </c:pt>
                <c:pt idx="658">
                  <c:v>0.69777178329175404</c:v>
                </c:pt>
                <c:pt idx="659">
                  <c:v>0.69897935594247129</c:v>
                </c:pt>
                <c:pt idx="660">
                  <c:v>0.70018607447517911</c:v>
                </c:pt>
                <c:pt idx="661">
                  <c:v>0.7013919329073679</c:v>
                </c:pt>
                <c:pt idx="662">
                  <c:v>0.70259692524371775</c:v>
                </c:pt>
                <c:pt idx="663">
                  <c:v>0.70380104547597189</c:v>
                </c:pt>
                <c:pt idx="664">
                  <c:v>0.70500428758280898</c:v>
                </c:pt>
                <c:pt idx="665">
                  <c:v>0.70620664552971535</c:v>
                </c:pt>
                <c:pt idx="666">
                  <c:v>0.70740811326885433</c:v>
                </c:pt>
                <c:pt idx="667">
                  <c:v>0.70860868473893657</c:v>
                </c:pt>
                <c:pt idx="668">
                  <c:v>0.70980835386508734</c:v>
                </c:pt>
                <c:pt idx="669">
                  <c:v>0.71100711455871357</c:v>
                </c:pt>
                <c:pt idx="670">
                  <c:v>0.71220496071736983</c:v>
                </c:pt>
                <c:pt idx="671">
                  <c:v>0.71340188622462253</c:v>
                </c:pt>
                <c:pt idx="672">
                  <c:v>0.71459788494991283</c:v>
                </c:pt>
                <c:pt idx="673">
                  <c:v>0.71579295074841964</c:v>
                </c:pt>
                <c:pt idx="674">
                  <c:v>0.71698707746091916</c:v>
                </c:pt>
                <c:pt idx="675">
                  <c:v>0.71818025891364512</c:v>
                </c:pt>
                <c:pt idx="676">
                  <c:v>0.71937248891814631</c:v>
                </c:pt>
                <c:pt idx="677">
                  <c:v>0.72056376127114397</c:v>
                </c:pt>
                <c:pt idx="678">
                  <c:v>0.72175406975438683</c:v>
                </c:pt>
                <c:pt idx="679">
                  <c:v>0.72294340813450519</c:v>
                </c:pt>
                <c:pt idx="680">
                  <c:v>0.72413177016286401</c:v>
                </c:pt>
                <c:pt idx="681">
                  <c:v>0.72531914957541366</c:v>
                </c:pt>
                <c:pt idx="682">
                  <c:v>0.7265055400925402</c:v>
                </c:pt>
                <c:pt idx="683">
                  <c:v>0.72769093541891372</c:v>
                </c:pt>
                <c:pt idx="684">
                  <c:v>0.7288753292433352</c:v>
                </c:pt>
                <c:pt idx="685">
                  <c:v>0.73005871523858223</c:v>
                </c:pt>
                <c:pt idx="686">
                  <c:v>0.73124108706125224</c:v>
                </c:pt>
                <c:pt idx="687">
                  <c:v>0.73242243835160625</c:v>
                </c:pt>
                <c:pt idx="688">
                  <c:v>0.7336027627334083</c:v>
                </c:pt>
                <c:pt idx="689">
                  <c:v>0.73478205381376593</c:v>
                </c:pt>
                <c:pt idx="690">
                  <c:v>0.73596030518296696</c:v>
                </c:pt>
                <c:pt idx="691">
                  <c:v>0.73713751041431619</c:v>
                </c:pt>
                <c:pt idx="692">
                  <c:v>0.73831366306396939</c:v>
                </c:pt>
                <c:pt idx="693">
                  <c:v>0.73948875667076641</c:v>
                </c:pt>
                <c:pt idx="694">
                  <c:v>0.74066278475606184</c:v>
                </c:pt>
                <c:pt idx="695">
                  <c:v>0.74183574082355452</c:v>
                </c:pt>
                <c:pt idx="696">
                  <c:v>0.743007618359115</c:v>
                </c:pt>
                <c:pt idx="697">
                  <c:v>0.74417841083061176</c:v>
                </c:pt>
                <c:pt idx="698">
                  <c:v>0.7453481116877344</c:v>
                </c:pt>
                <c:pt idx="699">
                  <c:v>0.74651671436181621</c:v>
                </c:pt>
                <c:pt idx="700">
                  <c:v>0.74768421226565451</c:v>
                </c:pt>
                <c:pt idx="701">
                  <c:v>0.74885059879332883</c:v>
                </c:pt>
                <c:pt idx="702">
                  <c:v>0.75001586732001746</c:v>
                </c:pt>
                <c:pt idx="703">
                  <c:v>0.7511800112018121</c:v>
                </c:pt>
                <c:pt idx="704">
                  <c:v>0.75234302377552997</c:v>
                </c:pt>
                <c:pt idx="705">
                  <c:v>0.75350489835852485</c:v>
                </c:pt>
                <c:pt idx="706">
                  <c:v>0.75466562824849492</c:v>
                </c:pt>
                <c:pt idx="707">
                  <c:v>0.75582520672328979</c:v>
                </c:pt>
                <c:pt idx="708">
                  <c:v>0.75698362704071465</c:v>
                </c:pt>
                <c:pt idx="709">
                  <c:v>0.758140882438332</c:v>
                </c:pt>
                <c:pt idx="710">
                  <c:v>0.75929696613326192</c:v>
                </c:pt>
                <c:pt idx="711">
                  <c:v>0.76045187132198011</c:v>
                </c:pt>
                <c:pt idx="712">
                  <c:v>0.76160559118011306</c:v>
                </c:pt>
                <c:pt idx="713">
                  <c:v>0.76275811886223122</c:v>
                </c:pt>
                <c:pt idx="714">
                  <c:v>0.76390944750164025</c:v>
                </c:pt>
                <c:pt idx="715">
                  <c:v>0.76505957021016946</c:v>
                </c:pt>
                <c:pt idx="716">
                  <c:v>0.76620848007795783</c:v>
                </c:pt>
                <c:pt idx="717">
                  <c:v>0.76735617017323832</c:v>
                </c:pt>
                <c:pt idx="718">
                  <c:v>0.76850263354211845</c:v>
                </c:pt>
                <c:pt idx="719">
                  <c:v>0.76964786320835965</c:v>
                </c:pt>
                <c:pt idx="720">
                  <c:v>0.77079185217315327</c:v>
                </c:pt>
                <c:pt idx="721">
                  <c:v>0.77193459341489412</c:v>
                </c:pt>
                <c:pt idx="722">
                  <c:v>0.77307607988895199</c:v>
                </c:pt>
                <c:pt idx="723">
                  <c:v>0.77421630452743939</c:v>
                </c:pt>
                <c:pt idx="724">
                  <c:v>0.77535526023897772</c:v>
                </c:pt>
                <c:pt idx="725">
                  <c:v>0.77649293990845958</c:v>
                </c:pt>
                <c:pt idx="726">
                  <c:v>0.77762933639680953</c:v>
                </c:pt>
                <c:pt idx="727">
                  <c:v>0.77876444254074095</c:v>
                </c:pt>
                <c:pt idx="728">
                  <c:v>0.77989825115250999</c:v>
                </c:pt>
                <c:pt idx="729">
                  <c:v>0.78103075501966768</c:v>
                </c:pt>
                <c:pt idx="730">
                  <c:v>0.78216194690480789</c:v>
                </c:pt>
                <c:pt idx="731">
                  <c:v>0.78329181954531246</c:v>
                </c:pt>
                <c:pt idx="732">
                  <c:v>0.78442036565309392</c:v>
                </c:pt>
                <c:pt idx="733">
                  <c:v>0.78554757791433427</c:v>
                </c:pt>
                <c:pt idx="734">
                  <c:v>0.78667344898922076</c:v>
                </c:pt>
                <c:pt idx="735">
                  <c:v>0.78779797151167852</c:v>
                </c:pt>
                <c:pt idx="736">
                  <c:v>0.78892113808910036</c:v>
                </c:pt>
                <c:pt idx="737">
                  <c:v>0.79004294130207176</c:v>
                </c:pt>
                <c:pt idx="738">
                  <c:v>0.79116337370409406</c:v>
                </c:pt>
                <c:pt idx="739">
                  <c:v>0.79228242782130331</c:v>
                </c:pt>
                <c:pt idx="740">
                  <c:v>0.79340009615218565</c:v>
                </c:pt>
                <c:pt idx="741">
                  <c:v>0.7945163711672889</c:v>
                </c:pt>
                <c:pt idx="742">
                  <c:v>0.79563124530893148</c:v>
                </c:pt>
                <c:pt idx="743">
                  <c:v>0.79674471099090571</c:v>
                </c:pt>
                <c:pt idx="744">
                  <c:v>0.79785676059817945</c:v>
                </c:pt>
                <c:pt idx="745">
                  <c:v>0.79896738648659238</c:v>
                </c:pt>
                <c:pt idx="746">
                  <c:v>0.80007658098254852</c:v>
                </c:pt>
                <c:pt idx="747">
                  <c:v>0.80118433638270603</c:v>
                </c:pt>
                <c:pt idx="748">
                  <c:v>0.80229064495366054</c:v>
                </c:pt>
                <c:pt idx="749">
                  <c:v>0.80339549893162676</c:v>
                </c:pt>
                <c:pt idx="750">
                  <c:v>0.80449889052211465</c:v>
                </c:pt>
                <c:pt idx="751">
                  <c:v>0.80560081189960109</c:v>
                </c:pt>
                <c:pt idx="752">
                  <c:v>0.8067012552071976</c:v>
                </c:pt>
                <c:pt idx="753">
                  <c:v>0.80780021255631385</c:v>
                </c:pt>
                <c:pt idx="754">
                  <c:v>0.80889767602631624</c:v>
                </c:pt>
                <c:pt idx="755">
                  <c:v>0.80999363766418153</c:v>
                </c:pt>
                <c:pt idx="756">
                  <c:v>0.81108808948414635</c:v>
                </c:pt>
                <c:pt idx="757">
                  <c:v>0.81218102346735221</c:v>
                </c:pt>
                <c:pt idx="758">
                  <c:v>0.81327243156148432</c:v>
                </c:pt>
                <c:pt idx="759">
                  <c:v>0.81436230568040657</c:v>
                </c:pt>
                <c:pt idx="760">
                  <c:v>0.81545063770379145</c:v>
                </c:pt>
                <c:pt idx="761">
                  <c:v>0.81653741947674408</c:v>
                </c:pt>
                <c:pt idx="762">
                  <c:v>0.81762264280942121</c:v>
                </c:pt>
                <c:pt idx="763">
                  <c:v>0.81870629947664564</c:v>
                </c:pt>
                <c:pt idx="764">
                  <c:v>0.81978838121751407</c:v>
                </c:pt>
                <c:pt idx="765">
                  <c:v>0.82086887973499989</c:v>
                </c:pt>
                <c:pt idx="766">
                  <c:v>0.82194778669555046</c:v>
                </c:pt>
                <c:pt idx="767">
                  <c:v>0.82302509372867827</c:v>
                </c:pt>
                <c:pt idx="768">
                  <c:v>0.82410079242654666</c:v>
                </c:pt>
                <c:pt idx="769">
                  <c:v>0.82517487434354897</c:v>
                </c:pt>
                <c:pt idx="770">
                  <c:v>0.82624733099588177</c:v>
                </c:pt>
                <c:pt idx="771">
                  <c:v>0.82731815386111207</c:v>
                </c:pt>
                <c:pt idx="772">
                  <c:v>0.82838733437773826</c:v>
                </c:pt>
                <c:pt idx="773">
                  <c:v>0.82945486394474388</c:v>
                </c:pt>
                <c:pt idx="774">
                  <c:v>0.83052073392114556</c:v>
                </c:pt>
                <c:pt idx="775">
                  <c:v>0.83158493562553337</c:v>
                </c:pt>
                <c:pt idx="776">
                  <c:v>0.83264746033560577</c:v>
                </c:pt>
                <c:pt idx="777">
                  <c:v>0.83370829928769541</c:v>
                </c:pt>
                <c:pt idx="778">
                  <c:v>0.83476744367628952</c:v>
                </c:pt>
                <c:pt idx="779">
                  <c:v>0.83582488465354254</c:v>
                </c:pt>
                <c:pt idx="780">
                  <c:v>0.83688061332878072</c:v>
                </c:pt>
                <c:pt idx="781">
                  <c:v>0.83793462076799974</c:v>
                </c:pt>
                <c:pt idx="782">
                  <c:v>0.83898689799335457</c:v>
                </c:pt>
                <c:pt idx="783">
                  <c:v>0.84003743598264113</c:v>
                </c:pt>
                <c:pt idx="784">
                  <c:v>0.84108622566876945</c:v>
                </c:pt>
                <c:pt idx="785">
                  <c:v>0.84213325793923</c:v>
                </c:pt>
                <c:pt idx="786">
                  <c:v>0.84317852363554979</c:v>
                </c:pt>
                <c:pt idx="787">
                  <c:v>0.84422201355274162</c:v>
                </c:pt>
                <c:pt idx="788">
                  <c:v>0.84526371843874304</c:v>
                </c:pt>
                <c:pt idx="789">
                  <c:v>0.84630362899384715</c:v>
                </c:pt>
                <c:pt idx="790">
                  <c:v>0.8473417358701244</c:v>
                </c:pt>
                <c:pt idx="791">
                  <c:v>0.84837802967083475</c:v>
                </c:pt>
                <c:pt idx="792">
                  <c:v>0.84941250094982967</c:v>
                </c:pt>
                <c:pt idx="793">
                  <c:v>0.85044514021094575</c:v>
                </c:pt>
                <c:pt idx="794">
                  <c:v>0.85147593790738718</c:v>
                </c:pt>
                <c:pt idx="795">
                  <c:v>0.85250488444109873</c:v>
                </c:pt>
                <c:pt idx="796">
                  <c:v>0.85353197016212767</c:v>
                </c:pt>
                <c:pt idx="797">
                  <c:v>0.85455718536797609</c:v>
                </c:pt>
                <c:pt idx="798">
                  <c:v>0.85558052030294118</c:v>
                </c:pt>
                <c:pt idx="799">
                  <c:v>0.85660196515744491</c:v>
                </c:pt>
                <c:pt idx="800">
                  <c:v>0.85762151006735299</c:v>
                </c:pt>
                <c:pt idx="801">
                  <c:v>0.85863914511328132</c:v>
                </c:pt>
                <c:pt idx="802">
                  <c:v>0.85965486031989058</c:v>
                </c:pt>
                <c:pt idx="803">
                  <c:v>0.86066864565516932</c:v>
                </c:pt>
                <c:pt idx="804">
                  <c:v>0.86168049102970456</c:v>
                </c:pt>
                <c:pt idx="805">
                  <c:v>0.86269038629593919</c:v>
                </c:pt>
                <c:pt idx="806">
                  <c:v>0.86369832124741619</c:v>
                </c:pt>
                <c:pt idx="807">
                  <c:v>0.86470428561801127</c:v>
                </c:pt>
                <c:pt idx="808">
                  <c:v>0.86570826908114928</c:v>
                </c:pt>
                <c:pt idx="809">
                  <c:v>0.86671026124900963</c:v>
                </c:pt>
                <c:pt idx="810">
                  <c:v>0.86771025167171412</c:v>
                </c:pt>
                <c:pt idx="811">
                  <c:v>0.86870822983650409</c:v>
                </c:pt>
                <c:pt idx="812">
                  <c:v>0.8697041851668994</c:v>
                </c:pt>
                <c:pt idx="813">
                  <c:v>0.87069810702184314</c:v>
                </c:pt>
                <c:pt idx="814">
                  <c:v>0.8716899846948325</c:v>
                </c:pt>
                <c:pt idx="815">
                  <c:v>0.87267980741303053</c:v>
                </c:pt>
                <c:pt idx="816">
                  <c:v>0.87366756433636361</c:v>
                </c:pt>
                <c:pt idx="817">
                  <c:v>0.87465324455660198</c:v>
                </c:pt>
                <c:pt idx="818">
                  <c:v>0.87563683709642204</c:v>
                </c:pt>
                <c:pt idx="819">
                  <c:v>0.87661833090845276</c:v>
                </c:pt>
                <c:pt idx="820">
                  <c:v>0.87759771487430138</c:v>
                </c:pt>
                <c:pt idx="821">
                  <c:v>0.87857497780356397</c:v>
                </c:pt>
                <c:pt idx="822">
                  <c:v>0.87955010843281389</c:v>
                </c:pt>
                <c:pt idx="823">
                  <c:v>0.88052309542457308</c:v>
                </c:pt>
                <c:pt idx="824">
                  <c:v>0.88149392736626175</c:v>
                </c:pt>
                <c:pt idx="825">
                  <c:v>0.88246259276912953</c:v>
                </c:pt>
                <c:pt idx="826">
                  <c:v>0.88342908006716325</c:v>
                </c:pt>
                <c:pt idx="827">
                  <c:v>0.88439337761597547</c:v>
                </c:pt>
                <c:pt idx="828">
                  <c:v>0.88535547369166978</c:v>
                </c:pt>
                <c:pt idx="829">
                  <c:v>0.88631535648968363</c:v>
                </c:pt>
                <c:pt idx="830">
                  <c:v>0.88727301412360804</c:v>
                </c:pt>
                <c:pt idx="831">
                  <c:v>0.88822843462398382</c:v>
                </c:pt>
                <c:pt idx="832">
                  <c:v>0.88918160593707241</c:v>
                </c:pt>
                <c:pt idx="833">
                  <c:v>0.8901325159236031</c:v>
                </c:pt>
                <c:pt idx="834">
                  <c:v>0.89108115235749275</c:v>
                </c:pt>
                <c:pt idx="835">
                  <c:v>0.89202750292454025</c:v>
                </c:pt>
                <c:pt idx="836">
                  <c:v>0.89297155522109395</c:v>
                </c:pt>
                <c:pt idx="837">
                  <c:v>0.89391329675268971</c:v>
                </c:pt>
                <c:pt idx="838">
                  <c:v>0.89485271493266227</c:v>
                </c:pt>
                <c:pt idx="839">
                  <c:v>0.89578979708072537</c:v>
                </c:pt>
                <c:pt idx="840">
                  <c:v>0.89672453042152267</c:v>
                </c:pt>
                <c:pt idx="841">
                  <c:v>0.89765690208314697</c:v>
                </c:pt>
                <c:pt idx="842">
                  <c:v>0.89858689909562806</c:v>
                </c:pt>
                <c:pt idx="843">
                  <c:v>0.89951450838938662</c:v>
                </c:pt>
                <c:pt idx="844">
                  <c:v>0.90043971679365564</c:v>
                </c:pt>
                <c:pt idx="845">
                  <c:v>0.90136251103486564</c:v>
                </c:pt>
                <c:pt idx="846">
                  <c:v>0.90228287773499483</c:v>
                </c:pt>
                <c:pt idx="847">
                  <c:v>0.9032008034098824</c:v>
                </c:pt>
                <c:pt idx="848">
                  <c:v>0.90411627446750364</c:v>
                </c:pt>
                <c:pt idx="849">
                  <c:v>0.9050292772062063</c:v>
                </c:pt>
                <c:pt idx="850">
                  <c:v>0.90593979781290634</c:v>
                </c:pt>
                <c:pt idx="851">
                  <c:v>0.90684782236124239</c:v>
                </c:pt>
                <c:pt idx="852">
                  <c:v>0.90775333680968773</c:v>
                </c:pt>
                <c:pt idx="853">
                  <c:v>0.90865632699961885</c:v>
                </c:pt>
                <c:pt idx="854">
                  <c:v>0.90955677865333706</c:v>
                </c:pt>
                <c:pt idx="855">
                  <c:v>0.91045467737204533</c:v>
                </c:pt>
                <c:pt idx="856">
                  <c:v>0.91135000863377624</c:v>
                </c:pt>
                <c:pt idx="857">
                  <c:v>0.91224275779126984</c:v>
                </c:pt>
                <c:pt idx="858">
                  <c:v>0.91313291006980157</c:v>
                </c:pt>
                <c:pt idx="859">
                  <c:v>0.91402045056495629</c:v>
                </c:pt>
                <c:pt idx="860">
                  <c:v>0.91490536424034885</c:v>
                </c:pt>
                <c:pt idx="861">
                  <c:v>0.91578763592528745</c:v>
                </c:pt>
                <c:pt idx="862">
                  <c:v>0.91666725031238028</c:v>
                </c:pt>
                <c:pt idx="863">
                  <c:v>0.91754419195508119</c:v>
                </c:pt>
                <c:pt idx="864">
                  <c:v>0.91841844526517502</c:v>
                </c:pt>
                <c:pt idx="865">
                  <c:v>0.91928999451019699</c:v>
                </c:pt>
                <c:pt idx="866">
                  <c:v>0.92015882381078873</c:v>
                </c:pt>
                <c:pt idx="867">
                  <c:v>0.92102491713798362</c:v>
                </c:pt>
                <c:pt idx="868">
                  <c:v>0.92188825831042409</c:v>
                </c:pt>
                <c:pt idx="869">
                  <c:v>0.92274883099150484</c:v>
                </c:pt>
                <c:pt idx="870">
                  <c:v>0.92360661868644067</c:v>
                </c:pt>
                <c:pt idx="871">
                  <c:v>0.92446160473925709</c:v>
                </c:pt>
                <c:pt idx="872">
                  <c:v>0.92531377232970002</c:v>
                </c:pt>
                <c:pt idx="873">
                  <c:v>0.92616310447006278</c:v>
                </c:pt>
                <c:pt idx="874">
                  <c:v>0.92700958400192535</c:v>
                </c:pt>
                <c:pt idx="875">
                  <c:v>0.92785319359280627</c:v>
                </c:pt>
                <c:pt idx="876">
                  <c:v>0.92869391573272031</c:v>
                </c:pt>
                <c:pt idx="877">
                  <c:v>0.92953173273064116</c:v>
                </c:pt>
                <c:pt idx="878">
                  <c:v>0.93036662671086445</c:v>
                </c:pt>
                <c:pt idx="879">
                  <c:v>0.93119857960926822</c:v>
                </c:pt>
                <c:pt idx="880">
                  <c:v>0.93202757316946561</c:v>
                </c:pt>
                <c:pt idx="881">
                  <c:v>0.93285358893884851</c:v>
                </c:pt>
                <c:pt idx="882">
                  <c:v>0.93367660826451404</c:v>
                </c:pt>
                <c:pt idx="883">
                  <c:v>0.93449661228907432</c:v>
                </c:pt>
                <c:pt idx="884">
                  <c:v>0.93531358194633951</c:v>
                </c:pt>
                <c:pt idx="885">
                  <c:v>0.93612749795687544</c:v>
                </c:pt>
                <c:pt idx="886">
                  <c:v>0.93693834082342464</c:v>
                </c:pt>
                <c:pt idx="887">
                  <c:v>0.93774609082619098</c:v>
                </c:pt>
                <c:pt idx="888">
                  <c:v>0.93855072801797845</c:v>
                </c:pt>
                <c:pt idx="889">
                  <c:v>0.93935223221918052</c:v>
                </c:pt>
                <c:pt idx="890">
                  <c:v>0.94015058301261323</c:v>
                </c:pt>
                <c:pt idx="891">
                  <c:v>0.94094575973818595</c:v>
                </c:pt>
                <c:pt idx="892">
                  <c:v>0.94173774148740297</c:v>
                </c:pt>
                <c:pt idx="893">
                  <c:v>0.9425265070976887</c:v>
                </c:pt>
                <c:pt idx="894">
                  <c:v>0.94331203514653028</c:v>
                </c:pt>
                <c:pt idx="895">
                  <c:v>0.94409430394542793</c:v>
                </c:pt>
                <c:pt idx="896">
                  <c:v>0.94487329153364641</c:v>
                </c:pt>
                <c:pt idx="897">
                  <c:v>0.9456489756717591</c:v>
                </c:pt>
                <c:pt idx="898">
                  <c:v>0.94642133383497429</c:v>
                </c:pt>
                <c:pt idx="899">
                  <c:v>0.94719034320623563</c:v>
                </c:pt>
                <c:pt idx="900">
                  <c:v>0.94795598066908604</c:v>
                </c:pt>
                <c:pt idx="901">
                  <c:v>0.94871822280028484</c:v>
                </c:pt>
                <c:pt idx="902">
                  <c:v>0.94947704586216597</c:v>
                </c:pt>
                <c:pt idx="903">
                  <c:v>0.950232425794727</c:v>
                </c:pt>
                <c:pt idx="904">
                  <c:v>0.95098433820743633</c:v>
                </c:pt>
                <c:pt idx="905">
                  <c:v>0.95173275837074267</c:v>
                </c:pt>
                <c:pt idx="906">
                  <c:v>0.95247766120727839</c:v>
                </c:pt>
                <c:pt idx="907">
                  <c:v>0.95321902128273572</c:v>
                </c:pt>
                <c:pt idx="908">
                  <c:v>0.95395681279640543</c:v>
                </c:pt>
                <c:pt idx="909">
                  <c:v>0.95469100957135788</c:v>
                </c:pt>
                <c:pt idx="910">
                  <c:v>0.95542158504425134</c:v>
                </c:pt>
                <c:pt idx="911">
                  <c:v>0.95614851225474751</c:v>
                </c:pt>
                <c:pt idx="912">
                  <c:v>0.95687176383451589</c:v>
                </c:pt>
                <c:pt idx="913">
                  <c:v>0.95759131199580416</c:v>
                </c:pt>
                <c:pt idx="914">
                  <c:v>0.95830712851955457</c:v>
                </c:pt>
                <c:pt idx="915">
                  <c:v>0.95901918474304071</c:v>
                </c:pt>
                <c:pt idx="916">
                  <c:v>0.95972745154700134</c:v>
                </c:pt>
                <c:pt idx="917">
                  <c:v>0.96043189934224205</c:v>
                </c:pt>
                <c:pt idx="918">
                  <c:v>0.96113249805568013</c:v>
                </c:pt>
                <c:pt idx="919">
                  <c:v>0.96182921711579628</c:v>
                </c:pt>
                <c:pt idx="920">
                  <c:v>0.96252202543746712</c:v>
                </c:pt>
                <c:pt idx="921">
                  <c:v>0.96321089140613847</c:v>
                </c:pt>
                <c:pt idx="922">
                  <c:v>0.96389578286130551</c:v>
                </c:pt>
                <c:pt idx="923">
                  <c:v>0.96457666707925882</c:v>
                </c:pt>
                <c:pt idx="924">
                  <c:v>0.96525351075505295</c:v>
                </c:pt>
                <c:pt idx="925">
                  <c:v>0.96592627998365344</c:v>
                </c:pt>
                <c:pt idx="926">
                  <c:v>0.96659494024021186</c:v>
                </c:pt>
                <c:pt idx="927">
                  <c:v>0.96725945635941801</c:v>
                </c:pt>
                <c:pt idx="928">
                  <c:v>0.96791979251386984</c:v>
                </c:pt>
                <c:pt idx="929">
                  <c:v>0.96857591219140327</c:v>
                </c:pt>
                <c:pt idx="930">
                  <c:v>0.96922777817131445</c:v>
                </c:pt>
                <c:pt idx="931">
                  <c:v>0.96987535249940482</c:v>
                </c:pt>
                <c:pt idx="932">
                  <c:v>0.9705185964617713</c:v>
                </c:pt>
                <c:pt idx="933">
                  <c:v>0.97115747055726065</c:v>
                </c:pt>
                <c:pt idx="934">
                  <c:v>0.97179193446849843</c:v>
                </c:pt>
                <c:pt idx="935">
                  <c:v>0.97242194703139562</c:v>
                </c:pt>
                <c:pt idx="936">
                  <c:v>0.97304746620302796</c:v>
                </c:pt>
                <c:pt idx="937">
                  <c:v>0.97366844902777583</c:v>
                </c:pt>
                <c:pt idx="938">
                  <c:v>0.97428485160159983</c:v>
                </c:pt>
                <c:pt idx="939">
                  <c:v>0.97489662903431773</c:v>
                </c:pt>
                <c:pt idx="940">
                  <c:v>0.97550373540973734</c:v>
                </c:pt>
                <c:pt idx="941">
                  <c:v>0.97610612374348493</c:v>
                </c:pt>
                <c:pt idx="942">
                  <c:v>0.97670374593835385</c:v>
                </c:pt>
                <c:pt idx="943">
                  <c:v>0.97729655273698479</c:v>
                </c:pt>
                <c:pt idx="944">
                  <c:v>0.97788449367166508</c:v>
                </c:pt>
                <c:pt idx="945">
                  <c:v>0.97846751701101908</c:v>
                </c:pt>
                <c:pt idx="946">
                  <c:v>0.97904556970333845</c:v>
                </c:pt>
                <c:pt idx="947">
                  <c:v>0.9796185973162701</c:v>
                </c:pt>
                <c:pt idx="948">
                  <c:v>0.98018654397255855</c:v>
                </c:pt>
                <c:pt idx="949">
                  <c:v>0.98074935228150317</c:v>
                </c:pt>
                <c:pt idx="950">
                  <c:v>0.98130696326575062</c:v>
                </c:pt>
                <c:pt idx="951">
                  <c:v>0.98185931628301371</c:v>
                </c:pt>
                <c:pt idx="952">
                  <c:v>0.9824063489422441</c:v>
                </c:pt>
                <c:pt idx="953">
                  <c:v>0.98294799701375224</c:v>
                </c:pt>
                <c:pt idx="954">
                  <c:v>0.98348419433269185</c:v>
                </c:pt>
                <c:pt idx="955">
                  <c:v>0.98401487269526844</c:v>
                </c:pt>
                <c:pt idx="956">
                  <c:v>0.98453996174694813</c:v>
                </c:pt>
                <c:pt idx="957">
                  <c:v>0.98505938886185573</c:v>
                </c:pt>
                <c:pt idx="958">
                  <c:v>0.98557307901244418</c:v>
                </c:pt>
                <c:pt idx="959">
                  <c:v>0.98608095462840595</c:v>
                </c:pt>
                <c:pt idx="960">
                  <c:v>0.98658293544364717</c:v>
                </c:pt>
                <c:pt idx="961">
                  <c:v>0.98707893832999982</c:v>
                </c:pt>
                <c:pt idx="962">
                  <c:v>0.98756887711614605</c:v>
                </c:pt>
                <c:pt idx="963">
                  <c:v>0.98805266239002321</c:v>
                </c:pt>
                <c:pt idx="964">
                  <c:v>0.98853020128271174</c:v>
                </c:pt>
                <c:pt idx="965">
                  <c:v>0.98900139723151304</c:v>
                </c:pt>
                <c:pt idx="966">
                  <c:v>0.98946614971956048</c:v>
                </c:pt>
                <c:pt idx="967">
                  <c:v>0.98992435398888523</c:v>
                </c:pt>
                <c:pt idx="968">
                  <c:v>0.99037590072334547</c:v>
                </c:pt>
                <c:pt idx="969">
                  <c:v>0.9908206756972191</c:v>
                </c:pt>
                <c:pt idx="970">
                  <c:v>0.9912585593845149</c:v>
                </c:pt>
                <c:pt idx="971">
                  <c:v>0.99168942652316383</c:v>
                </c:pt>
                <c:pt idx="972">
                  <c:v>0.99211314562715125</c:v>
                </c:pt>
                <c:pt idx="973">
                  <c:v>0.99252957843829737</c:v>
                </c:pt>
                <c:pt idx="974">
                  <c:v>0.99293857930772034</c:v>
                </c:pt>
                <c:pt idx="975">
                  <c:v>0.99333999449492938</c:v>
                </c:pt>
                <c:pt idx="976">
                  <c:v>0.99373366136985997</c:v>
                </c:pt>
                <c:pt idx="977">
                  <c:v>0.99411940749983452</c:v>
                </c:pt>
                <c:pt idx="978">
                  <c:v>0.99449704959916241</c:v>
                </c:pt>
                <c:pt idx="979">
                  <c:v>0.99486639231357354</c:v>
                </c:pt>
                <c:pt idx="980">
                  <c:v>0.99522722680446996</c:v>
                </c:pt>
                <c:pt idx="981">
                  <c:v>0.9955793290884507</c:v>
                </c:pt>
                <c:pt idx="982">
                  <c:v>0.99592245807480739</c:v>
                </c:pt>
                <c:pt idx="983">
                  <c:v>0.99625635322636008</c:v>
                </c:pt>
                <c:pt idx="984">
                  <c:v>0.99658073174514639</c:v>
                </c:pt>
                <c:pt idx="985">
                  <c:v>0.99689528515099868</c:v>
                </c:pt>
                <c:pt idx="986">
                  <c:v>0.99719967507325191</c:v>
                </c:pt>
                <c:pt idx="987">
                  <c:v>0.99749352800608881</c:v>
                </c:pt>
                <c:pt idx="988">
                  <c:v>0.99777642867384675</c:v>
                </c:pt>
                <c:pt idx="989">
                  <c:v>0.99804791149270389</c:v>
                </c:pt>
                <c:pt idx="990">
                  <c:v>0.99830744936198323</c:v>
                </c:pt>
                <c:pt idx="991">
                  <c:v>0.99855443860275339</c:v>
                </c:pt>
                <c:pt idx="992">
                  <c:v>0.99878817814978427</c:v>
                </c:pt>
                <c:pt idx="993">
                  <c:v>0.99900783982102581</c:v>
                </c:pt>
                <c:pt idx="994">
                  <c:v>0.9992124240326401</c:v>
                </c:pt>
                <c:pt idx="995">
                  <c:v>0.99940069024429878</c:v>
                </c:pt>
                <c:pt idx="996">
                  <c:v>0.99957103979653628</c:v>
                </c:pt>
                <c:pt idx="997">
                  <c:v>0.99972129838427559</c:v>
                </c:pt>
                <c:pt idx="998">
                  <c:v>0.99984824846223963</c:v>
                </c:pt>
                <c:pt idx="999">
                  <c:v>0.99994633161531321</c:v>
                </c:pt>
                <c:pt idx="1000">
                  <c:v>1</c:v>
                </c:pt>
              </c:numCache>
            </c:numRef>
          </c:xVal>
          <c:yVal>
            <c:numRef>
              <c:f>Height!$B$5:$B$1005</c:f>
              <c:numCache>
                <c:formatCode>0.000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DF-4AC7-994A-F945B0707108}"/>
            </c:ext>
          </c:extLst>
        </c:ser>
        <c:ser>
          <c:idx val="1"/>
          <c:order val="1"/>
          <c:tx>
            <c:v>Manual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Lit>
              <c:ptCount val="0"/>
            </c:numLit>
          </c:xVal>
          <c:yVal>
            <c:numLit>
              <c:ptCount val="0"/>
            </c:numLit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8DF-4AC7-994A-F945B0707108}"/>
            </c:ext>
          </c:extLst>
        </c:ser>
        <c:ser>
          <c:idx val="2"/>
          <c:order val="2"/>
          <c:tx>
            <c:v>Auto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Lit>
              <c:ptCount val="0"/>
            </c:numLit>
          </c:xVal>
          <c:yVal>
            <c:numLit>
              <c:ptCount val="0"/>
            </c:numLit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8DF-4AC7-994A-F945B0707108}"/>
            </c:ext>
          </c:extLst>
        </c:ser>
        <c:ser>
          <c:idx val="3"/>
          <c:order val="3"/>
          <c:tx>
            <c:strRef>
              <c:f>Height!$E$12</c:f>
              <c:strCache>
                <c:ptCount val="1"/>
                <c:pt idx="0">
                  <c:v>HHLL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Height!$G$12</c:f>
              <c:numCache>
                <c:formatCode>0.00</c:formatCode>
                <c:ptCount val="1"/>
                <c:pt idx="0">
                  <c:v>0.62016442863348076</c:v>
                </c:pt>
              </c:numCache>
            </c:numRef>
          </c:xVal>
          <c:yVal>
            <c:numRef>
              <c:f>Height!$H$12</c:f>
              <c:numCache>
                <c:formatCode>0.00</c:formatCode>
                <c:ptCount val="1"/>
                <c:pt idx="0">
                  <c:v>0.59070001155496477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DF-4AC7-994A-F945B0707108}"/>
            </c:ext>
          </c:extLst>
        </c:ser>
        <c:ser>
          <c:idx val="4"/>
          <c:order val="4"/>
          <c:tx>
            <c:strRef>
              <c:f>Height!$E$13</c:f>
              <c:strCache>
                <c:ptCount val="1"/>
                <c:pt idx="0">
                  <c:v>HLL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Height!$G$13</c:f>
              <c:numCache>
                <c:formatCode>0.00</c:formatCode>
                <c:ptCount val="1"/>
                <c:pt idx="0">
                  <c:v>0.46634636991476242</c:v>
                </c:pt>
              </c:numCache>
            </c:numRef>
          </c:xVal>
          <c:yVal>
            <c:numRef>
              <c:f>Height!$H$13</c:f>
              <c:numCache>
                <c:formatCode>0.00</c:formatCode>
                <c:ptCount val="1"/>
                <c:pt idx="0">
                  <c:v>0.47496905779815574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8DF-4AC7-994A-F945B0707108}"/>
            </c:ext>
          </c:extLst>
        </c:ser>
        <c:ser>
          <c:idx val="5"/>
          <c:order val="5"/>
          <c:tx>
            <c:strRef>
              <c:f>Height!$E$14</c:f>
              <c:strCache>
                <c:ptCount val="1"/>
                <c:pt idx="0">
                  <c:v>NLL 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Height!$G$14</c:f>
              <c:numCache>
                <c:formatCode>0.00</c:formatCode>
                <c:ptCount val="1"/>
                <c:pt idx="0">
                  <c:v>0.31252831119604418</c:v>
                </c:pt>
              </c:numCache>
            </c:numRef>
          </c:xVal>
          <c:yVal>
            <c:numRef>
              <c:f>Height!$H$14</c:f>
              <c:numCache>
                <c:formatCode>0.00</c:formatCode>
                <c:ptCount val="1"/>
                <c:pt idx="0">
                  <c:v>0.35528246840521061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8DF-4AC7-994A-F945B0707108}"/>
            </c:ext>
          </c:extLst>
        </c:ser>
        <c:ser>
          <c:idx val="6"/>
          <c:order val="6"/>
          <c:tx>
            <c:strRef>
              <c:f>Height!$E$15</c:f>
              <c:strCache>
                <c:ptCount val="1"/>
                <c:pt idx="0">
                  <c:v>LLL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Height!$G$15</c:f>
              <c:numCache>
                <c:formatCode>0.00</c:formatCode>
                <c:ptCount val="1"/>
                <c:pt idx="0">
                  <c:v>0.1587102524773259</c:v>
                </c:pt>
              </c:numCache>
            </c:numRef>
          </c:xVal>
          <c:yVal>
            <c:numRef>
              <c:f>Height!$H$15</c:f>
              <c:numCache>
                <c:formatCode>0.00</c:formatCode>
                <c:ptCount val="1"/>
                <c:pt idx="0">
                  <c:v>0.21356052380329324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8DF-4AC7-994A-F945B0707108}"/>
            </c:ext>
          </c:extLst>
        </c:ser>
        <c:ser>
          <c:idx val="7"/>
          <c:order val="7"/>
          <c:tx>
            <c:strRef>
              <c:f>Height!$E$16</c:f>
              <c:strCache>
                <c:ptCount val="1"/>
                <c:pt idx="0">
                  <c:v>LLLL</c:v>
                </c:pt>
              </c:strCache>
              <c:extLst xmlns:c15="http://schemas.microsoft.com/office/drawing/2012/chart"/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Height!$G$16</c:f>
              <c:numCache>
                <c:formatCode>0.00</c:formatCode>
                <c:ptCount val="1"/>
                <c:pt idx="0">
                  <c:v>4.8921937586075973E-3</c:v>
                </c:pt>
              </c:numCache>
            </c:numRef>
          </c:xVal>
          <c:yVal>
            <c:numRef>
              <c:f>Height!$H$16</c:f>
              <c:numCache>
                <c:formatCode>0.00</c:formatCode>
                <c:ptCount val="1"/>
                <c:pt idx="0">
                  <c:v>3.1723504419567755E-2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8DF-4AC7-994A-F945B0707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731695"/>
        <c:axId val="763736271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8"/>
                <c:tx>
                  <c:v>10^-4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Height!$E$22:$E$10005</c15:sqref>
                        </c15:formulaRef>
                      </c:ext>
                    </c:extLst>
                    <c:numCache>
                      <c:formatCode>0.000</c:formatCode>
                      <c:ptCount val="998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Height!$F$22:$F$10005</c15:sqref>
                        </c15:formulaRef>
                      </c:ext>
                    </c:extLst>
                    <c:numCache>
                      <c:formatCode>0.000</c:formatCode>
                      <c:ptCount val="9984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9-B8DF-4AC7-994A-F945B0707108}"/>
                  </c:ext>
                </c:extLst>
              </c15:ser>
            </c15:filteredScatterSeries>
          </c:ext>
        </c:extLst>
      </c:scatterChart>
      <c:valAx>
        <c:axId val="763731695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Ad</a:t>
                </a:r>
              </a:p>
            </c:rich>
          </c:tx>
          <c:layout>
            <c:manualLayout>
              <c:xMode val="edge"/>
              <c:yMode val="edge"/>
              <c:x val="0.48710068776468057"/>
              <c:y val="0.912827345012709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63736271"/>
        <c:crosses val="autoZero"/>
        <c:crossBetween val="midCat"/>
        <c:majorUnit val="0.1"/>
      </c:valAx>
      <c:valAx>
        <c:axId val="763736271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63731695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865106724495686"/>
          <c:y val="0.37633726246393318"/>
          <c:w val="0.28733625201126844"/>
          <c:h val="0.504405518131878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505993</xdr:colOff>
      <xdr:row>0</xdr:row>
      <xdr:rowOff>0</xdr:rowOff>
    </xdr:from>
    <xdr:to>
      <xdr:col>35</xdr:col>
      <xdr:colOff>572504</xdr:colOff>
      <xdr:row>39</xdr:row>
      <xdr:rowOff>71706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58453" y="0"/>
          <a:ext cx="3845788" cy="77686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1504950</xdr:colOff>
          <xdr:row>2</xdr:row>
          <xdr:rowOff>47625</xdr:rowOff>
        </xdr:from>
        <xdr:to>
          <xdr:col>11</xdr:col>
          <xdr:colOff>609600</xdr:colOff>
          <xdr:row>6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b-NO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Design, Minimize Cost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222663</xdr:colOff>
      <xdr:row>56</xdr:row>
      <xdr:rowOff>37112</xdr:rowOff>
    </xdr:from>
    <xdr:to>
      <xdr:col>18</xdr:col>
      <xdr:colOff>1947302</xdr:colOff>
      <xdr:row>72</xdr:row>
      <xdr:rowOff>115899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19708" y="11120748"/>
          <a:ext cx="5647619" cy="30476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731582</xdr:colOff>
      <xdr:row>1</xdr:row>
      <xdr:rowOff>21190</xdr:rowOff>
    </xdr:from>
    <xdr:to>
      <xdr:col>18</xdr:col>
      <xdr:colOff>393561</xdr:colOff>
      <xdr:row>16</xdr:row>
      <xdr:rowOff>58168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724846</xdr:colOff>
      <xdr:row>16</xdr:row>
      <xdr:rowOff>62769</xdr:rowOff>
    </xdr:from>
    <xdr:to>
      <xdr:col>18</xdr:col>
      <xdr:colOff>396992</xdr:colOff>
      <xdr:row>31</xdr:row>
      <xdr:rowOff>99748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33ED7-3E20-47CE-A32D-E0833E65AD7F}">
  <sheetPr codeName="Sheet1"/>
  <dimension ref="A1:AA115"/>
  <sheetViews>
    <sheetView tabSelected="1" topLeftCell="A43" zoomScale="70" zoomScaleNormal="70" workbookViewId="0">
      <selection activeCell="U18" sqref="U18"/>
    </sheetView>
  </sheetViews>
  <sheetFormatPr defaultColWidth="9.140625" defaultRowHeight="15" x14ac:dyDescent="0.25"/>
  <cols>
    <col min="1" max="1" width="47.7109375" style="5" bestFit="1" customWidth="1"/>
    <col min="2" max="2" width="13.42578125" style="5" bestFit="1" customWidth="1"/>
    <col min="3" max="3" width="10.42578125" style="30" bestFit="1" customWidth="1"/>
    <col min="4" max="4" width="10" style="5" bestFit="1" customWidth="1"/>
    <col min="5" max="5" width="7.7109375" style="24" customWidth="1"/>
    <col min="6" max="6" width="10.28515625" style="5" customWidth="1"/>
    <col min="7" max="7" width="33.140625" style="5" bestFit="1" customWidth="1"/>
    <col min="8" max="8" width="0.28515625" style="5" customWidth="1"/>
    <col min="9" max="9" width="16.7109375" style="5" bestFit="1" customWidth="1"/>
    <col min="10" max="10" width="8.28515625" style="24" bestFit="1" customWidth="1"/>
    <col min="11" max="11" width="4" style="24" bestFit="1" customWidth="1"/>
    <col min="12" max="12" width="18.7109375" style="5" bestFit="1" customWidth="1"/>
    <col min="13" max="13" width="21" style="5" customWidth="1"/>
    <col min="14" max="14" width="8" style="5" bestFit="1" customWidth="1"/>
    <col min="15" max="15" width="12" style="5" bestFit="1" customWidth="1"/>
    <col min="16" max="16" width="9.140625" style="5"/>
    <col min="17" max="17" width="6.42578125" style="24" bestFit="1" customWidth="1"/>
    <col min="18" max="18" width="2.85546875" style="5" bestFit="1" customWidth="1"/>
    <col min="19" max="19" width="31.42578125" style="5" customWidth="1"/>
    <col min="20" max="20" width="6.7109375" style="5" bestFit="1" customWidth="1"/>
    <col min="21" max="21" width="9.140625" style="5"/>
    <col min="22" max="22" width="4.28515625" style="5" customWidth="1"/>
    <col min="23" max="16384" width="9.140625" style="5"/>
  </cols>
  <sheetData>
    <row r="1" spans="1:23" s="1" customFormat="1" ht="33.75" x14ac:dyDescent="0.5">
      <c r="A1" s="146" t="s">
        <v>241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</row>
    <row r="2" spans="1:23" s="1" customFormat="1" x14ac:dyDescent="0.25"/>
    <row r="3" spans="1:23" s="1" customFormat="1" x14ac:dyDescent="0.25">
      <c r="A3" s="2" t="s">
        <v>0</v>
      </c>
      <c r="B3" s="2"/>
    </row>
    <row r="4" spans="1:23" s="1" customFormat="1" x14ac:dyDescent="0.25">
      <c r="A4" s="3" t="s">
        <v>7</v>
      </c>
      <c r="B4" s="3"/>
    </row>
    <row r="5" spans="1:23" s="1" customFormat="1" x14ac:dyDescent="0.25">
      <c r="A5" s="4" t="s">
        <v>16</v>
      </c>
      <c r="B5" s="4"/>
    </row>
    <row r="6" spans="1:23" s="1" customFormat="1" x14ac:dyDescent="0.25">
      <c r="A6" s="13" t="s">
        <v>42</v>
      </c>
      <c r="B6" s="13"/>
    </row>
    <row r="7" spans="1:23" s="1" customFormat="1" x14ac:dyDescent="0.25"/>
    <row r="8" spans="1:23" s="1" customFormat="1" ht="26.25" x14ac:dyDescent="0.4">
      <c r="A8" s="148" t="s">
        <v>227</v>
      </c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</row>
    <row r="9" spans="1:23" s="1" customFormat="1" x14ac:dyDescent="0.25">
      <c r="A9" s="152" t="s">
        <v>226</v>
      </c>
      <c r="B9" s="152"/>
      <c r="C9" s="152"/>
      <c r="D9" s="152"/>
      <c r="E9" s="152"/>
      <c r="F9" s="152"/>
    </row>
    <row r="10" spans="1:23" s="1" customFormat="1" x14ac:dyDescent="0.25">
      <c r="A10" s="48" t="s">
        <v>161</v>
      </c>
      <c r="B10" s="48" t="s">
        <v>162</v>
      </c>
      <c r="C10" s="51">
        <v>340</v>
      </c>
      <c r="D10" s="50" t="s">
        <v>8</v>
      </c>
      <c r="E10" s="59">
        <f>C10-273</f>
        <v>67</v>
      </c>
      <c r="F10" s="50" t="s">
        <v>211</v>
      </c>
    </row>
    <row r="11" spans="1:23" s="1" customFormat="1" x14ac:dyDescent="0.25">
      <c r="A11" s="48" t="s">
        <v>160</v>
      </c>
      <c r="B11" s="48" t="s">
        <v>163</v>
      </c>
      <c r="C11" s="51">
        <f>1.51</f>
        <v>1.51</v>
      </c>
      <c r="D11" s="50" t="s">
        <v>13</v>
      </c>
      <c r="E11" s="59">
        <f>C11*100000</f>
        <v>151000</v>
      </c>
      <c r="F11" s="50" t="s">
        <v>10</v>
      </c>
    </row>
    <row r="12" spans="1:23" s="1" customFormat="1" x14ac:dyDescent="0.25">
      <c r="A12" s="48" t="s">
        <v>123</v>
      </c>
      <c r="B12" s="48" t="s">
        <v>159</v>
      </c>
      <c r="C12" s="59">
        <f>E12/10^5</f>
        <v>3.51</v>
      </c>
      <c r="D12" s="50" t="s">
        <v>13</v>
      </c>
      <c r="E12" s="59" cm="1">
        <f t="array" ref="E12">p_D(E11)</f>
        <v>351000</v>
      </c>
      <c r="F12" s="50" t="s">
        <v>10</v>
      </c>
    </row>
    <row r="13" spans="1:23" s="1" customFormat="1" x14ac:dyDescent="0.25"/>
    <row r="14" spans="1:23" s="1" customFormat="1" x14ac:dyDescent="0.25">
      <c r="A14" s="147" t="s">
        <v>118</v>
      </c>
      <c r="B14" s="147"/>
      <c r="C14" s="147"/>
      <c r="D14" s="147"/>
      <c r="E14" s="147"/>
      <c r="G14" s="147" t="s">
        <v>1</v>
      </c>
      <c r="H14" s="147"/>
      <c r="I14" s="147"/>
      <c r="J14" s="147"/>
      <c r="M14" s="147" t="s">
        <v>213</v>
      </c>
      <c r="N14" s="147"/>
      <c r="O14" s="147"/>
      <c r="P14" s="147"/>
      <c r="S14" s="150" t="s">
        <v>14</v>
      </c>
      <c r="T14" s="150"/>
      <c r="U14" s="150"/>
      <c r="V14" s="150"/>
      <c r="W14" s="18"/>
    </row>
    <row r="15" spans="1:23" s="1" customFormat="1" x14ac:dyDescent="0.25">
      <c r="A15" s="48" t="s">
        <v>109</v>
      </c>
      <c r="B15" s="48"/>
      <c r="C15" s="53" t="s">
        <v>110</v>
      </c>
      <c r="D15" s="53" t="s">
        <v>111</v>
      </c>
      <c r="E15" s="48"/>
      <c r="G15" s="48" t="s">
        <v>166</v>
      </c>
      <c r="H15" s="48" t="s">
        <v>56</v>
      </c>
      <c r="I15" s="51">
        <v>1</v>
      </c>
      <c r="J15" s="50" t="s">
        <v>41</v>
      </c>
      <c r="M15" s="48" t="s">
        <v>124</v>
      </c>
      <c r="N15" s="48" t="s">
        <v>190</v>
      </c>
      <c r="O15" s="60">
        <f>O16-0.2</f>
        <v>1.472006150249541</v>
      </c>
      <c r="P15" s="50" t="s">
        <v>2</v>
      </c>
      <c r="Q15" s="16"/>
      <c r="R15" s="16"/>
      <c r="S15" s="91" t="s">
        <v>235</v>
      </c>
      <c r="T15" s="91" t="s">
        <v>81</v>
      </c>
      <c r="U15" s="95">
        <v>1.8720061502495409</v>
      </c>
      <c r="V15" s="92" t="s">
        <v>2</v>
      </c>
    </row>
    <row r="16" spans="1:23" s="1" customFormat="1" x14ac:dyDescent="0.25">
      <c r="A16" s="48" t="s">
        <v>112</v>
      </c>
      <c r="B16" s="48" t="s">
        <v>85</v>
      </c>
      <c r="C16" s="54">
        <f>250*10^-6</f>
        <v>2.5000000000000001E-4</v>
      </c>
      <c r="D16" s="54">
        <f>100*10^-6</f>
        <v>9.9999999999999991E-5</v>
      </c>
      <c r="E16" s="50" t="s">
        <v>2</v>
      </c>
      <c r="G16" s="48" t="s">
        <v>167</v>
      </c>
      <c r="H16" s="48" t="s">
        <v>57</v>
      </c>
      <c r="I16" s="51">
        <v>1.0900000000000001</v>
      </c>
      <c r="J16" s="50" t="s">
        <v>41</v>
      </c>
      <c r="M16" s="48" t="s">
        <v>125</v>
      </c>
      <c r="N16" s="48" t="s">
        <v>191</v>
      </c>
      <c r="O16" s="60">
        <f>U15-0.2</f>
        <v>1.6720061502495409</v>
      </c>
      <c r="P16" s="50" t="s">
        <v>2</v>
      </c>
      <c r="Q16" s="17"/>
      <c r="R16" s="17"/>
      <c r="S16" s="91" t="s">
        <v>237</v>
      </c>
      <c r="T16" s="91" t="s">
        <v>46</v>
      </c>
      <c r="U16" s="96">
        <v>12.755536820654665</v>
      </c>
      <c r="V16" s="92" t="s">
        <v>2</v>
      </c>
    </row>
    <row r="17" spans="1:23" s="1" customFormat="1" x14ac:dyDescent="0.25">
      <c r="A17" s="48" t="s">
        <v>113</v>
      </c>
      <c r="B17" s="48" t="s">
        <v>164</v>
      </c>
      <c r="C17" s="55">
        <v>3.9969999999999999</v>
      </c>
      <c r="D17" s="55">
        <v>0.20599999999999999</v>
      </c>
      <c r="E17" s="50" t="s">
        <v>3</v>
      </c>
      <c r="G17" s="48" t="s">
        <v>168</v>
      </c>
      <c r="H17" s="48" t="s">
        <v>58</v>
      </c>
      <c r="I17" s="51">
        <v>5</v>
      </c>
      <c r="J17" s="50" t="s">
        <v>9</v>
      </c>
      <c r="M17" s="48" t="s">
        <v>127</v>
      </c>
      <c r="N17" s="48" t="s">
        <v>192</v>
      </c>
      <c r="O17" s="60">
        <f>U15-0.1</f>
        <v>1.7720061502495408</v>
      </c>
      <c r="P17" s="50" t="s">
        <v>2</v>
      </c>
      <c r="Q17" s="18"/>
      <c r="R17" s="18"/>
      <c r="S17" s="91" t="s">
        <v>236</v>
      </c>
      <c r="T17" s="91" t="s">
        <v>82</v>
      </c>
      <c r="U17" s="95">
        <v>0.65614136392323064</v>
      </c>
      <c r="V17" s="92" t="s">
        <v>2</v>
      </c>
    </row>
    <row r="18" spans="1:23" s="1" customFormat="1" x14ac:dyDescent="0.25">
      <c r="A18" s="48" t="s">
        <v>114</v>
      </c>
      <c r="B18" s="48" t="s">
        <v>186</v>
      </c>
      <c r="C18" s="55">
        <v>2.4169999999999998</v>
      </c>
      <c r="D18" s="55">
        <v>795.2</v>
      </c>
      <c r="E18" s="50" t="s">
        <v>6</v>
      </c>
      <c r="G18" s="48" t="s">
        <v>169</v>
      </c>
      <c r="H18" s="48" t="s">
        <v>59</v>
      </c>
      <c r="I18" s="51">
        <v>3</v>
      </c>
      <c r="J18" s="50" t="s">
        <v>41</v>
      </c>
      <c r="M18" s="48" t="s">
        <v>126</v>
      </c>
      <c r="N18" s="48" t="s">
        <v>92</v>
      </c>
      <c r="O18" s="51">
        <v>0</v>
      </c>
      <c r="P18" s="50" t="s">
        <v>2</v>
      </c>
      <c r="Q18" s="18"/>
      <c r="R18" s="18"/>
    </row>
    <row r="19" spans="1:23" s="1" customFormat="1" x14ac:dyDescent="0.25">
      <c r="A19" s="48" t="s">
        <v>115</v>
      </c>
      <c r="B19" s="48" t="s">
        <v>187</v>
      </c>
      <c r="C19" s="54">
        <f>6.43*10^-6</f>
        <v>6.4299999999999994E-6</v>
      </c>
      <c r="D19" s="54">
        <f>1.31*10^-3</f>
        <v>1.3100000000000002E-3</v>
      </c>
      <c r="E19" s="50" t="s">
        <v>5</v>
      </c>
      <c r="G19" s="48" t="s">
        <v>170</v>
      </c>
      <c r="H19" s="48" t="s">
        <v>60</v>
      </c>
      <c r="I19" s="51">
        <v>9.81</v>
      </c>
      <c r="J19" s="50" t="s">
        <v>12</v>
      </c>
      <c r="M19" s="47"/>
      <c r="N19" s="47"/>
      <c r="O19" s="73"/>
      <c r="P19" s="47"/>
      <c r="Q19" s="18"/>
    </row>
    <row r="20" spans="1:23" s="1" customFormat="1" x14ac:dyDescent="0.25">
      <c r="C20" s="56"/>
      <c r="D20" s="45"/>
      <c r="G20" s="48" t="s">
        <v>171</v>
      </c>
      <c r="H20" s="48" t="s">
        <v>61</v>
      </c>
      <c r="I20" s="61">
        <v>3.2000000000000002E-3</v>
      </c>
      <c r="J20" s="50" t="s">
        <v>2</v>
      </c>
      <c r="Q20" s="18"/>
      <c r="R20" s="18"/>
    </row>
    <row r="21" spans="1:23" s="1" customFormat="1" x14ac:dyDescent="0.25">
      <c r="A21" s="48" t="s">
        <v>119</v>
      </c>
      <c r="B21" s="48" t="s">
        <v>188</v>
      </c>
      <c r="C21" s="151">
        <f>2.18*10^-2</f>
        <v>2.1800000000000003E-2</v>
      </c>
      <c r="D21" s="151"/>
      <c r="E21" s="50" t="s">
        <v>117</v>
      </c>
      <c r="G21" s="48" t="s">
        <v>172</v>
      </c>
      <c r="H21" s="48" t="s">
        <v>62</v>
      </c>
      <c r="I21" s="49">
        <f>950*10^5</f>
        <v>95000000</v>
      </c>
      <c r="J21" s="50" t="s">
        <v>10</v>
      </c>
      <c r="Q21" s="18"/>
      <c r="R21" s="18"/>
      <c r="U21" s="26"/>
      <c r="V21" s="26"/>
      <c r="W21" s="26"/>
    </row>
    <row r="22" spans="1:23" s="1" customFormat="1" x14ac:dyDescent="0.25">
      <c r="C22" s="20"/>
      <c r="E22" s="18"/>
      <c r="G22" s="48" t="s">
        <v>173</v>
      </c>
      <c r="H22" s="48" t="s">
        <v>63</v>
      </c>
      <c r="I22" s="51">
        <v>7850</v>
      </c>
      <c r="J22" s="50" t="s">
        <v>6</v>
      </c>
      <c r="M22" s="147" t="s">
        <v>214</v>
      </c>
      <c r="N22" s="147"/>
      <c r="O22" s="147"/>
      <c r="P22" s="147"/>
      <c r="R22" s="18"/>
      <c r="U22" s="26"/>
      <c r="V22" s="26"/>
      <c r="W22" s="26"/>
    </row>
    <row r="23" spans="1:23" s="1" customFormat="1" x14ac:dyDescent="0.25">
      <c r="C23" s="20"/>
      <c r="E23" s="18"/>
      <c r="F23" s="69"/>
      <c r="J23" s="18"/>
      <c r="K23" s="18"/>
      <c r="M23" s="48" t="s">
        <v>195</v>
      </c>
      <c r="N23" s="90" t="s">
        <v>89</v>
      </c>
      <c r="O23" s="60">
        <f>LvxLvz(C17,D18,C18,C21)</f>
        <v>0.7241125417612958</v>
      </c>
      <c r="P23" s="50" t="s">
        <v>26</v>
      </c>
      <c r="Q23" s="18"/>
      <c r="R23" s="18"/>
      <c r="U23" s="26"/>
      <c r="V23" s="26"/>
      <c r="W23" s="26"/>
    </row>
    <row r="24" spans="1:23" s="1" customFormat="1" x14ac:dyDescent="0.25">
      <c r="C24" s="20"/>
      <c r="E24" s="18"/>
      <c r="J24" s="18"/>
      <c r="M24" s="70" t="s">
        <v>129</v>
      </c>
      <c r="N24" s="90" t="s">
        <v>193</v>
      </c>
      <c r="O24" s="98">
        <v>1</v>
      </c>
      <c r="P24" s="50" t="s">
        <v>2</v>
      </c>
      <c r="R24" s="18"/>
    </row>
    <row r="25" spans="1:23" s="1" customFormat="1" x14ac:dyDescent="0.25">
      <c r="C25" s="20"/>
      <c r="E25" s="18"/>
      <c r="G25" s="48" t="s">
        <v>116</v>
      </c>
      <c r="H25" s="48" t="s">
        <v>189</v>
      </c>
      <c r="I25" s="51">
        <v>10</v>
      </c>
      <c r="J25" s="50" t="s">
        <v>4</v>
      </c>
      <c r="M25" s="48" t="s">
        <v>130</v>
      </c>
      <c r="N25" s="90" t="s">
        <v>94</v>
      </c>
      <c r="O25" s="60">
        <f>U15/4</f>
        <v>0.46800153756238522</v>
      </c>
      <c r="P25" s="50" t="s">
        <v>2</v>
      </c>
      <c r="Q25" s="43"/>
      <c r="R25" s="18"/>
    </row>
    <row r="26" spans="1:23" s="1" customFormat="1" x14ac:dyDescent="0.25">
      <c r="C26" s="20"/>
      <c r="E26" s="18"/>
      <c r="J26" s="18"/>
      <c r="M26" s="48" t="s">
        <v>126</v>
      </c>
      <c r="N26" s="90" t="s">
        <v>194</v>
      </c>
      <c r="O26" s="98">
        <v>0</v>
      </c>
      <c r="P26" s="50" t="s">
        <v>2</v>
      </c>
      <c r="R26" s="18"/>
    </row>
    <row r="27" spans="1:23" s="1" customFormat="1" x14ac:dyDescent="0.25">
      <c r="A27" s="48"/>
      <c r="B27" s="48"/>
      <c r="C27" s="53" t="s">
        <v>22</v>
      </c>
      <c r="D27" s="53" t="s">
        <v>18</v>
      </c>
      <c r="E27" s="57"/>
      <c r="J27" s="18"/>
      <c r="Q27" s="18"/>
      <c r="R27" s="18"/>
    </row>
    <row r="28" spans="1:23" s="1" customFormat="1" x14ac:dyDescent="0.25">
      <c r="A28" s="48" t="s">
        <v>120</v>
      </c>
      <c r="B28" s="48" t="s">
        <v>165</v>
      </c>
      <c r="C28" s="71">
        <f>Velo!J32</f>
        <v>1.6693495330474477E-2</v>
      </c>
      <c r="D28" s="71">
        <f>Velo!D26</f>
        <v>0.39668426419085684</v>
      </c>
      <c r="E28" s="63" t="s">
        <v>23</v>
      </c>
      <c r="G28" s="147" t="s">
        <v>175</v>
      </c>
      <c r="H28" s="147"/>
      <c r="I28" s="147"/>
      <c r="J28" s="147"/>
      <c r="Q28" s="18"/>
    </row>
    <row r="29" spans="1:23" s="1" customFormat="1" x14ac:dyDescent="0.25">
      <c r="E29" s="18"/>
      <c r="G29" s="48" t="s">
        <v>208</v>
      </c>
      <c r="H29" s="48" t="s">
        <v>64</v>
      </c>
      <c r="I29" s="51">
        <v>0.08</v>
      </c>
      <c r="J29" s="50" t="s">
        <v>2</v>
      </c>
      <c r="Q29" s="18"/>
      <c r="R29" s="18"/>
    </row>
    <row r="30" spans="1:23" s="1" customFormat="1" x14ac:dyDescent="0.25">
      <c r="C30" s="20"/>
      <c r="E30" s="18"/>
      <c r="G30" s="48" t="s">
        <v>174</v>
      </c>
      <c r="H30" s="48" t="s">
        <v>55</v>
      </c>
      <c r="I30" s="51">
        <v>0.05</v>
      </c>
      <c r="J30" s="50" t="s">
        <v>2</v>
      </c>
      <c r="M30" s="93"/>
      <c r="N30" s="93"/>
      <c r="O30" s="83" t="s">
        <v>110</v>
      </c>
      <c r="P30" s="83" t="s">
        <v>111</v>
      </c>
      <c r="Q30" s="83" t="s">
        <v>122</v>
      </c>
      <c r="R30" s="94"/>
    </row>
    <row r="31" spans="1:23" s="1" customFormat="1" x14ac:dyDescent="0.25">
      <c r="C31" s="20"/>
      <c r="E31" s="18"/>
      <c r="G31" s="48" t="s">
        <v>209</v>
      </c>
      <c r="H31" s="48" t="s">
        <v>65</v>
      </c>
      <c r="I31" s="51">
        <v>30</v>
      </c>
      <c r="J31" s="50" t="s">
        <v>11</v>
      </c>
      <c r="M31" s="48" t="s">
        <v>121</v>
      </c>
      <c r="N31" s="48" t="s">
        <v>212</v>
      </c>
      <c r="O31" s="81" cm="1">
        <f t="array" ref="O31">d_n(C17,C18)</f>
        <v>0.40133969173930095</v>
      </c>
      <c r="P31" s="81" cm="1">
        <f t="array" ref="P31">d_n(D17,D18)</f>
        <v>0.38804186128903823</v>
      </c>
      <c r="Q31" s="55">
        <v>0</v>
      </c>
      <c r="R31" s="63" t="s">
        <v>2</v>
      </c>
      <c r="S31" s="18"/>
    </row>
    <row r="32" spans="1:23" s="1" customFormat="1" x14ac:dyDescent="0.25">
      <c r="C32" s="20"/>
      <c r="E32" s="18"/>
      <c r="Q32" s="130"/>
    </row>
    <row r="33" spans="1:27" s="1" customFormat="1" x14ac:dyDescent="0.25">
      <c r="C33" s="20"/>
      <c r="E33" s="18"/>
    </row>
    <row r="34" spans="1:27" s="1" customFormat="1" x14ac:dyDescent="0.25">
      <c r="C34" s="20"/>
      <c r="Y34" s="18"/>
    </row>
    <row r="35" spans="1:27" s="1" customFormat="1" ht="15" customHeight="1" x14ac:dyDescent="0.4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</row>
    <row r="36" spans="1:27" s="1" customFormat="1" ht="26.25" x14ac:dyDescent="0.4">
      <c r="A36" s="148" t="s">
        <v>239</v>
      </c>
      <c r="B36" s="148"/>
      <c r="C36" s="149"/>
      <c r="D36" s="149"/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149"/>
    </row>
    <row r="37" spans="1:27" s="1" customFormat="1" x14ac:dyDescent="0.25"/>
    <row r="38" spans="1:27" s="1" customFormat="1" x14ac:dyDescent="0.25">
      <c r="A38" s="72"/>
      <c r="B38" s="72"/>
      <c r="C38" s="72"/>
      <c r="D38" s="72"/>
      <c r="E38" s="21"/>
      <c r="J38" s="18"/>
      <c r="K38" s="18"/>
      <c r="L38" s="72"/>
      <c r="M38" s="72"/>
      <c r="N38" s="72"/>
      <c r="O38" s="72"/>
      <c r="Q38" s="47"/>
      <c r="R38" s="72"/>
      <c r="S38" s="72"/>
      <c r="T38" s="72"/>
      <c r="U38" s="72"/>
      <c r="V38" s="47"/>
    </row>
    <row r="39" spans="1:27" s="1" customFormat="1" x14ac:dyDescent="0.25">
      <c r="A39" s="147" t="s">
        <v>131</v>
      </c>
      <c r="B39" s="147"/>
      <c r="C39" s="147"/>
      <c r="D39" s="147"/>
      <c r="E39" s="147"/>
      <c r="F39" s="75"/>
      <c r="G39" s="147" t="s">
        <v>154</v>
      </c>
      <c r="H39" s="147"/>
      <c r="I39" s="147"/>
      <c r="J39" s="147"/>
      <c r="K39" s="18"/>
      <c r="M39" s="147" t="s">
        <v>25</v>
      </c>
      <c r="N39" s="147"/>
      <c r="O39" s="147"/>
      <c r="P39" s="147"/>
      <c r="Q39" s="47"/>
      <c r="R39" s="47"/>
      <c r="S39" s="47"/>
      <c r="T39" s="47"/>
      <c r="U39" s="47"/>
      <c r="V39" s="46"/>
    </row>
    <row r="40" spans="1:27" s="1" customFormat="1" x14ac:dyDescent="0.25">
      <c r="A40" s="48" t="s">
        <v>132</v>
      </c>
      <c r="B40" s="48" t="s">
        <v>67</v>
      </c>
      <c r="C40" s="60">
        <f>MAX(I40:I41)</f>
        <v>1.1057940545833689</v>
      </c>
      <c r="D40" s="50" t="s">
        <v>2</v>
      </c>
      <c r="E40" s="131">
        <f>C40/$U$15</f>
        <v>0.59070001155496477</v>
      </c>
      <c r="F40" s="19"/>
      <c r="G40" s="48" t="s">
        <v>138</v>
      </c>
      <c r="H40" s="48" t="s">
        <v>147</v>
      </c>
      <c r="I40" s="64">
        <f>Height!I12</f>
        <v>1.1057940545833689</v>
      </c>
      <c r="J40" s="63" t="s">
        <v>2</v>
      </c>
      <c r="K40" s="18"/>
      <c r="M40" s="48" t="s">
        <v>158</v>
      </c>
      <c r="N40" s="48" t="s">
        <v>80</v>
      </c>
      <c r="O40" s="60" cm="1">
        <f t="array" ref="O40">A_pipe(U15,U15)</f>
        <v>2.7523548424668456</v>
      </c>
      <c r="P40" s="50" t="s">
        <v>26</v>
      </c>
      <c r="Q40" s="46"/>
      <c r="R40" s="47"/>
      <c r="S40" s="47"/>
      <c r="T40" s="47"/>
      <c r="U40" s="47"/>
      <c r="V40" s="46"/>
      <c r="W40" s="44"/>
    </row>
    <row r="41" spans="1:27" s="1" customFormat="1" x14ac:dyDescent="0.25">
      <c r="A41" s="48" t="s">
        <v>133</v>
      </c>
      <c r="B41" s="48" t="s">
        <v>66</v>
      </c>
      <c r="C41" s="60">
        <f>MAX(I42:I43)</f>
        <v>0.8891449973763772</v>
      </c>
      <c r="D41" s="50" t="s">
        <v>2</v>
      </c>
      <c r="E41" s="131">
        <f t="shared" ref="E41:E42" si="0">C41/$U$15</f>
        <v>0.47496905779815574</v>
      </c>
      <c r="F41" s="19"/>
      <c r="G41" s="76" t="s">
        <v>139</v>
      </c>
      <c r="H41" s="76" t="s">
        <v>148</v>
      </c>
      <c r="I41" s="77">
        <f>C41+I29</f>
        <v>0.96914499737637716</v>
      </c>
      <c r="J41" s="78" t="s">
        <v>2</v>
      </c>
      <c r="K41" s="18"/>
      <c r="M41" s="48" t="s">
        <v>132</v>
      </c>
      <c r="N41" s="48" t="s">
        <v>77</v>
      </c>
      <c r="O41" s="60" cm="1">
        <f t="array" ref="O41">LiqLev_A_top(O42,$D$17,0,$I$31,$O$24,$C$49,$U$16)</f>
        <v>1.7069125682750452</v>
      </c>
      <c r="P41" s="63" t="s">
        <v>26</v>
      </c>
      <c r="Q41" s="46"/>
      <c r="R41" s="47"/>
      <c r="S41" s="79"/>
      <c r="T41" s="80"/>
      <c r="U41" s="47"/>
      <c r="V41" s="46"/>
    </row>
    <row r="42" spans="1:27" s="1" customFormat="1" x14ac:dyDescent="0.25">
      <c r="A42" s="48" t="s">
        <v>137</v>
      </c>
      <c r="B42" s="48" t="s">
        <v>91</v>
      </c>
      <c r="C42" s="64">
        <f>U17</f>
        <v>0.65614136392323064</v>
      </c>
      <c r="D42" s="50" t="s">
        <v>2</v>
      </c>
      <c r="E42" s="131">
        <f t="shared" si="0"/>
        <v>0.35050171380888151</v>
      </c>
      <c r="F42" s="19"/>
      <c r="G42" s="48" t="s">
        <v>140</v>
      </c>
      <c r="H42" s="48" t="s">
        <v>146</v>
      </c>
      <c r="I42" s="64">
        <f>Height!I13</f>
        <v>0.8891449973763772</v>
      </c>
      <c r="J42" s="63" t="s">
        <v>2</v>
      </c>
      <c r="K42" s="18"/>
      <c r="M42" s="48" t="s">
        <v>133</v>
      </c>
      <c r="N42" s="48" t="s">
        <v>75</v>
      </c>
      <c r="O42" s="60">
        <f>LiqLev_A_top(O43,$D$17,0,$I$31,$O$24,$C$49,$U$16)</f>
        <v>1.2835506895017312</v>
      </c>
      <c r="P42" s="63" t="s">
        <v>26</v>
      </c>
      <c r="Q42" s="46"/>
      <c r="R42" s="47"/>
      <c r="S42" s="47"/>
      <c r="T42" s="47"/>
      <c r="U42" s="47"/>
      <c r="V42" s="46"/>
      <c r="AA42" s="44"/>
    </row>
    <row r="43" spans="1:27" s="1" customFormat="1" x14ac:dyDescent="0.25">
      <c r="A43" s="48" t="s">
        <v>134</v>
      </c>
      <c r="B43" s="48" t="s">
        <v>68</v>
      </c>
      <c r="C43" s="60">
        <f>MIN(I44:I45)</f>
        <v>0.39978661401027843</v>
      </c>
      <c r="D43" s="50" t="s">
        <v>2</v>
      </c>
      <c r="E43" s="131">
        <f>C43/$U$15</f>
        <v>0.21356052380329324</v>
      </c>
      <c r="F43" s="19"/>
      <c r="G43" s="76" t="s">
        <v>141</v>
      </c>
      <c r="H43" s="76" t="s">
        <v>149</v>
      </c>
      <c r="I43" s="77">
        <f>$U$17+I29</f>
        <v>0.7361413639232306</v>
      </c>
      <c r="J43" s="78" t="s">
        <v>2</v>
      </c>
      <c r="K43" s="18"/>
      <c r="M43" s="48" t="s">
        <v>137</v>
      </c>
      <c r="N43" s="48" t="s">
        <v>76</v>
      </c>
      <c r="O43" s="60">
        <f>A_pipe(U17,U15)</f>
        <v>0.86018881072841746</v>
      </c>
      <c r="P43" s="63" t="s">
        <v>26</v>
      </c>
      <c r="Q43" s="46"/>
      <c r="R43" s="47"/>
      <c r="S43" s="79"/>
      <c r="T43" s="80"/>
      <c r="U43" s="47"/>
      <c r="V43" s="46"/>
    </row>
    <row r="44" spans="1:27" s="1" customFormat="1" x14ac:dyDescent="0.25">
      <c r="A44" s="48" t="s">
        <v>135</v>
      </c>
      <c r="B44" s="48" t="s">
        <v>86</v>
      </c>
      <c r="C44" s="60">
        <f>MIN(I46:I47)</f>
        <v>5.9386595380899326E-2</v>
      </c>
      <c r="D44" s="50" t="s">
        <v>2</v>
      </c>
      <c r="E44" s="131">
        <f>C44/$U$15</f>
        <v>3.1723504419567755E-2</v>
      </c>
      <c r="F44" s="19"/>
      <c r="G44" s="48" t="s">
        <v>142</v>
      </c>
      <c r="H44" s="48" t="s">
        <v>150</v>
      </c>
      <c r="I44" s="64">
        <f>Height!I15</f>
        <v>0.39978661401027843</v>
      </c>
      <c r="J44" s="63" t="s">
        <v>2</v>
      </c>
      <c r="K44" s="18"/>
      <c r="M44" s="48" t="s">
        <v>134</v>
      </c>
      <c r="N44" s="48" t="s">
        <v>78</v>
      </c>
      <c r="O44" s="60" cm="1">
        <f t="array" ref="O44">LiqLev_A_bot(O43,$D$17,0,$I$31,$O$24,$C$49,$U$16)</f>
        <v>0.43682693195510358</v>
      </c>
      <c r="P44" s="63" t="s">
        <v>26</v>
      </c>
      <c r="Q44" s="46"/>
      <c r="R44" s="47"/>
      <c r="S44" s="79"/>
      <c r="T44" s="80"/>
      <c r="U44" s="47"/>
      <c r="V44" s="46"/>
    </row>
    <row r="45" spans="1:27" s="1" customFormat="1" x14ac:dyDescent="0.25">
      <c r="C45" s="20"/>
      <c r="E45" s="18"/>
      <c r="F45" s="19"/>
      <c r="G45" s="76" t="s">
        <v>143</v>
      </c>
      <c r="H45" s="76" t="s">
        <v>151</v>
      </c>
      <c r="I45" s="77">
        <f>U17-I29</f>
        <v>0.57614136392323068</v>
      </c>
      <c r="J45" s="78" t="s">
        <v>2</v>
      </c>
      <c r="K45" s="18"/>
      <c r="M45" s="48" t="s">
        <v>135</v>
      </c>
      <c r="N45" s="48" t="s">
        <v>79</v>
      </c>
      <c r="O45" s="60" cm="1">
        <f t="array" ref="O45">LiqLev_A_bot(O44,$D$17,0,$I$31,$O$24,$C$49,$U$16)</f>
        <v>1.3465053181789699E-2</v>
      </c>
      <c r="P45" s="63" t="s">
        <v>26</v>
      </c>
      <c r="Q45" s="46"/>
      <c r="R45" s="47"/>
      <c r="S45" s="47"/>
      <c r="T45" s="47"/>
      <c r="U45" s="47"/>
      <c r="V45" s="46"/>
    </row>
    <row r="46" spans="1:27" s="1" customFormat="1" x14ac:dyDescent="0.25">
      <c r="A46" s="147" t="s">
        <v>128</v>
      </c>
      <c r="B46" s="147"/>
      <c r="C46" s="147"/>
      <c r="D46" s="147"/>
      <c r="E46" s="18"/>
      <c r="F46" s="19"/>
      <c r="G46" s="48" t="s">
        <v>144</v>
      </c>
      <c r="H46" s="48" t="s">
        <v>152</v>
      </c>
      <c r="I46" s="64">
        <f>Height!I16</f>
        <v>5.9386595380899326E-2</v>
      </c>
      <c r="J46" s="63" t="s">
        <v>2</v>
      </c>
      <c r="K46" s="18"/>
      <c r="Q46" s="47"/>
      <c r="R46" s="47"/>
      <c r="S46" s="79"/>
      <c r="T46" s="80"/>
      <c r="U46" s="47"/>
      <c r="V46" s="46"/>
    </row>
    <row r="47" spans="1:27" s="1" customFormat="1" x14ac:dyDescent="0.25">
      <c r="A47" s="48" t="s">
        <v>136</v>
      </c>
      <c r="B47" s="48" t="s">
        <v>93</v>
      </c>
      <c r="C47" s="52">
        <f>MIN(O51:O52)</f>
        <v>2.6428585406153977</v>
      </c>
      <c r="D47" s="50" t="s">
        <v>2</v>
      </c>
      <c r="E47" s="18"/>
      <c r="G47" s="48" t="s">
        <v>145</v>
      </c>
      <c r="H47" s="48" t="s">
        <v>153</v>
      </c>
      <c r="I47" s="60">
        <f>C43-I29</f>
        <v>0.31978661401027841</v>
      </c>
      <c r="J47" s="63" t="s">
        <v>2</v>
      </c>
      <c r="K47" s="18"/>
      <c r="Q47" s="47"/>
      <c r="R47" s="47"/>
      <c r="S47" s="79"/>
      <c r="T47" s="80"/>
      <c r="U47" s="47"/>
      <c r="V47" s="46"/>
    </row>
    <row r="48" spans="1:27" s="1" customFormat="1" x14ac:dyDescent="0.25">
      <c r="A48" s="48" t="s">
        <v>181</v>
      </c>
      <c r="B48" s="48" t="s">
        <v>97</v>
      </c>
      <c r="C48" s="62" cm="1">
        <f t="array" ref="C48">tcs(E12,U15,I21,I15,I20)</f>
        <v>6.665968551006699E-3</v>
      </c>
      <c r="D48" s="50" t="s">
        <v>2</v>
      </c>
      <c r="E48" s="144"/>
      <c r="G48" s="18"/>
      <c r="J48" s="18"/>
      <c r="K48" s="18"/>
      <c r="Q48" s="47"/>
      <c r="R48" s="47"/>
      <c r="S48" s="47"/>
      <c r="T48" s="47"/>
      <c r="U48" s="47"/>
      <c r="V48" s="46"/>
    </row>
    <row r="49" spans="1:22" s="1" customFormat="1" x14ac:dyDescent="0.25">
      <c r="A49" s="48" t="s">
        <v>182</v>
      </c>
      <c r="B49" s="48" t="s">
        <v>95</v>
      </c>
      <c r="C49" s="60">
        <f>MAX(I51:I53)</f>
        <v>0.84190406822857089</v>
      </c>
      <c r="D49" s="50" t="s">
        <v>2</v>
      </c>
      <c r="E49" s="18"/>
      <c r="J49" s="18"/>
      <c r="K49" s="18"/>
      <c r="Q49" s="47"/>
      <c r="R49" s="47"/>
      <c r="S49" s="79"/>
      <c r="T49" s="47"/>
      <c r="U49" s="47"/>
      <c r="V49" s="46"/>
    </row>
    <row r="50" spans="1:22" s="1" customFormat="1" x14ac:dyDescent="0.25">
      <c r="A50" s="48" t="s">
        <v>183</v>
      </c>
      <c r="B50" s="48" t="s">
        <v>96</v>
      </c>
      <c r="C50" s="60" cm="1">
        <f t="array" ref="C50">lvz(U15,O17)</f>
        <v>0.84190406822857089</v>
      </c>
      <c r="D50" s="50" t="s">
        <v>2</v>
      </c>
      <c r="E50" s="18"/>
      <c r="G50" s="147" t="s">
        <v>185</v>
      </c>
      <c r="H50" s="147"/>
      <c r="I50" s="147"/>
      <c r="J50" s="147"/>
      <c r="K50" s="18"/>
      <c r="M50" s="147" t="s">
        <v>136</v>
      </c>
      <c r="N50" s="147"/>
      <c r="O50" s="147"/>
      <c r="P50" s="147"/>
      <c r="Q50" s="47"/>
      <c r="R50" s="47"/>
      <c r="S50" s="79"/>
      <c r="T50" s="47"/>
      <c r="U50" s="47"/>
      <c r="V50" s="46"/>
    </row>
    <row r="51" spans="1:22" s="1" customFormat="1" x14ac:dyDescent="0.25">
      <c r="A51" s="48" t="s">
        <v>184</v>
      </c>
      <c r="B51" s="48" t="s">
        <v>90</v>
      </c>
      <c r="C51" s="60">
        <f>O23/C50</f>
        <v>0.86008913495914419</v>
      </c>
      <c r="D51" s="50" t="s">
        <v>2</v>
      </c>
      <c r="E51" s="18"/>
      <c r="G51" s="48" t="s">
        <v>155</v>
      </c>
      <c r="H51" s="48" t="s">
        <v>106</v>
      </c>
      <c r="I51" s="60">
        <f>O31</f>
        <v>0.40133969173930095</v>
      </c>
      <c r="J51" s="50" t="s">
        <v>2</v>
      </c>
      <c r="K51" s="18"/>
      <c r="M51" s="48" t="s">
        <v>220</v>
      </c>
      <c r="N51" s="48" t="s">
        <v>69</v>
      </c>
      <c r="O51" s="52" cm="1">
        <f t="array" ref="O51">lb($I$25,C41,U17)</f>
        <v>2.6428585406153977</v>
      </c>
      <c r="P51" s="63" t="s">
        <v>2</v>
      </c>
      <c r="Q51" s="47"/>
      <c r="R51" s="47"/>
      <c r="S51" s="47"/>
      <c r="T51" s="47"/>
      <c r="U51" s="47"/>
      <c r="V51" s="46"/>
    </row>
    <row r="52" spans="1:22" s="1" customFormat="1" x14ac:dyDescent="0.25">
      <c r="C52" s="20"/>
      <c r="E52" s="18"/>
      <c r="G52" s="48" t="s">
        <v>156</v>
      </c>
      <c r="H52" s="48" t="s">
        <v>107</v>
      </c>
      <c r="I52" s="60">
        <f>C50</f>
        <v>0.84190406822857089</v>
      </c>
      <c r="J52" s="50" t="s">
        <v>2</v>
      </c>
      <c r="K52" s="18"/>
      <c r="M52" s="48" t="s">
        <v>221</v>
      </c>
      <c r="N52" s="48" t="s">
        <v>70</v>
      </c>
      <c r="O52" s="52" cm="1">
        <f t="array" ref="O52">lb(I25,U17,C43)</f>
        <v>2.9077200651079407</v>
      </c>
      <c r="P52" s="63" t="s">
        <v>2</v>
      </c>
      <c r="V52" s="18"/>
    </row>
    <row r="53" spans="1:22" s="1" customFormat="1" x14ac:dyDescent="0.25">
      <c r="C53" s="143"/>
      <c r="E53" s="18"/>
      <c r="G53" s="48" t="s">
        <v>157</v>
      </c>
      <c r="H53" s="48" t="s">
        <v>108</v>
      </c>
      <c r="I53" s="60">
        <f>2*(P31+Q31)+O26</f>
        <v>0.77608372257807645</v>
      </c>
      <c r="J53" s="50" t="s">
        <v>2</v>
      </c>
      <c r="K53" s="18"/>
      <c r="Q53" s="18"/>
    </row>
    <row r="54" spans="1:22" s="1" customFormat="1" x14ac:dyDescent="0.25">
      <c r="E54" s="18"/>
      <c r="J54" s="18"/>
      <c r="K54" s="18"/>
      <c r="Q54" s="18"/>
    </row>
    <row r="55" spans="1:22" s="1" customFormat="1" ht="26.25" x14ac:dyDescent="0.4">
      <c r="A55" s="148" t="s">
        <v>238</v>
      </c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</row>
    <row r="56" spans="1:22" s="1" customFormat="1" x14ac:dyDescent="0.25">
      <c r="E56" s="18"/>
      <c r="J56" s="18"/>
      <c r="K56" s="18"/>
      <c r="Q56" s="18"/>
    </row>
    <row r="57" spans="1:22" s="1" customFormat="1" x14ac:dyDescent="0.25">
      <c r="A57" s="147" t="s">
        <v>27</v>
      </c>
      <c r="B57" s="147"/>
      <c r="C57" s="147"/>
      <c r="D57" s="147"/>
      <c r="E57" s="18"/>
      <c r="G57" s="147" t="s">
        <v>196</v>
      </c>
      <c r="H57" s="147"/>
      <c r="I57" s="147"/>
      <c r="J57" s="147"/>
      <c r="K57" s="18"/>
      <c r="Q57" s="18"/>
    </row>
    <row r="58" spans="1:22" s="1" customFormat="1" x14ac:dyDescent="0.25">
      <c r="A58" s="48" t="s">
        <v>197</v>
      </c>
      <c r="B58" s="48" t="s">
        <v>44</v>
      </c>
      <c r="C58" s="52" cm="1">
        <f t="array" ref="C58">Le_g(C17,U15,C43,D28,O40,O43)</f>
        <v>7.8397553459879923</v>
      </c>
      <c r="D58" s="50" t="s">
        <v>2</v>
      </c>
      <c r="E58" s="18"/>
      <c r="G58" s="48" t="s">
        <v>215</v>
      </c>
      <c r="H58" s="48" t="s">
        <v>71</v>
      </c>
      <c r="I58" s="60" cm="1">
        <f t="array" ref="I58">uo(D17,O43,0)</f>
        <v>0.23948230601320761</v>
      </c>
      <c r="J58" s="63" t="s">
        <v>23</v>
      </c>
      <c r="K58" s="18"/>
      <c r="O58" s="74"/>
      <c r="Q58" s="18"/>
    </row>
    <row r="59" spans="1:22" s="1" customFormat="1" x14ac:dyDescent="0.25">
      <c r="E59" s="18"/>
      <c r="G59" s="48" t="s">
        <v>216</v>
      </c>
      <c r="H59" s="48" t="s">
        <v>102</v>
      </c>
      <c r="I59" s="60" cm="1">
        <f t="array" ref="I59">ug(C17,O43,O40)</f>
        <v>2.112393908862086</v>
      </c>
      <c r="J59" s="63" t="s">
        <v>23</v>
      </c>
      <c r="K59" s="18"/>
      <c r="Q59" s="18"/>
    </row>
    <row r="60" spans="1:22" s="1" customFormat="1" x14ac:dyDescent="0.25">
      <c r="A60" s="147" t="s">
        <v>28</v>
      </c>
      <c r="B60" s="147"/>
      <c r="C60" s="147"/>
      <c r="D60" s="147"/>
      <c r="E60" s="18"/>
      <c r="G60" s="48"/>
      <c r="H60" s="48"/>
      <c r="I60" s="50"/>
      <c r="J60" s="58"/>
      <c r="K60" s="18"/>
      <c r="Q60" s="18"/>
    </row>
    <row r="61" spans="1:22" s="1" customFormat="1" x14ac:dyDescent="0.25">
      <c r="A61" s="48" t="s">
        <v>198</v>
      </c>
      <c r="B61" s="48" t="s">
        <v>45</v>
      </c>
      <c r="C61" s="52" cm="1">
        <f t="array" ref="C61">Le_o(D17,C41,C28,O43)</f>
        <v>12.755536820565309</v>
      </c>
      <c r="D61" s="50" t="s">
        <v>2</v>
      </c>
      <c r="E61" s="18"/>
      <c r="G61" s="48" t="s">
        <v>217</v>
      </c>
      <c r="H61" s="48" t="s">
        <v>72</v>
      </c>
      <c r="I61" s="60">
        <f>D_H(U15,C41,O42)</f>
        <v>1.8035091116357815</v>
      </c>
      <c r="J61" s="63" t="s">
        <v>2</v>
      </c>
      <c r="K61" s="18"/>
      <c r="Q61" s="18"/>
    </row>
    <row r="62" spans="1:22" s="1" customFormat="1" x14ac:dyDescent="0.25">
      <c r="A62" s="48"/>
      <c r="B62" s="48"/>
      <c r="C62" s="52"/>
      <c r="D62" s="50"/>
      <c r="E62" s="18"/>
      <c r="G62" s="48" t="s">
        <v>219</v>
      </c>
      <c r="H62" s="48" t="s">
        <v>73</v>
      </c>
      <c r="I62" s="67">
        <f>N_ref(D18,I58,I61,D19)</f>
        <v>262178.36326384504</v>
      </c>
      <c r="J62" s="63" t="s">
        <v>41</v>
      </c>
      <c r="K62" s="18"/>
      <c r="Q62" s="18"/>
    </row>
    <row r="63" spans="1:22" s="1" customFormat="1" x14ac:dyDescent="0.25">
      <c r="A63" s="48" t="s">
        <v>199</v>
      </c>
      <c r="B63" s="48" t="s">
        <v>46</v>
      </c>
      <c r="C63" s="65">
        <f>U16</f>
        <v>12.755536820654665</v>
      </c>
      <c r="D63" s="50" t="s">
        <v>2</v>
      </c>
      <c r="E63" s="18"/>
      <c r="G63" s="48" t="s">
        <v>218</v>
      </c>
      <c r="H63" s="48" t="s">
        <v>74</v>
      </c>
      <c r="I63" s="68" cm="1">
        <f t="array" ref="I63">N_my(D19,D18,C18,C21)</f>
        <v>7.6894729551411946E-3</v>
      </c>
      <c r="J63" s="63" t="s">
        <v>41</v>
      </c>
      <c r="K63" s="18"/>
      <c r="Q63" s="18"/>
    </row>
    <row r="64" spans="1:22" s="1" customFormat="1" x14ac:dyDescent="0.25">
      <c r="E64" s="18"/>
      <c r="J64" s="18"/>
      <c r="K64" s="18"/>
      <c r="Q64" s="18"/>
    </row>
    <row r="65" spans="1:17" s="1" customFormat="1" x14ac:dyDescent="0.25">
      <c r="A65" s="147" t="s">
        <v>29</v>
      </c>
      <c r="B65" s="147"/>
      <c r="C65" s="147"/>
      <c r="D65" s="147"/>
      <c r="E65" s="18"/>
      <c r="J65" s="18"/>
      <c r="K65" s="18"/>
      <c r="Q65" s="18"/>
    </row>
    <row r="66" spans="1:17" s="1" customFormat="1" x14ac:dyDescent="0.25">
      <c r="A66" s="48" t="s">
        <v>200</v>
      </c>
      <c r="B66" s="48" t="s">
        <v>47</v>
      </c>
      <c r="C66" s="60">
        <f>u_r(C17,D17,O40,O43,0)</f>
        <v>1.8729116028488784</v>
      </c>
      <c r="D66" s="50" t="s">
        <v>23</v>
      </c>
      <c r="E66" s="18"/>
      <c r="G66" s="147" t="s">
        <v>104</v>
      </c>
      <c r="H66" s="147"/>
      <c r="I66" s="147"/>
      <c r="J66" s="147"/>
      <c r="K66" s="18"/>
      <c r="Q66" s="18"/>
    </row>
    <row r="67" spans="1:17" s="1" customFormat="1" x14ac:dyDescent="0.25">
      <c r="A67" s="48" t="s">
        <v>201</v>
      </c>
      <c r="B67" s="48" t="s">
        <v>48</v>
      </c>
      <c r="C67" s="60">
        <f>u_r_max1(I62,I63,D18,C18,D19,C21)</f>
        <v>1.8729116028471153</v>
      </c>
      <c r="D67" s="50" t="s">
        <v>23</v>
      </c>
      <c r="E67" s="18"/>
      <c r="G67" s="48" t="s">
        <v>222</v>
      </c>
      <c r="H67" s="48" t="s">
        <v>99</v>
      </c>
      <c r="I67" s="52" cm="1">
        <f t="array" ref="I67">tr(I58,$U$16)</f>
        <v>53.262961397871244</v>
      </c>
      <c r="J67" s="50" t="s">
        <v>103</v>
      </c>
      <c r="K67" s="18"/>
      <c r="Q67" s="18"/>
    </row>
    <row r="68" spans="1:17" s="1" customFormat="1" x14ac:dyDescent="0.25">
      <c r="C68" s="20"/>
      <c r="E68" s="18"/>
      <c r="G68" s="48" t="s">
        <v>223</v>
      </c>
      <c r="H68" s="48" t="s">
        <v>98</v>
      </c>
      <c r="I68" s="52" cm="1">
        <f t="array" ref="I68">tr(I59,$U$16)</f>
        <v>6.0384271925522999</v>
      </c>
      <c r="J68" s="50" t="s">
        <v>103</v>
      </c>
      <c r="K68" s="18"/>
      <c r="Q68" s="18"/>
    </row>
    <row r="69" spans="1:17" s="1" customFormat="1" x14ac:dyDescent="0.25">
      <c r="C69" s="20"/>
      <c r="E69" s="18"/>
      <c r="I69" s="32"/>
      <c r="K69" s="18"/>
      <c r="Q69" s="18"/>
    </row>
    <row r="70" spans="1:17" s="1" customFormat="1" x14ac:dyDescent="0.25">
      <c r="C70" s="20"/>
      <c r="E70" s="18"/>
      <c r="K70" s="20"/>
      <c r="Q70" s="18"/>
    </row>
    <row r="71" spans="1:17" s="1" customFormat="1" x14ac:dyDescent="0.25">
      <c r="A71" s="147" t="s">
        <v>30</v>
      </c>
      <c r="B71" s="147"/>
      <c r="C71" s="147"/>
      <c r="D71" s="147"/>
      <c r="E71" s="18"/>
      <c r="G71" s="147" t="s">
        <v>105</v>
      </c>
      <c r="H71" s="147"/>
      <c r="I71" s="147"/>
      <c r="J71" s="147"/>
      <c r="K71" s="18"/>
      <c r="Q71" s="18"/>
    </row>
    <row r="72" spans="1:17" s="1" customFormat="1" x14ac:dyDescent="0.25">
      <c r="A72" s="48" t="s">
        <v>202</v>
      </c>
      <c r="B72" s="48" t="s">
        <v>49</v>
      </c>
      <c r="C72" s="60">
        <f>O15-C40</f>
        <v>0.36621209566617208</v>
      </c>
      <c r="D72" s="50" t="s">
        <v>2</v>
      </c>
      <c r="E72" s="18"/>
      <c r="G72" s="48" t="s">
        <v>224</v>
      </c>
      <c r="H72" s="48" t="s">
        <v>101</v>
      </c>
      <c r="I72" s="52">
        <f>tsettling(C28,C41,0)</f>
        <v>53.262961397498124</v>
      </c>
      <c r="J72" s="50" t="s">
        <v>103</v>
      </c>
      <c r="K72" s="18"/>
      <c r="Q72" s="18"/>
    </row>
    <row r="73" spans="1:17" s="1" customFormat="1" x14ac:dyDescent="0.25">
      <c r="C73" s="20"/>
      <c r="E73" s="18"/>
      <c r="G73" s="48" t="s">
        <v>225</v>
      </c>
      <c r="H73" s="48" t="s">
        <v>100</v>
      </c>
      <c r="I73" s="52">
        <f>tsettling(D28,U15,C43)</f>
        <v>3.7113131755862465</v>
      </c>
      <c r="J73" s="50" t="s">
        <v>103</v>
      </c>
      <c r="K73" s="18"/>
      <c r="Q73" s="18"/>
    </row>
    <row r="74" spans="1:17" s="1" customFormat="1" x14ac:dyDescent="0.25">
      <c r="A74" s="147" t="s">
        <v>31</v>
      </c>
      <c r="B74" s="147"/>
      <c r="C74" s="147"/>
      <c r="D74" s="147"/>
      <c r="E74" s="18"/>
      <c r="K74" s="18"/>
      <c r="Q74" s="18"/>
    </row>
    <row r="75" spans="1:17" s="1" customFormat="1" x14ac:dyDescent="0.25">
      <c r="A75" s="48" t="s">
        <v>203</v>
      </c>
      <c r="B75" s="48" t="s">
        <v>50</v>
      </c>
      <c r="C75" s="52">
        <f>C44-O18</f>
        <v>5.9386595380899326E-2</v>
      </c>
      <c r="D75" s="50" t="s">
        <v>2</v>
      </c>
      <c r="E75" s="18"/>
      <c r="K75" s="18"/>
      <c r="Q75" s="18"/>
    </row>
    <row r="76" spans="1:17" s="1" customFormat="1" x14ac:dyDescent="0.25">
      <c r="A76" s="48"/>
      <c r="B76" s="48"/>
      <c r="C76" s="52"/>
      <c r="D76" s="50"/>
      <c r="E76" s="18"/>
      <c r="G76" s="147" t="s">
        <v>38</v>
      </c>
      <c r="H76" s="147"/>
      <c r="I76" s="147"/>
      <c r="J76" s="147"/>
      <c r="K76" s="18"/>
      <c r="Q76" s="18"/>
    </row>
    <row r="77" spans="1:17" s="1" customFormat="1" x14ac:dyDescent="0.25">
      <c r="A77" s="48" t="s">
        <v>174</v>
      </c>
      <c r="B77" s="48" t="s">
        <v>55</v>
      </c>
      <c r="C77" s="65">
        <f>I30</f>
        <v>0.05</v>
      </c>
      <c r="D77" s="50" t="s">
        <v>2</v>
      </c>
      <c r="E77" s="18"/>
      <c r="G77" s="48" t="s">
        <v>38</v>
      </c>
      <c r="H77" s="48" t="s">
        <v>39</v>
      </c>
      <c r="I77" s="60" cm="1">
        <f t="array" ref="I77">dm(U15,C48)</f>
        <v>1.8786839449719215</v>
      </c>
      <c r="J77" s="63" t="s">
        <v>2</v>
      </c>
      <c r="K77" s="18"/>
      <c r="Q77" s="18"/>
    </row>
    <row r="78" spans="1:17" s="1" customFormat="1" x14ac:dyDescent="0.25">
      <c r="C78" s="20"/>
      <c r="E78" s="18"/>
      <c r="J78" s="18"/>
      <c r="K78" s="18"/>
      <c r="Q78" s="18"/>
    </row>
    <row r="79" spans="1:17" s="1" customFormat="1" x14ac:dyDescent="0.25">
      <c r="A79" s="147" t="s">
        <v>32</v>
      </c>
      <c r="B79" s="147"/>
      <c r="C79" s="147"/>
      <c r="D79" s="147"/>
      <c r="E79" s="18"/>
      <c r="K79" s="18"/>
      <c r="Q79" s="18"/>
    </row>
    <row r="80" spans="1:17" s="1" customFormat="1" x14ac:dyDescent="0.25">
      <c r="A80" s="48" t="s">
        <v>204</v>
      </c>
      <c r="B80" s="48" t="s">
        <v>51</v>
      </c>
      <c r="C80" s="66">
        <v>20</v>
      </c>
      <c r="D80" s="50" t="s">
        <v>2</v>
      </c>
      <c r="E80" s="18"/>
      <c r="K80" s="18"/>
      <c r="Q80" s="18"/>
    </row>
    <row r="81" spans="1:17" s="1" customFormat="1" x14ac:dyDescent="0.25">
      <c r="A81" s="48" t="s">
        <v>205</v>
      </c>
      <c r="B81" s="48" t="s">
        <v>52</v>
      </c>
      <c r="C81" s="52" cm="1">
        <f t="array" ref="C81">L_sep(O24,U16,C49,O25,I20)</f>
        <v>15.539843964008005</v>
      </c>
      <c r="D81" s="50" t="s">
        <v>2</v>
      </c>
      <c r="E81" s="18"/>
      <c r="J81" s="18"/>
      <c r="K81" s="18"/>
      <c r="Q81" s="18"/>
    </row>
    <row r="82" spans="1:17" s="1" customFormat="1" x14ac:dyDescent="0.25">
      <c r="C82" s="20"/>
      <c r="E82" s="18"/>
      <c r="J82" s="18"/>
      <c r="K82" s="18"/>
      <c r="Q82" s="18"/>
    </row>
    <row r="83" spans="1:17" s="1" customFormat="1" x14ac:dyDescent="0.25">
      <c r="A83" s="147" t="s">
        <v>33</v>
      </c>
      <c r="B83" s="147"/>
      <c r="C83" s="147"/>
      <c r="D83" s="147"/>
      <c r="E83" s="18"/>
      <c r="J83" s="18"/>
      <c r="K83" s="18"/>
      <c r="Q83" s="18"/>
    </row>
    <row r="84" spans="1:17" s="1" customFormat="1" x14ac:dyDescent="0.25">
      <c r="A84" s="48" t="s">
        <v>206</v>
      </c>
      <c r="B84" s="48" t="s">
        <v>53</v>
      </c>
      <c r="C84" s="66">
        <f>4.5</f>
        <v>4.5</v>
      </c>
      <c r="D84" s="50" t="s">
        <v>2</v>
      </c>
      <c r="E84" s="18"/>
      <c r="J84" s="18"/>
      <c r="K84" s="18"/>
      <c r="Q84" s="18"/>
    </row>
    <row r="85" spans="1:17" s="1" customFormat="1" x14ac:dyDescent="0.25">
      <c r="A85" s="48" t="s">
        <v>207</v>
      </c>
      <c r="B85" s="48" t="s">
        <v>54</v>
      </c>
      <c r="C85" s="52" cm="1">
        <f t="array" ref="C85">D_sep(U15,I20)</f>
        <v>1.8784061502495408</v>
      </c>
      <c r="D85" s="50" t="s">
        <v>2</v>
      </c>
      <c r="E85" s="18"/>
      <c r="J85" s="18"/>
      <c r="K85" s="18"/>
      <c r="Q85" s="18"/>
    </row>
    <row r="86" spans="1:17" s="1" customFormat="1" x14ac:dyDescent="0.25">
      <c r="C86" s="20"/>
      <c r="E86" s="18"/>
      <c r="J86" s="18"/>
      <c r="K86" s="18"/>
      <c r="Q86" s="18"/>
    </row>
    <row r="87" spans="1:17" s="1" customFormat="1" x14ac:dyDescent="0.25">
      <c r="C87" s="20"/>
      <c r="E87" s="18"/>
      <c r="J87" s="18"/>
      <c r="K87" s="18"/>
      <c r="Q87" s="18"/>
    </row>
    <row r="88" spans="1:17" s="1" customFormat="1" x14ac:dyDescent="0.25">
      <c r="A88" s="154" t="s">
        <v>37</v>
      </c>
      <c r="B88" s="154"/>
      <c r="C88" s="154"/>
      <c r="D88" s="154"/>
      <c r="E88" s="18"/>
      <c r="J88" s="18"/>
      <c r="K88" s="18"/>
      <c r="Q88" s="18"/>
    </row>
    <row r="89" spans="1:17" s="1" customFormat="1" x14ac:dyDescent="0.25">
      <c r="A89" s="97" t="s">
        <v>210</v>
      </c>
      <c r="B89" s="97" t="s">
        <v>211</v>
      </c>
      <c r="C89" s="145" cm="1">
        <f t="array" ref="C89">Cost(C48,I17,I22,I77,O24,U16,C49,I16,I18)</f>
        <v>28580.843430412169</v>
      </c>
      <c r="D89" s="97" t="s">
        <v>40</v>
      </c>
      <c r="E89" s="18"/>
      <c r="J89" s="18"/>
      <c r="K89" s="18"/>
      <c r="Q89" s="18"/>
    </row>
    <row r="90" spans="1:17" s="1" customFormat="1" x14ac:dyDescent="0.25">
      <c r="C90" s="20"/>
      <c r="E90" s="18"/>
      <c r="J90" s="18"/>
      <c r="K90" s="18"/>
      <c r="Q90" s="18"/>
    </row>
    <row r="91" spans="1:17" x14ac:dyDescent="0.25">
      <c r="A91" s="118"/>
    </row>
    <row r="94" spans="1:17" x14ac:dyDescent="0.25">
      <c r="C94" s="119"/>
    </row>
    <row r="96" spans="1:17" x14ac:dyDescent="0.25">
      <c r="E96" s="153"/>
      <c r="F96" s="153"/>
      <c r="G96" s="153"/>
    </row>
    <row r="102" spans="1:14" x14ac:dyDescent="0.25">
      <c r="A102" s="120"/>
      <c r="B102" s="120"/>
      <c r="C102" s="120"/>
      <c r="D102" s="120"/>
      <c r="E102" s="121"/>
    </row>
    <row r="103" spans="1:14" x14ac:dyDescent="0.25">
      <c r="A103" s="99"/>
      <c r="B103" s="99"/>
      <c r="C103" s="122"/>
      <c r="D103" s="123"/>
      <c r="E103" s="121"/>
      <c r="F103" s="29"/>
      <c r="G103" s="34"/>
      <c r="H103" s="30"/>
      <c r="I103" s="22"/>
      <c r="J103" s="29"/>
      <c r="K103" s="36"/>
      <c r="L103" s="37"/>
    </row>
    <row r="104" spans="1:14" x14ac:dyDescent="0.25">
      <c r="A104" s="99"/>
      <c r="B104" s="99"/>
      <c r="C104" s="124"/>
      <c r="D104" s="103"/>
      <c r="E104" s="121"/>
      <c r="F104" s="29"/>
      <c r="G104" s="12"/>
      <c r="H104" s="11"/>
      <c r="I104" s="125"/>
      <c r="J104" s="29"/>
      <c r="K104" s="38"/>
      <c r="L104" s="39"/>
    </row>
    <row r="105" spans="1:14" x14ac:dyDescent="0.25">
      <c r="C105" s="34"/>
      <c r="D105" s="22"/>
      <c r="F105" s="29"/>
      <c r="G105" s="12"/>
      <c r="H105" s="11"/>
      <c r="I105" s="125"/>
      <c r="J105" s="29"/>
      <c r="K105" s="40"/>
      <c r="L105" s="41"/>
    </row>
    <row r="106" spans="1:14" x14ac:dyDescent="0.25">
      <c r="C106" s="34"/>
      <c r="D106" s="126"/>
      <c r="F106" s="29"/>
      <c r="G106" s="34"/>
      <c r="H106" s="30"/>
      <c r="I106" s="22"/>
      <c r="J106" s="29"/>
      <c r="K106" s="38"/>
      <c r="L106" s="39"/>
    </row>
    <row r="107" spans="1:14" x14ac:dyDescent="0.25">
      <c r="C107" s="127"/>
      <c r="D107" s="126"/>
      <c r="F107" s="29"/>
      <c r="G107" s="34"/>
      <c r="H107" s="30"/>
      <c r="I107" s="22"/>
      <c r="J107" s="29"/>
      <c r="K107" s="38"/>
      <c r="L107" s="39"/>
    </row>
    <row r="108" spans="1:14" x14ac:dyDescent="0.25">
      <c r="C108" s="127"/>
      <c r="D108" s="126"/>
      <c r="F108" s="29"/>
      <c r="G108" s="12"/>
      <c r="H108" s="11"/>
      <c r="I108" s="125"/>
      <c r="J108" s="29"/>
      <c r="K108" s="38"/>
      <c r="L108" s="39"/>
    </row>
    <row r="109" spans="1:14" x14ac:dyDescent="0.25">
      <c r="C109" s="127"/>
      <c r="D109" s="126"/>
      <c r="F109" s="29"/>
      <c r="G109" s="12"/>
      <c r="H109" s="11"/>
      <c r="I109" s="125"/>
      <c r="J109" s="29"/>
      <c r="K109" s="38"/>
      <c r="L109" s="39"/>
    </row>
    <row r="110" spans="1:14" x14ac:dyDescent="0.25">
      <c r="C110" s="127"/>
      <c r="D110" s="126"/>
      <c r="F110" s="29"/>
      <c r="G110" s="33"/>
      <c r="H110" s="31"/>
      <c r="I110" s="128"/>
      <c r="J110" s="29"/>
      <c r="K110" s="36"/>
      <c r="L110" s="37"/>
    </row>
    <row r="111" spans="1:14" x14ac:dyDescent="0.25">
      <c r="C111" s="34"/>
      <c r="D111" s="22"/>
      <c r="F111" s="29"/>
      <c r="G111" s="34"/>
      <c r="H111" s="30"/>
      <c r="I111" s="22"/>
      <c r="J111" s="29"/>
      <c r="K111" s="36"/>
      <c r="L111" s="29"/>
      <c r="N111" s="129"/>
    </row>
    <row r="112" spans="1:14" x14ac:dyDescent="0.25">
      <c r="C112" s="34"/>
      <c r="D112" s="22"/>
      <c r="F112" s="29"/>
      <c r="G112" s="34"/>
      <c r="H112" s="30"/>
      <c r="I112" s="22"/>
      <c r="J112" s="29"/>
      <c r="K112" s="36"/>
      <c r="L112" s="37"/>
    </row>
    <row r="113" spans="3:12" x14ac:dyDescent="0.25">
      <c r="C113" s="34"/>
      <c r="D113" s="22"/>
      <c r="F113" s="29"/>
      <c r="G113" s="35"/>
      <c r="H113" s="10"/>
      <c r="I113" s="39"/>
      <c r="J113" s="29"/>
      <c r="K113" s="36"/>
      <c r="L113" s="37"/>
    </row>
    <row r="114" spans="3:12" x14ac:dyDescent="0.25">
      <c r="C114" s="34"/>
      <c r="D114" s="22"/>
      <c r="F114" s="29"/>
      <c r="G114" s="34"/>
      <c r="H114" s="30"/>
      <c r="I114" s="39"/>
      <c r="J114" s="29"/>
      <c r="K114" s="36"/>
      <c r="L114" s="37"/>
    </row>
    <row r="115" spans="3:12" x14ac:dyDescent="0.25">
      <c r="C115" s="34"/>
      <c r="D115" s="22"/>
      <c r="F115" s="29"/>
      <c r="G115" s="34"/>
      <c r="H115" s="30"/>
      <c r="I115" s="39"/>
      <c r="J115" s="29"/>
      <c r="K115" s="36"/>
      <c r="L115" s="42"/>
    </row>
  </sheetData>
  <mergeCells count="31">
    <mergeCell ref="G50:J50"/>
    <mergeCell ref="M39:P39"/>
    <mergeCell ref="M50:P50"/>
    <mergeCell ref="E96:G96"/>
    <mergeCell ref="A39:E39"/>
    <mergeCell ref="A65:D65"/>
    <mergeCell ref="A71:D71"/>
    <mergeCell ref="G76:J76"/>
    <mergeCell ref="G57:J57"/>
    <mergeCell ref="G71:J71"/>
    <mergeCell ref="G66:J66"/>
    <mergeCell ref="A88:D88"/>
    <mergeCell ref="A74:D74"/>
    <mergeCell ref="A79:D79"/>
    <mergeCell ref="A83:D83"/>
    <mergeCell ref="A1:V1"/>
    <mergeCell ref="A57:D57"/>
    <mergeCell ref="A36:V36"/>
    <mergeCell ref="A60:D60"/>
    <mergeCell ref="G14:J14"/>
    <mergeCell ref="S14:V14"/>
    <mergeCell ref="A8:V8"/>
    <mergeCell ref="A14:E14"/>
    <mergeCell ref="C21:D21"/>
    <mergeCell ref="M22:P22"/>
    <mergeCell ref="M14:P14"/>
    <mergeCell ref="A9:F9"/>
    <mergeCell ref="G28:J28"/>
    <mergeCell ref="A46:D46"/>
    <mergeCell ref="G39:J39"/>
    <mergeCell ref="A55:V5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2.Macro2">
                <anchor moveWithCells="1" sizeWithCells="1">
                  <from>
                    <xdr:col>6</xdr:col>
                    <xdr:colOff>1504950</xdr:colOff>
                    <xdr:row>2</xdr:row>
                    <xdr:rowOff>47625</xdr:rowOff>
                  </from>
                  <to>
                    <xdr:col>11</xdr:col>
                    <xdr:colOff>609600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824BC-A9E3-4C31-B187-052A3E9ABCCB}">
  <sheetPr codeName="Sheet7"/>
  <dimension ref="A1:Z10005"/>
  <sheetViews>
    <sheetView zoomScale="85" zoomScaleNormal="85" workbookViewId="0">
      <selection activeCell="E11" sqref="E11"/>
    </sheetView>
  </sheetViews>
  <sheetFormatPr defaultColWidth="9.140625" defaultRowHeight="15" x14ac:dyDescent="0.25"/>
  <cols>
    <col min="1" max="1" width="9.140625" style="5"/>
    <col min="2" max="2" width="9.140625" style="6"/>
    <col min="3" max="3" width="12" style="6" bestFit="1" customWidth="1"/>
    <col min="4" max="4" width="9.140625" style="6" customWidth="1"/>
    <col min="5" max="7" width="14.85546875" style="6" customWidth="1"/>
    <col min="8" max="8" width="15" style="5" bestFit="1" customWidth="1"/>
    <col min="9" max="9" width="13.7109375" style="6" bestFit="1" customWidth="1"/>
    <col min="10" max="10" width="12.42578125" style="6" bestFit="1" customWidth="1"/>
    <col min="11" max="11" width="14.140625" style="6" bestFit="1" customWidth="1"/>
    <col min="12" max="12" width="11" style="5" bestFit="1" customWidth="1"/>
    <col min="13" max="13" width="9.140625" style="99"/>
    <col min="14" max="14" width="11" style="99" bestFit="1" customWidth="1"/>
    <col min="15" max="15" width="9.140625" style="99"/>
    <col min="16" max="16" width="10.42578125" style="99" bestFit="1" customWidth="1"/>
    <col min="17" max="17" width="11" style="99" bestFit="1" customWidth="1"/>
    <col min="18" max="18" width="9.140625" style="99"/>
    <col min="19" max="19" width="10.140625" style="99" bestFit="1" customWidth="1"/>
    <col min="20" max="16384" width="9.140625" style="99"/>
  </cols>
  <sheetData>
    <row r="1" spans="2:13" s="5" customFormat="1" x14ac:dyDescent="0.25"/>
    <row r="2" spans="2:13" x14ac:dyDescent="0.25">
      <c r="C2" s="5"/>
      <c r="D2" s="5"/>
      <c r="E2" s="5"/>
      <c r="F2" s="5"/>
      <c r="G2" s="5"/>
      <c r="I2" s="5"/>
      <c r="J2" s="99"/>
      <c r="K2" s="99"/>
      <c r="L2" s="99"/>
    </row>
    <row r="3" spans="2:13" x14ac:dyDescent="0.25">
      <c r="B3" s="139" t="s">
        <v>84</v>
      </c>
      <c r="C3" s="139" t="s">
        <v>228</v>
      </c>
      <c r="D3" s="117"/>
      <c r="E3" s="5"/>
      <c r="F3" s="5"/>
      <c r="G3" s="99"/>
      <c r="H3" s="155"/>
      <c r="I3" s="155"/>
      <c r="J3" s="99"/>
      <c r="K3" s="99"/>
      <c r="L3" s="100"/>
    </row>
    <row r="4" spans="2:13" x14ac:dyDescent="0.25">
      <c r="B4" s="139" t="s">
        <v>41</v>
      </c>
      <c r="C4" s="139" t="s">
        <v>41</v>
      </c>
      <c r="D4" s="117"/>
      <c r="E4" s="156" t="s">
        <v>83</v>
      </c>
      <c r="F4" s="157"/>
      <c r="G4" s="157"/>
      <c r="H4" s="158"/>
      <c r="I4" s="5"/>
      <c r="J4" s="99"/>
      <c r="K4" s="99"/>
      <c r="L4" s="101"/>
    </row>
    <row r="5" spans="2:13" x14ac:dyDescent="0.25">
      <c r="B5" s="137">
        <v>0</v>
      </c>
      <c r="C5" s="138" cm="1">
        <f t="array" ref="C5">ad(B5)</f>
        <v>0</v>
      </c>
      <c r="D5" s="7"/>
      <c r="E5" s="159" t="s">
        <v>87</v>
      </c>
      <c r="F5" s="160"/>
      <c r="G5" s="160" t="s">
        <v>88</v>
      </c>
      <c r="H5" s="161"/>
      <c r="I5" s="5"/>
      <c r="J5" s="99"/>
      <c r="K5" s="99"/>
      <c r="L5" s="101"/>
    </row>
    <row r="6" spans="2:13" x14ac:dyDescent="0.25">
      <c r="B6" s="137">
        <v>1E-3</v>
      </c>
      <c r="C6" s="138" cm="1">
        <f t="array" ref="C6">ad(B6)</f>
        <v>5.3668384686511583E-5</v>
      </c>
      <c r="D6" s="7"/>
      <c r="E6" s="115" t="s">
        <v>35</v>
      </c>
      <c r="F6" s="115" t="s">
        <v>36</v>
      </c>
      <c r="G6" s="115" t="s">
        <v>84</v>
      </c>
      <c r="H6" s="116" t="s">
        <v>85</v>
      </c>
      <c r="I6" s="5"/>
      <c r="J6" s="99"/>
      <c r="K6" s="99"/>
      <c r="L6" s="101"/>
    </row>
    <row r="7" spans="2:13" x14ac:dyDescent="0.25">
      <c r="B7" s="137">
        <v>2E-3</v>
      </c>
      <c r="C7" s="138" cm="1">
        <f t="array" ref="C7">ad(B7)</f>
        <v>1.5175153776031403E-4</v>
      </c>
      <c r="D7" s="7"/>
      <c r="E7" s="140" cm="1">
        <f t="array" ref="E7:H7">LINEST(B5:B1005,C5:C1005^{1,2,3})</f>
        <v>0.82797735997306632</v>
      </c>
      <c r="F7" s="140">
        <v>-1.2419660399595998</v>
      </c>
      <c r="G7" s="140">
        <v>1.3638266238967796</v>
      </c>
      <c r="H7" s="141">
        <v>2.5081028044877274E-2</v>
      </c>
      <c r="I7" s="5"/>
      <c r="J7" s="99"/>
      <c r="K7" s="99"/>
      <c r="L7" s="101"/>
    </row>
    <row r="8" spans="2:13" x14ac:dyDescent="0.25">
      <c r="B8" s="137">
        <v>3.0000000000000001E-3</v>
      </c>
      <c r="C8" s="138" cm="1">
        <f t="array" ref="C8">ad(B8)</f>
        <v>2.7870161572424168E-4</v>
      </c>
      <c r="D8" s="7"/>
      <c r="E8" s="5"/>
      <c r="H8" s="6"/>
      <c r="I8" s="5"/>
      <c r="J8" s="99"/>
      <c r="K8" s="99"/>
      <c r="L8" s="99"/>
    </row>
    <row r="9" spans="2:13" x14ac:dyDescent="0.25">
      <c r="B9" s="137">
        <v>4.0000000000000001E-3</v>
      </c>
      <c r="C9" s="138" cm="1">
        <f t="array" ref="C9">ad(B9)</f>
        <v>4.2896020346366859E-4</v>
      </c>
      <c r="D9" s="7"/>
      <c r="E9" s="48"/>
      <c r="F9" s="53" t="s">
        <v>25</v>
      </c>
      <c r="G9" s="53" t="s">
        <v>25</v>
      </c>
      <c r="H9" s="53" t="s">
        <v>24</v>
      </c>
      <c r="I9" s="135" t="s">
        <v>24</v>
      </c>
      <c r="J9" s="99"/>
      <c r="K9" s="99"/>
      <c r="L9" s="99"/>
    </row>
    <row r="10" spans="2:13" x14ac:dyDescent="0.25">
      <c r="B10" s="137">
        <v>5.0000000000000001E-3</v>
      </c>
      <c r="C10" s="138" cm="1">
        <f t="array" ref="C10">ad(B10)</f>
        <v>5.993097557009941E-4</v>
      </c>
      <c r="D10" s="7"/>
      <c r="E10" s="48"/>
      <c r="F10" s="53" t="s">
        <v>26</v>
      </c>
      <c r="G10" s="113" t="s">
        <v>41</v>
      </c>
      <c r="H10" s="113" t="s">
        <v>41</v>
      </c>
      <c r="I10" s="135" t="s">
        <v>2</v>
      </c>
      <c r="J10" s="99"/>
      <c r="K10" s="155"/>
      <c r="L10" s="155"/>
      <c r="M10" s="155"/>
    </row>
    <row r="11" spans="2:13" x14ac:dyDescent="0.25">
      <c r="B11" s="137">
        <v>6.0000000000000001E-3</v>
      </c>
      <c r="C11" s="138" cm="1">
        <f t="array" ref="C11">ad(B11)</f>
        <v>7.8757596735978819E-4</v>
      </c>
      <c r="D11" s="7"/>
      <c r="E11" s="48" t="s">
        <v>229</v>
      </c>
      <c r="F11" s="71">
        <f>'2-phase calc'!O40</f>
        <v>2.7523548424668456</v>
      </c>
      <c r="G11" s="85">
        <f t="shared" ref="G11:G16" si="0">F11/$F$11</f>
        <v>1</v>
      </c>
      <c r="H11" s="114">
        <f t="shared" ref="H11:H16" si="1">$E$7*G11^3+$F$7*G11^2+$G$7*G11+$H$7</f>
        <v>0.97491897195512345</v>
      </c>
      <c r="I11" s="136">
        <f t="shared" ref="I11:I16" si="2">H11*$F$18</f>
        <v>1.8250543114949507</v>
      </c>
      <c r="J11" s="99"/>
      <c r="K11" s="99"/>
      <c r="L11" s="102"/>
    </row>
    <row r="12" spans="2:13" x14ac:dyDescent="0.25">
      <c r="B12" s="137">
        <v>7.0000000000000001E-3</v>
      </c>
      <c r="C12" s="138" cm="1">
        <f t="array" ref="C12">ad(B12)</f>
        <v>9.9216017897441056E-4</v>
      </c>
      <c r="D12" s="7"/>
      <c r="E12" s="111" t="s">
        <v>230</v>
      </c>
      <c r="F12" s="71">
        <f>'2-phase calc'!O41</f>
        <v>1.7069125682750452</v>
      </c>
      <c r="G12" s="85">
        <f t="shared" si="0"/>
        <v>0.62016442863348076</v>
      </c>
      <c r="H12" s="114">
        <f t="shared" si="1"/>
        <v>0.59070001155496477</v>
      </c>
      <c r="I12" s="136">
        <f t="shared" si="2"/>
        <v>1.1057940545833689</v>
      </c>
      <c r="J12" s="99"/>
      <c r="K12" s="99"/>
      <c r="L12" s="102"/>
    </row>
    <row r="13" spans="2:13" x14ac:dyDescent="0.25">
      <c r="B13" s="137">
        <v>8.0000000000000002E-3</v>
      </c>
      <c r="C13" s="138" cm="1">
        <f t="array" ref="C13">ad(B13)</f>
        <v>1.211821850215955E-3</v>
      </c>
      <c r="D13" s="7"/>
      <c r="E13" s="112" t="s">
        <v>231</v>
      </c>
      <c r="F13" s="71">
        <f>'2-phase calc'!O42</f>
        <v>1.2835506895017312</v>
      </c>
      <c r="G13" s="85">
        <f t="shared" si="0"/>
        <v>0.46634636991476242</v>
      </c>
      <c r="H13" s="114">
        <f t="shared" si="1"/>
        <v>0.47496905779815574</v>
      </c>
      <c r="I13" s="136">
        <f t="shared" si="2"/>
        <v>0.8891449973763772</v>
      </c>
      <c r="J13" s="99"/>
      <c r="K13" s="99"/>
      <c r="L13" s="103"/>
    </row>
    <row r="14" spans="2:13" x14ac:dyDescent="0.25">
      <c r="B14" s="137">
        <v>8.9999999999999993E-3</v>
      </c>
      <c r="C14" s="138" cm="1">
        <f t="array" ref="C14">ad(B14)</f>
        <v>1.4455613972466086E-3</v>
      </c>
      <c r="D14" s="7"/>
      <c r="E14" s="112" t="s">
        <v>232</v>
      </c>
      <c r="F14" s="71">
        <f>'2-phase calc'!O43</f>
        <v>0.86018881072841746</v>
      </c>
      <c r="G14" s="85">
        <f t="shared" si="0"/>
        <v>0.31252831119604418</v>
      </c>
      <c r="H14" s="114">
        <f t="shared" si="1"/>
        <v>0.35528246840521061</v>
      </c>
      <c r="I14" s="136">
        <f t="shared" si="2"/>
        <v>0.66509096593039241</v>
      </c>
      <c r="J14" s="99"/>
      <c r="K14" s="99"/>
      <c r="L14" s="103"/>
    </row>
    <row r="15" spans="2:13" x14ac:dyDescent="0.25">
      <c r="B15" s="137">
        <v>0.01</v>
      </c>
      <c r="C15" s="138" cm="1">
        <f t="array" ref="C15">ad(B15)</f>
        <v>1.6925506380167654E-3</v>
      </c>
      <c r="D15" s="7"/>
      <c r="E15" s="111" t="s">
        <v>233</v>
      </c>
      <c r="F15" s="71">
        <f>'2-phase calc'!O44</f>
        <v>0.43682693195510358</v>
      </c>
      <c r="G15" s="85">
        <f t="shared" si="0"/>
        <v>0.1587102524773259</v>
      </c>
      <c r="H15" s="114">
        <f t="shared" si="1"/>
        <v>0.21356052380329324</v>
      </c>
      <c r="I15" s="136">
        <f t="shared" si="2"/>
        <v>0.39978661401027843</v>
      </c>
      <c r="J15" s="99"/>
      <c r="K15" s="99"/>
      <c r="L15" s="99"/>
    </row>
    <row r="16" spans="2:13" x14ac:dyDescent="0.25">
      <c r="B16" s="137">
        <v>1.0999999999999999E-2</v>
      </c>
      <c r="C16" s="138" cm="1">
        <f t="array" ref="C16">ad(B16)</f>
        <v>1.952088507296057E-3</v>
      </c>
      <c r="D16" s="7"/>
      <c r="E16" s="111" t="s">
        <v>234</v>
      </c>
      <c r="F16" s="71">
        <f>'2-phase calc'!O45</f>
        <v>1.3465053181789699E-2</v>
      </c>
      <c r="G16" s="85">
        <f t="shared" si="0"/>
        <v>4.8921937586075973E-3</v>
      </c>
      <c r="H16" s="114">
        <f t="shared" si="1"/>
        <v>3.1723504419567755E-2</v>
      </c>
      <c r="I16" s="136">
        <f t="shared" si="2"/>
        <v>5.9386595380899326E-2</v>
      </c>
      <c r="J16" s="99"/>
      <c r="K16" s="99"/>
      <c r="L16" s="99"/>
    </row>
    <row r="17" spans="2:12" x14ac:dyDescent="0.25">
      <c r="B17" s="137">
        <v>1.2E-2</v>
      </c>
      <c r="C17" s="138" cm="1">
        <f t="array" ref="C17">ad(B17)</f>
        <v>2.2235713261531398E-3</v>
      </c>
      <c r="D17" s="7"/>
      <c r="E17" s="28"/>
      <c r="F17" s="28"/>
      <c r="G17" s="28"/>
      <c r="H17" s="28"/>
      <c r="I17" s="5"/>
      <c r="J17" s="99"/>
      <c r="K17" s="99"/>
      <c r="L17" s="99"/>
    </row>
    <row r="18" spans="2:12" x14ac:dyDescent="0.25">
      <c r="B18" s="137">
        <v>1.2999999999999999E-2</v>
      </c>
      <c r="C18" s="138" cm="1">
        <f t="array" ref="C18">ad(B18)</f>
        <v>2.5064719939112967E-3</v>
      </c>
      <c r="D18" s="7"/>
      <c r="E18" s="113" t="s">
        <v>15</v>
      </c>
      <c r="F18" s="71">
        <f>'2-phase calc'!U15</f>
        <v>1.8720061502495409</v>
      </c>
      <c r="G18" s="28"/>
      <c r="H18" s="28"/>
      <c r="I18" s="5"/>
      <c r="J18" s="99"/>
      <c r="K18" s="99"/>
      <c r="L18" s="99"/>
    </row>
    <row r="19" spans="2:12" x14ac:dyDescent="0.25">
      <c r="B19" s="137">
        <v>1.4E-2</v>
      </c>
      <c r="C19" s="138" cm="1">
        <f t="array" ref="C19">ad(B19)</f>
        <v>2.8003249267481989E-3</v>
      </c>
      <c r="D19" s="7"/>
      <c r="E19" s="28"/>
      <c r="F19" s="28"/>
      <c r="G19" s="28"/>
      <c r="H19" s="28"/>
      <c r="I19" s="5"/>
      <c r="J19" s="99"/>
      <c r="K19" s="99"/>
      <c r="L19" s="99"/>
    </row>
    <row r="20" spans="2:12" x14ac:dyDescent="0.25">
      <c r="B20" s="137">
        <v>1.4999999999999999E-2</v>
      </c>
      <c r="C20" s="138" cm="1">
        <f t="array" ref="C20">ad(B20)</f>
        <v>3.1047148490012666E-3</v>
      </c>
      <c r="D20" s="7"/>
      <c r="E20" s="28"/>
      <c r="F20" s="28"/>
      <c r="G20" s="28"/>
      <c r="H20" s="28"/>
      <c r="I20" s="5"/>
      <c r="J20" s="99"/>
      <c r="K20" s="99"/>
      <c r="L20" s="99"/>
    </row>
    <row r="21" spans="2:12" x14ac:dyDescent="0.25">
      <c r="B21" s="137">
        <v>1.6E-2</v>
      </c>
      <c r="C21" s="138" cm="1">
        <f t="array" ref="C21">ad(B21)</f>
        <v>3.4192682548536135E-3</v>
      </c>
      <c r="D21" s="7"/>
      <c r="E21" s="28"/>
      <c r="F21" s="28"/>
      <c r="G21" s="28"/>
      <c r="H21" s="28"/>
      <c r="I21" s="5"/>
      <c r="J21" s="99"/>
      <c r="K21" s="99"/>
      <c r="L21" s="99"/>
    </row>
    <row r="22" spans="2:12" x14ac:dyDescent="0.25">
      <c r="B22" s="137">
        <v>1.7000000000000001E-2</v>
      </c>
      <c r="C22" s="138" cm="1">
        <f t="array" ref="C22">ad(B22)</f>
        <v>3.7436467736399748E-3</v>
      </c>
      <c r="D22" s="7"/>
      <c r="E22" s="132"/>
      <c r="F22" s="133"/>
      <c r="G22" s="5"/>
      <c r="I22" s="5"/>
      <c r="J22" s="99"/>
      <c r="K22" s="99"/>
      <c r="L22" s="99"/>
    </row>
    <row r="23" spans="2:12" x14ac:dyDescent="0.25">
      <c r="B23" s="137">
        <v>1.7999999999999999E-2</v>
      </c>
      <c r="C23" s="138" cm="1">
        <f t="array" ref="C23">ad(B23)</f>
        <v>4.0775419251927181E-3</v>
      </c>
      <c r="D23" s="7"/>
      <c r="E23" s="132"/>
      <c r="F23" s="133"/>
      <c r="G23" s="5"/>
      <c r="I23" s="5"/>
      <c r="J23" s="99"/>
      <c r="K23" s="99"/>
      <c r="L23" s="99"/>
    </row>
    <row r="24" spans="2:12" x14ac:dyDescent="0.25">
      <c r="B24" s="137">
        <v>1.9E-2</v>
      </c>
      <c r="C24" s="138" cm="1">
        <f t="array" ref="C24">ad(B24)</f>
        <v>4.4206709115492959E-3</v>
      </c>
      <c r="D24" s="7"/>
      <c r="E24" s="132"/>
      <c r="F24" s="133"/>
      <c r="G24" s="5"/>
      <c r="I24" s="5"/>
      <c r="J24" s="99"/>
      <c r="K24" s="99"/>
      <c r="L24" s="99"/>
    </row>
    <row r="25" spans="2:12" x14ac:dyDescent="0.25">
      <c r="B25" s="137">
        <v>0.02</v>
      </c>
      <c r="C25" s="138" cm="1">
        <f t="array" ref="C25">ad(B25)</f>
        <v>4.7727731955302666E-3</v>
      </c>
      <c r="D25" s="7"/>
      <c r="E25" s="132"/>
      <c r="F25" s="133"/>
      <c r="G25" s="5"/>
      <c r="I25" s="5"/>
      <c r="J25" s="99"/>
      <c r="K25" s="99"/>
      <c r="L25" s="99"/>
    </row>
    <row r="26" spans="2:12" x14ac:dyDescent="0.25">
      <c r="B26" s="137">
        <v>2.1000000000000001E-2</v>
      </c>
      <c r="C26" s="138" cm="1">
        <f t="array" ref="C26">ad(B26)</f>
        <v>5.1336076864264557E-3</v>
      </c>
      <c r="D26" s="7"/>
      <c r="E26" s="132"/>
      <c r="F26" s="133"/>
      <c r="G26" s="5"/>
      <c r="I26" s="5"/>
      <c r="J26" s="99"/>
      <c r="K26" s="99"/>
      <c r="L26" s="99"/>
    </row>
    <row r="27" spans="2:12" x14ac:dyDescent="0.25">
      <c r="B27" s="137">
        <v>2.1999999999999999E-2</v>
      </c>
      <c r="C27" s="138" cm="1">
        <f t="array" ref="C27">ad(B27)</f>
        <v>5.5029504008375918E-3</v>
      </c>
      <c r="D27" s="7"/>
      <c r="E27" s="132"/>
      <c r="F27" s="133"/>
      <c r="G27" s="5"/>
      <c r="I27" s="5"/>
      <c r="J27" s="99"/>
      <c r="K27" s="99"/>
      <c r="L27" s="99"/>
    </row>
    <row r="28" spans="2:12" x14ac:dyDescent="0.25">
      <c r="B28" s="137">
        <v>2.3E-2</v>
      </c>
      <c r="C28" s="138" cm="1">
        <f t="array" ref="C28">ad(B28)</f>
        <v>5.8805925001655934E-3</v>
      </c>
      <c r="D28" s="7"/>
      <c r="E28" s="132"/>
      <c r="F28" s="133"/>
      <c r="G28" s="5"/>
      <c r="I28" s="5"/>
      <c r="J28" s="99"/>
      <c r="K28" s="99"/>
      <c r="L28" s="99"/>
    </row>
    <row r="29" spans="2:12" x14ac:dyDescent="0.25">
      <c r="B29" s="137">
        <v>2.4E-2</v>
      </c>
      <c r="C29" s="138" cm="1">
        <f t="array" ref="C29">ad(B29)</f>
        <v>6.2663386301400892E-3</v>
      </c>
      <c r="D29" s="7"/>
      <c r="E29" s="132"/>
      <c r="F29" s="133"/>
      <c r="G29" s="5"/>
      <c r="I29" s="5"/>
      <c r="J29" s="99"/>
      <c r="K29" s="99"/>
      <c r="L29" s="99"/>
    </row>
    <row r="30" spans="2:12" x14ac:dyDescent="0.25">
      <c r="B30" s="137">
        <v>2.5000000000000001E-2</v>
      </c>
      <c r="C30" s="138" cm="1">
        <f t="array" ref="C30">ad(B30)</f>
        <v>6.6600055050706763E-3</v>
      </c>
      <c r="D30" s="7"/>
      <c r="E30" s="132"/>
      <c r="F30" s="133"/>
      <c r="G30" s="5"/>
      <c r="I30" s="5"/>
      <c r="J30" s="99"/>
      <c r="K30" s="99"/>
      <c r="L30" s="99"/>
    </row>
    <row r="31" spans="2:12" x14ac:dyDescent="0.25">
      <c r="B31" s="137">
        <v>2.5999999999999999E-2</v>
      </c>
      <c r="C31" s="138" cm="1">
        <f t="array" ref="C31">ad(B31)</f>
        <v>7.061420692279774E-3</v>
      </c>
      <c r="D31" s="7"/>
      <c r="E31" s="132"/>
      <c r="F31" s="133"/>
      <c r="G31" s="5"/>
      <c r="I31" s="5"/>
      <c r="J31" s="99"/>
      <c r="K31" s="99"/>
      <c r="L31" s="99"/>
    </row>
    <row r="32" spans="2:12" x14ac:dyDescent="0.25">
      <c r="B32" s="137">
        <v>2.7E-2</v>
      </c>
      <c r="C32" s="138" cm="1">
        <f t="array" ref="C32">ad(B32)</f>
        <v>7.4704215617027447E-3</v>
      </c>
      <c r="D32" s="7"/>
      <c r="E32" s="132"/>
      <c r="F32" s="133"/>
      <c r="G32" s="5"/>
      <c r="I32" s="5"/>
      <c r="J32" s="99"/>
      <c r="K32" s="99"/>
      <c r="L32" s="99"/>
    </row>
    <row r="33" spans="2:26" x14ac:dyDescent="0.25">
      <c r="B33" s="137">
        <v>2.8000000000000001E-2</v>
      </c>
      <c r="C33" s="138" cm="1">
        <f t="array" ref="C33">ad(B33)</f>
        <v>7.8868543728487506E-3</v>
      </c>
      <c r="D33" s="7"/>
      <c r="E33" s="132"/>
      <c r="F33" s="133"/>
      <c r="G33" s="5"/>
      <c r="I33" s="5"/>
      <c r="J33" s="99"/>
      <c r="K33" s="99"/>
      <c r="L33" s="99"/>
    </row>
    <row r="34" spans="2:26" x14ac:dyDescent="0.25">
      <c r="B34" s="137">
        <v>2.9000000000000001E-2</v>
      </c>
      <c r="C34" s="138" cm="1">
        <f t="array" ref="C34">ad(B34)</f>
        <v>8.3105734768362804E-3</v>
      </c>
      <c r="D34" s="7"/>
      <c r="E34" s="132"/>
      <c r="F34" s="133"/>
      <c r="G34" s="5"/>
      <c r="I34" s="5"/>
      <c r="J34" s="99"/>
      <c r="K34" s="99"/>
      <c r="L34" s="99"/>
    </row>
    <row r="35" spans="2:26" x14ac:dyDescent="0.25">
      <c r="B35" s="137">
        <v>0.03</v>
      </c>
      <c r="C35" s="138" cm="1">
        <f t="array" ref="C35">ad(B35)</f>
        <v>8.7414406154852076E-3</v>
      </c>
      <c r="D35" s="7"/>
      <c r="E35" s="132"/>
      <c r="F35" s="133"/>
      <c r="G35" s="5"/>
      <c r="I35" s="5"/>
      <c r="J35" s="99"/>
      <c r="K35" s="99"/>
      <c r="L35" s="99"/>
    </row>
    <row r="36" spans="2:26" x14ac:dyDescent="0.25">
      <c r="B36" s="137">
        <v>3.1E-2</v>
      </c>
      <c r="C36" s="138" cm="1">
        <f t="array" ref="C36">ad(B36)</f>
        <v>9.1793243027809002E-3</v>
      </c>
      <c r="D36" s="7"/>
      <c r="E36" s="132"/>
      <c r="F36" s="133"/>
      <c r="G36" s="5"/>
      <c r="I36" s="5"/>
      <c r="J36" s="99"/>
      <c r="K36" s="99"/>
      <c r="L36" s="99"/>
    </row>
    <row r="37" spans="2:26" x14ac:dyDescent="0.25">
      <c r="B37" s="137">
        <v>3.2000000000000001E-2</v>
      </c>
      <c r="C37" s="138" cm="1">
        <f t="array" ref="C37">ad(B37)</f>
        <v>9.6240992766545297E-3</v>
      </c>
      <c r="D37" s="7"/>
      <c r="E37" s="132"/>
      <c r="F37" s="133"/>
      <c r="G37" s="5"/>
      <c r="O37" s="155"/>
      <c r="P37" s="155"/>
      <c r="Q37" s="155"/>
      <c r="R37" s="155"/>
    </row>
    <row r="38" spans="2:26" x14ac:dyDescent="0.25">
      <c r="B38" s="137">
        <v>3.3000000000000002E-2</v>
      </c>
      <c r="C38" s="138" cm="1">
        <f t="array" ref="C38">ad(B38)</f>
        <v>1.0075646011114825E-2</v>
      </c>
      <c r="D38" s="7"/>
      <c r="E38" s="132"/>
      <c r="F38" s="133"/>
      <c r="G38" s="7"/>
      <c r="M38" s="5"/>
      <c r="T38" s="155"/>
      <c r="U38" s="155"/>
      <c r="V38" s="155"/>
      <c r="W38" s="155"/>
    </row>
    <row r="39" spans="2:26" x14ac:dyDescent="0.25">
      <c r="B39" s="137">
        <v>3.4000000000000002E-2</v>
      </c>
      <c r="C39" s="138" cm="1">
        <f t="array" ref="C39">ad(B39)</f>
        <v>1.0533850280439461E-2</v>
      </c>
      <c r="D39" s="7"/>
      <c r="E39" s="132"/>
      <c r="F39" s="133"/>
      <c r="G39" s="7"/>
      <c r="M39" s="5"/>
      <c r="T39" s="104"/>
      <c r="U39" s="104"/>
      <c r="V39" s="104"/>
      <c r="W39" s="104"/>
    </row>
    <row r="40" spans="2:26" x14ac:dyDescent="0.25">
      <c r="B40" s="137">
        <v>3.5000000000000003E-2</v>
      </c>
      <c r="C40" s="138" cm="1">
        <f t="array" ref="C40">ad(B40)</f>
        <v>1.0998602768486965E-2</v>
      </c>
      <c r="D40" s="7"/>
      <c r="E40" s="132"/>
      <c r="F40" s="133"/>
      <c r="G40" s="7"/>
      <c r="M40" s="5"/>
    </row>
    <row r="41" spans="2:26" x14ac:dyDescent="0.25">
      <c r="B41" s="137">
        <v>3.5999999999999997E-2</v>
      </c>
      <c r="C41" s="138" cm="1">
        <f t="array" ref="C41">ad(B41)</f>
        <v>1.1469798717288315E-2</v>
      </c>
      <c r="D41" s="7"/>
      <c r="E41" s="132"/>
      <c r="F41" s="133"/>
      <c r="G41" s="7"/>
      <c r="M41" s="5"/>
    </row>
    <row r="42" spans="2:26" x14ac:dyDescent="0.25">
      <c r="B42" s="137">
        <v>3.6999999999999998E-2</v>
      </c>
      <c r="C42" s="138" cm="1">
        <f t="array" ref="C42">ad(B42)</f>
        <v>1.1947337609976738E-2</v>
      </c>
      <c r="D42" s="7"/>
      <c r="E42" s="132"/>
      <c r="F42" s="133"/>
      <c r="G42" s="7"/>
      <c r="M42" s="5"/>
      <c r="N42" s="5"/>
      <c r="S42" s="104"/>
      <c r="T42" s="104"/>
      <c r="Y42" s="105"/>
      <c r="Z42" s="105"/>
    </row>
    <row r="43" spans="2:26" x14ac:dyDescent="0.25">
      <c r="B43" s="137">
        <v>3.7999999999999999E-2</v>
      </c>
      <c r="C43" s="138" cm="1">
        <f t="array" ref="C43">ad(B43)</f>
        <v>1.2431122883854007E-2</v>
      </c>
      <c r="D43" s="7"/>
      <c r="E43" s="132"/>
      <c r="F43" s="133"/>
      <c r="G43" s="7"/>
      <c r="N43" s="117"/>
      <c r="O43" s="117"/>
      <c r="P43" s="117"/>
      <c r="S43" s="107"/>
      <c r="T43" s="108"/>
      <c r="U43" s="106"/>
      <c r="V43" s="106"/>
      <c r="X43" s="105"/>
      <c r="Y43" s="105"/>
      <c r="Z43" s="105"/>
    </row>
    <row r="44" spans="2:26" x14ac:dyDescent="0.25">
      <c r="B44" s="137">
        <v>3.9E-2</v>
      </c>
      <c r="C44" s="138" cm="1">
        <f t="array" ref="C44">ad(B44)</f>
        <v>1.2921061670000011E-2</v>
      </c>
      <c r="D44" s="7"/>
      <c r="E44" s="132"/>
      <c r="F44" s="133"/>
      <c r="G44" s="7"/>
      <c r="N44" s="134"/>
      <c r="O44" s="134"/>
      <c r="P44" s="117"/>
      <c r="S44" s="107"/>
      <c r="T44" s="108"/>
      <c r="U44" s="106"/>
      <c r="V44" s="106"/>
      <c r="X44" s="105"/>
      <c r="Y44" s="105"/>
      <c r="Z44" s="105"/>
    </row>
    <row r="45" spans="2:26" x14ac:dyDescent="0.25">
      <c r="B45" s="137">
        <v>0.04</v>
      </c>
      <c r="C45" s="138" cm="1">
        <f t="array" ref="C45">ad(B45)</f>
        <v>1.3417064556352776E-2</v>
      </c>
      <c r="D45" s="7"/>
      <c r="E45" s="132"/>
      <c r="F45" s="133"/>
      <c r="G45" s="7"/>
      <c r="Q45" s="109"/>
      <c r="S45" s="107"/>
      <c r="T45" s="108"/>
      <c r="U45" s="109"/>
      <c r="V45" s="109"/>
      <c r="X45" s="105"/>
      <c r="Y45" s="105"/>
      <c r="Z45" s="105"/>
    </row>
    <row r="46" spans="2:26" x14ac:dyDescent="0.25">
      <c r="B46" s="137">
        <v>4.1000000000000002E-2</v>
      </c>
      <c r="C46" s="138" cm="1">
        <f t="array" ref="C46">ad(B46)</f>
        <v>1.3919045371593941E-2</v>
      </c>
      <c r="D46" s="7"/>
      <c r="E46" s="132"/>
      <c r="F46" s="133"/>
      <c r="G46" s="7"/>
      <c r="M46" s="105"/>
      <c r="Q46" s="106"/>
      <c r="S46" s="107"/>
      <c r="T46" s="108"/>
      <c r="U46" s="106"/>
      <c r="V46" s="106"/>
      <c r="X46" s="105"/>
      <c r="Y46" s="105"/>
      <c r="Z46" s="105"/>
    </row>
    <row r="47" spans="2:26" x14ac:dyDescent="0.25">
      <c r="B47" s="137">
        <v>4.2000000000000003E-2</v>
      </c>
      <c r="C47" s="138" cm="1">
        <f t="array" ref="C47">ad(B47)</f>
        <v>1.4426920987555825E-2</v>
      </c>
      <c r="D47" s="7"/>
      <c r="E47" s="132"/>
      <c r="F47" s="133"/>
      <c r="G47" s="7"/>
      <c r="M47" s="105"/>
      <c r="Q47" s="106"/>
      <c r="S47" s="107"/>
      <c r="T47" s="108"/>
      <c r="U47" s="106"/>
      <c r="V47" s="106"/>
      <c r="X47" s="105"/>
      <c r="Y47" s="105"/>
      <c r="Z47" s="105"/>
    </row>
    <row r="48" spans="2:26" x14ac:dyDescent="0.25">
      <c r="B48" s="137">
        <v>4.2999999999999997E-2</v>
      </c>
      <c r="C48" s="138" cm="1">
        <f t="array" ref="C48">ad(B48)</f>
        <v>1.4940611138144266E-2</v>
      </c>
      <c r="D48" s="7"/>
      <c r="E48" s="132"/>
      <c r="F48" s="133"/>
      <c r="G48" s="7"/>
      <c r="M48" s="105"/>
      <c r="Z48" s="105"/>
    </row>
    <row r="49" spans="2:20" x14ac:dyDescent="0.25">
      <c r="B49" s="137">
        <v>4.3999999999999997E-2</v>
      </c>
      <c r="C49" s="138" cm="1">
        <f t="array" ref="C49">ad(B49)</f>
        <v>1.5460038253051811E-2</v>
      </c>
      <c r="D49" s="7"/>
      <c r="E49" s="132"/>
      <c r="F49" s="133"/>
      <c r="G49" s="7"/>
      <c r="M49" s="105"/>
    </row>
    <row r="50" spans="2:20" x14ac:dyDescent="0.25">
      <c r="B50" s="137">
        <v>4.4999999999999998E-2</v>
      </c>
      <c r="C50" s="138" cm="1">
        <f t="array" ref="C50">ad(B50)</f>
        <v>1.598512730473145E-2</v>
      </c>
      <c r="D50" s="7"/>
      <c r="E50" s="132"/>
      <c r="F50" s="133"/>
      <c r="G50" s="7"/>
      <c r="M50" s="105"/>
    </row>
    <row r="51" spans="2:20" x14ac:dyDescent="0.25">
      <c r="B51" s="137">
        <v>4.5999999999999999E-2</v>
      </c>
      <c r="C51" s="138" cm="1">
        <f t="array" ref="C51">ad(B51)</f>
        <v>1.6515805667308037E-2</v>
      </c>
      <c r="D51" s="7"/>
      <c r="E51" s="132"/>
      <c r="F51" s="133"/>
      <c r="G51" s="7"/>
    </row>
    <row r="52" spans="2:20" x14ac:dyDescent="0.25">
      <c r="B52" s="137">
        <v>4.7E-2</v>
      </c>
      <c r="C52" s="138" cm="1">
        <f t="array" ref="C52">ad(B52)</f>
        <v>1.705200298624765E-2</v>
      </c>
      <c r="D52" s="7"/>
      <c r="E52" s="132"/>
      <c r="F52" s="133"/>
      <c r="G52" s="7"/>
    </row>
    <row r="53" spans="2:20" x14ac:dyDescent="0.25">
      <c r="B53" s="137">
        <v>4.8000000000000001E-2</v>
      </c>
      <c r="C53" s="138" cm="1">
        <f t="array" ref="C53">ad(B53)</f>
        <v>1.759365105775601E-2</v>
      </c>
      <c r="D53" s="7"/>
      <c r="E53" s="132"/>
      <c r="F53" s="133"/>
      <c r="G53" s="7"/>
    </row>
    <row r="54" spans="2:20" x14ac:dyDescent="0.25">
      <c r="B54" s="137">
        <v>4.9000000000000002E-2</v>
      </c>
      <c r="C54" s="138" cm="1">
        <f t="array" ref="C54">ad(B54)</f>
        <v>1.8140683716986294E-2</v>
      </c>
      <c r="D54" s="7"/>
      <c r="E54" s="132"/>
      <c r="F54" s="133"/>
      <c r="G54" s="7"/>
    </row>
    <row r="55" spans="2:20" x14ac:dyDescent="0.25">
      <c r="B55" s="137">
        <v>0.05</v>
      </c>
      <c r="C55" s="138" cm="1">
        <f t="array" ref="C55">ad(B55)</f>
        <v>1.869303673424938E-2</v>
      </c>
      <c r="D55" s="7"/>
      <c r="E55" s="132"/>
      <c r="F55" s="133"/>
      <c r="G55" s="7"/>
    </row>
    <row r="56" spans="2:20" x14ac:dyDescent="0.25">
      <c r="B56" s="137">
        <v>5.0999999999999997E-2</v>
      </c>
      <c r="C56" s="138" cm="1">
        <f t="array" ref="C56">ad(B56)</f>
        <v>1.9250647718496827E-2</v>
      </c>
      <c r="D56" s="7"/>
      <c r="E56" s="132"/>
      <c r="F56" s="133"/>
      <c r="G56" s="7"/>
      <c r="H56" s="28"/>
      <c r="I56" s="28"/>
      <c r="J56" s="28"/>
      <c r="K56" s="28"/>
      <c r="S56" s="104"/>
      <c r="T56" s="104"/>
    </row>
    <row r="57" spans="2:20" x14ac:dyDescent="0.25">
      <c r="B57" s="137">
        <v>5.1999999999999998E-2</v>
      </c>
      <c r="C57" s="138" cm="1">
        <f t="array" ref="C57">ad(B57)</f>
        <v>1.9813456027441445E-2</v>
      </c>
      <c r="D57" s="7"/>
      <c r="E57" s="132"/>
      <c r="F57" s="133"/>
      <c r="G57" s="7"/>
      <c r="H57" s="28"/>
      <c r="I57" s="28"/>
      <c r="J57" s="28"/>
      <c r="K57" s="28"/>
      <c r="O57" s="105"/>
      <c r="P57" s="105"/>
      <c r="Q57" s="110"/>
      <c r="S57" s="107"/>
      <c r="T57" s="108"/>
    </row>
    <row r="58" spans="2:20" x14ac:dyDescent="0.25">
      <c r="B58" s="137">
        <v>5.2999999999999999E-2</v>
      </c>
      <c r="C58" s="138" cm="1">
        <f t="array" ref="C58">ad(B58)</f>
        <v>2.0381402683729954E-2</v>
      </c>
      <c r="D58" s="7"/>
      <c r="E58" s="132"/>
      <c r="F58" s="133"/>
      <c r="G58" s="7"/>
      <c r="H58" s="28"/>
      <c r="I58" s="28"/>
      <c r="J58" s="28"/>
      <c r="K58" s="28"/>
      <c r="O58" s="105"/>
      <c r="P58" s="105"/>
      <c r="Q58" s="110"/>
      <c r="S58" s="107"/>
      <c r="T58" s="108"/>
    </row>
    <row r="59" spans="2:20" x14ac:dyDescent="0.25">
      <c r="B59" s="137">
        <v>5.3999999999999999E-2</v>
      </c>
      <c r="C59" s="138" cm="1">
        <f t="array" ref="C59">ad(B59)</f>
        <v>2.0954430296661608E-2</v>
      </c>
      <c r="D59" s="7"/>
      <c r="E59" s="132"/>
      <c r="F59" s="133"/>
      <c r="G59" s="7"/>
      <c r="H59" s="28"/>
      <c r="I59" s="28"/>
      <c r="J59" s="28"/>
      <c r="K59" s="28"/>
      <c r="O59" s="105"/>
      <c r="P59" s="105"/>
      <c r="Q59" s="110"/>
      <c r="S59" s="107"/>
      <c r="T59" s="108"/>
    </row>
    <row r="60" spans="2:20" x14ac:dyDescent="0.25">
      <c r="B60" s="137">
        <v>5.5E-2</v>
      </c>
      <c r="C60" s="138" cm="1">
        <f t="array" ref="C60">ad(B60)</f>
        <v>2.1532482988980806E-2</v>
      </c>
      <c r="D60" s="7"/>
      <c r="E60" s="132"/>
      <c r="F60" s="133"/>
      <c r="G60" s="7"/>
      <c r="H60" s="28"/>
      <c r="I60" s="28"/>
      <c r="J60" s="28"/>
      <c r="K60" s="28"/>
      <c r="O60" s="105"/>
      <c r="P60" s="105"/>
      <c r="Q60" s="110"/>
      <c r="S60" s="107"/>
      <c r="T60" s="108"/>
    </row>
    <row r="61" spans="2:20" x14ac:dyDescent="0.25">
      <c r="B61" s="137">
        <v>5.6000000000000001E-2</v>
      </c>
      <c r="C61" s="138" cm="1">
        <f t="array" ref="C61">ad(B61)</f>
        <v>2.2115506328334922E-2</v>
      </c>
      <c r="D61" s="7"/>
      <c r="E61" s="132"/>
      <c r="F61" s="133"/>
      <c r="G61" s="7"/>
      <c r="H61" s="28"/>
      <c r="I61" s="28"/>
      <c r="J61" s="28"/>
      <c r="K61" s="28"/>
      <c r="O61" s="105"/>
      <c r="P61" s="105"/>
      <c r="Q61" s="110"/>
      <c r="S61" s="107"/>
      <c r="T61" s="108"/>
    </row>
    <row r="62" spans="2:20" x14ac:dyDescent="0.25">
      <c r="B62" s="137">
        <v>5.7000000000000002E-2</v>
      </c>
      <c r="C62" s="138" cm="1">
        <f t="array" ref="C62">ad(B62)</f>
        <v>2.2703447263014986E-2</v>
      </c>
      <c r="D62" s="7"/>
      <c r="E62" s="132"/>
      <c r="F62" s="133"/>
      <c r="G62" s="7"/>
      <c r="H62" s="28"/>
      <c r="I62" s="28"/>
      <c r="J62" s="28"/>
      <c r="K62" s="28"/>
    </row>
    <row r="63" spans="2:20" x14ac:dyDescent="0.25">
      <c r="B63" s="137">
        <v>5.8000000000000003E-2</v>
      </c>
      <c r="C63" s="138" cm="1">
        <f t="array" ref="C63">ad(B63)</f>
        <v>2.3296254061646038E-2</v>
      </c>
      <c r="D63" s="7"/>
      <c r="E63" s="132"/>
      <c r="F63" s="133"/>
      <c r="G63" s="7"/>
      <c r="H63" s="28"/>
      <c r="I63" s="28"/>
      <c r="J63" s="28"/>
      <c r="K63" s="28"/>
    </row>
    <row r="64" spans="2:20" x14ac:dyDescent="0.25">
      <c r="B64" s="137">
        <v>5.8999999999999997E-2</v>
      </c>
      <c r="C64" s="138" cm="1">
        <f t="array" ref="C64">ad(B64)</f>
        <v>2.3893876256515012E-2</v>
      </c>
      <c r="D64" s="7"/>
      <c r="E64" s="132"/>
      <c r="F64" s="133"/>
      <c r="G64" s="7"/>
      <c r="H64" s="28"/>
      <c r="I64" s="28"/>
      <c r="J64" s="28"/>
      <c r="K64" s="28"/>
    </row>
    <row r="65" spans="2:11" x14ac:dyDescent="0.25">
      <c r="B65" s="137">
        <v>0.06</v>
      </c>
      <c r="C65" s="138" cm="1">
        <f t="array" ref="C65">ad(B65)</f>
        <v>2.4496264590262662E-2</v>
      </c>
      <c r="D65" s="7"/>
      <c r="E65" s="132"/>
      <c r="F65" s="133"/>
      <c r="G65" s="7"/>
      <c r="H65" s="28"/>
      <c r="I65" s="28"/>
      <c r="J65" s="28"/>
      <c r="K65" s="28"/>
    </row>
    <row r="66" spans="2:11" x14ac:dyDescent="0.25">
      <c r="B66" s="137">
        <v>6.0999999999999999E-2</v>
      </c>
      <c r="C66" s="138" cm="1">
        <f t="array" ref="C66">ad(B66)</f>
        <v>2.5103370965682215E-2</v>
      </c>
      <c r="D66" s="7"/>
      <c r="E66" s="132"/>
      <c r="F66" s="133"/>
      <c r="G66" s="7"/>
      <c r="H66" s="28"/>
      <c r="I66" s="28"/>
      <c r="J66" s="28"/>
      <c r="K66" s="28"/>
    </row>
    <row r="67" spans="2:11" x14ac:dyDescent="0.25">
      <c r="B67" s="137">
        <v>6.2E-2</v>
      </c>
      <c r="C67" s="138" cm="1">
        <f t="array" ref="C67">ad(B67)</f>
        <v>2.5715148398400278E-2</v>
      </c>
      <c r="D67" s="7"/>
      <c r="E67" s="132"/>
      <c r="F67" s="133"/>
      <c r="G67" s="7"/>
      <c r="H67" s="28"/>
      <c r="I67" s="28"/>
      <c r="J67" s="28"/>
      <c r="K67" s="28"/>
    </row>
    <row r="68" spans="2:11" x14ac:dyDescent="0.25">
      <c r="B68" s="137">
        <v>6.3E-2</v>
      </c>
      <c r="C68" s="138" cm="1">
        <f t="array" ref="C68">ad(B68)</f>
        <v>2.6331550972224171E-2</v>
      </c>
      <c r="D68" s="7"/>
      <c r="E68" s="132"/>
      <c r="F68" s="133"/>
      <c r="G68" s="7"/>
      <c r="H68" s="28"/>
      <c r="I68" s="28"/>
      <c r="J68" s="28"/>
      <c r="K68" s="28"/>
    </row>
    <row r="69" spans="2:11" x14ac:dyDescent="0.25">
      <c r="B69" s="137">
        <v>6.4000000000000001E-2</v>
      </c>
      <c r="C69" s="138" cm="1">
        <f t="array" ref="C69">ad(B69)</f>
        <v>2.6952533796972156E-2</v>
      </c>
      <c r="D69" s="7"/>
      <c r="E69" s="132"/>
      <c r="F69" s="133"/>
      <c r="G69" s="7"/>
      <c r="H69" s="28"/>
      <c r="I69" s="28"/>
      <c r="J69" s="28"/>
      <c r="K69" s="28"/>
    </row>
    <row r="70" spans="2:11" x14ac:dyDescent="0.25">
      <c r="B70" s="137">
        <v>6.5000000000000002E-2</v>
      </c>
      <c r="C70" s="138" cm="1">
        <f t="array" ref="C70">ad(B70)</f>
        <v>2.7578052968604383E-2</v>
      </c>
      <c r="D70" s="7"/>
      <c r="E70" s="132"/>
      <c r="F70" s="133"/>
      <c r="G70" s="7"/>
      <c r="H70" s="28"/>
      <c r="I70" s="28"/>
      <c r="J70" s="28"/>
      <c r="K70" s="28"/>
    </row>
    <row r="71" spans="2:11" x14ac:dyDescent="0.25">
      <c r="B71" s="137">
        <v>6.6000000000000003E-2</v>
      </c>
      <c r="C71" s="138" cm="1">
        <f t="array" ref="C71">ad(B71)</f>
        <v>2.8208065531501569E-2</v>
      </c>
      <c r="D71" s="7"/>
      <c r="E71" s="132"/>
      <c r="F71" s="133"/>
      <c r="G71" s="7"/>
      <c r="H71" s="28"/>
      <c r="I71" s="28"/>
      <c r="J71" s="28"/>
      <c r="K71" s="28"/>
    </row>
    <row r="72" spans="2:11" x14ac:dyDescent="0.25">
      <c r="B72" s="137">
        <v>6.7000000000000004E-2</v>
      </c>
      <c r="C72" s="138" cm="1">
        <f t="array" ref="C72">ad(B72)</f>
        <v>2.8842529442739351E-2</v>
      </c>
      <c r="D72" s="7"/>
      <c r="E72" s="132"/>
      <c r="F72" s="133"/>
      <c r="G72" s="7"/>
      <c r="H72" s="28"/>
      <c r="I72" s="28"/>
      <c r="J72" s="28"/>
      <c r="K72" s="28"/>
    </row>
    <row r="73" spans="2:11" x14ac:dyDescent="0.25">
      <c r="B73" s="137">
        <v>6.8000000000000005E-2</v>
      </c>
      <c r="C73" s="138" cm="1">
        <f t="array" ref="C73">ad(B73)</f>
        <v>2.9481403538228812E-2</v>
      </c>
      <c r="D73" s="7"/>
      <c r="E73" s="132"/>
      <c r="F73" s="133"/>
      <c r="G73" s="7"/>
      <c r="H73" s="28"/>
      <c r="I73" s="28"/>
      <c r="J73" s="28"/>
      <c r="K73" s="28"/>
    </row>
    <row r="74" spans="2:11" x14ac:dyDescent="0.25">
      <c r="B74" s="137">
        <v>6.9000000000000006E-2</v>
      </c>
      <c r="C74" s="138" cm="1">
        <f t="array" ref="C74">ad(B74)</f>
        <v>3.0124647500595125E-2</v>
      </c>
      <c r="D74" s="7"/>
      <c r="E74" s="132"/>
      <c r="F74" s="133"/>
      <c r="G74" s="7"/>
      <c r="H74" s="28"/>
      <c r="I74" s="28"/>
      <c r="J74" s="28"/>
      <c r="K74" s="28"/>
    </row>
    <row r="75" spans="2:11" x14ac:dyDescent="0.25">
      <c r="B75" s="137">
        <v>7.0000000000000007E-2</v>
      </c>
      <c r="C75" s="138" cm="1">
        <f t="array" ref="C75">ad(B75)</f>
        <v>3.0772221828685609E-2</v>
      </c>
      <c r="D75" s="7"/>
      <c r="E75" s="132"/>
      <c r="F75" s="133"/>
      <c r="G75" s="7"/>
      <c r="H75" s="28"/>
      <c r="I75" s="28"/>
      <c r="J75" s="28"/>
      <c r="K75" s="28"/>
    </row>
    <row r="76" spans="2:11" x14ac:dyDescent="0.25">
      <c r="B76" s="137">
        <v>7.0999999999999994E-2</v>
      </c>
      <c r="C76" s="138" cm="1">
        <f t="array" ref="C76">ad(B76)</f>
        <v>3.1424087808596846E-2</v>
      </c>
      <c r="D76" s="7"/>
      <c r="E76" s="132"/>
      <c r="F76" s="133"/>
      <c r="G76" s="7"/>
      <c r="H76" s="28"/>
      <c r="I76" s="28"/>
      <c r="J76" s="28"/>
      <c r="K76" s="28"/>
    </row>
    <row r="77" spans="2:11" x14ac:dyDescent="0.25">
      <c r="B77" s="137">
        <v>7.1999999999999995E-2</v>
      </c>
      <c r="C77" s="138" cm="1">
        <f t="array" ref="C77">ad(B77)</f>
        <v>3.2080207486130274E-2</v>
      </c>
      <c r="D77" s="7"/>
      <c r="E77" s="132"/>
      <c r="F77" s="133"/>
      <c r="G77" s="7"/>
      <c r="H77" s="28"/>
      <c r="I77" s="28"/>
      <c r="J77" s="28"/>
      <c r="K77" s="28"/>
    </row>
    <row r="78" spans="2:11" x14ac:dyDescent="0.25">
      <c r="B78" s="137">
        <v>7.2999999999999995E-2</v>
      </c>
      <c r="C78" s="138" cm="1">
        <f t="array" ref="C78">ad(B78)</f>
        <v>3.2740543640581932E-2</v>
      </c>
      <c r="D78" s="7"/>
      <c r="E78" s="132"/>
      <c r="F78" s="133"/>
      <c r="G78" s="7"/>
      <c r="H78" s="28"/>
      <c r="I78" s="28"/>
      <c r="J78" s="28"/>
      <c r="K78" s="28"/>
    </row>
    <row r="79" spans="2:11" x14ac:dyDescent="0.25">
      <c r="B79" s="137">
        <v>7.3999999999999996E-2</v>
      </c>
      <c r="C79" s="138" cm="1">
        <f t="array" ref="C79">ad(B79)</f>
        <v>3.3405059759788247E-2</v>
      </c>
      <c r="D79" s="7"/>
      <c r="E79" s="132"/>
      <c r="F79" s="133"/>
      <c r="G79" s="7"/>
      <c r="H79" s="28"/>
      <c r="I79" s="28"/>
      <c r="J79" s="28"/>
      <c r="K79" s="28"/>
    </row>
    <row r="80" spans="2:11" x14ac:dyDescent="0.25">
      <c r="B80" s="137">
        <v>7.4999999999999997E-2</v>
      </c>
      <c r="C80" s="138" cm="1">
        <f t="array" ref="C80">ad(B80)</f>
        <v>3.4073720016346565E-2</v>
      </c>
      <c r="D80" s="7"/>
      <c r="E80" s="132"/>
      <c r="F80" s="133"/>
      <c r="G80" s="7"/>
      <c r="H80" s="28"/>
      <c r="I80" s="28"/>
      <c r="J80" s="28"/>
      <c r="K80" s="28"/>
    </row>
    <row r="81" spans="2:11" x14ac:dyDescent="0.25">
      <c r="B81" s="137">
        <v>7.5999999999999998E-2</v>
      </c>
      <c r="C81" s="138" cm="1">
        <f t="array" ref="C81">ad(B81)</f>
        <v>3.4746489244947165E-2</v>
      </c>
      <c r="D81" s="7"/>
      <c r="E81" s="132"/>
      <c r="F81" s="133"/>
      <c r="G81" s="7"/>
      <c r="H81" s="28"/>
      <c r="I81" s="28"/>
      <c r="J81" s="28"/>
      <c r="K81" s="28"/>
    </row>
    <row r="82" spans="2:11" x14ac:dyDescent="0.25">
      <c r="B82" s="137">
        <v>7.6999999999999999E-2</v>
      </c>
      <c r="C82" s="138" cm="1">
        <f t="array" ref="C82">ad(B82)</f>
        <v>3.542333292074118E-2</v>
      </c>
      <c r="D82" s="7"/>
      <c r="E82" s="132"/>
      <c r="F82" s="133"/>
      <c r="G82" s="7"/>
      <c r="H82" s="28"/>
      <c r="I82" s="28"/>
      <c r="J82" s="28"/>
      <c r="K82" s="28"/>
    </row>
    <row r="83" spans="2:11" x14ac:dyDescent="0.25">
      <c r="B83" s="137">
        <v>7.8E-2</v>
      </c>
      <c r="C83" s="138" cm="1">
        <f t="array" ref="C83">ad(B83)</f>
        <v>3.6104217138694605E-2</v>
      </c>
      <c r="D83" s="7"/>
      <c r="E83" s="132"/>
      <c r="F83" s="133"/>
      <c r="G83" s="7"/>
      <c r="H83" s="28"/>
      <c r="I83" s="28"/>
      <c r="J83" s="28"/>
      <c r="K83" s="28"/>
    </row>
    <row r="84" spans="2:11" x14ac:dyDescent="0.25">
      <c r="B84" s="137">
        <v>7.9000000000000001E-2</v>
      </c>
      <c r="C84" s="138" cm="1">
        <f t="array" ref="C84">ad(B84)</f>
        <v>3.6789108593861641E-2</v>
      </c>
      <c r="D84" s="7"/>
      <c r="E84" s="132"/>
      <c r="F84" s="133"/>
      <c r="G84" s="7"/>
      <c r="H84" s="28"/>
      <c r="I84" s="28"/>
      <c r="J84" s="28"/>
      <c r="K84" s="28"/>
    </row>
    <row r="85" spans="2:11" x14ac:dyDescent="0.25">
      <c r="B85" s="137">
        <v>0.08</v>
      </c>
      <c r="C85" s="138" cm="1">
        <f t="array" ref="C85">ad(B85)</f>
        <v>3.7477974562533045E-2</v>
      </c>
      <c r="D85" s="7"/>
      <c r="E85" s="132"/>
      <c r="F85" s="133"/>
      <c r="G85" s="7"/>
      <c r="H85" s="28"/>
      <c r="I85" s="28"/>
      <c r="J85" s="28"/>
      <c r="K85" s="28"/>
    </row>
    <row r="86" spans="2:11" x14ac:dyDescent="0.25">
      <c r="B86" s="137">
        <v>8.1000000000000003E-2</v>
      </c>
      <c r="C86" s="138" cm="1">
        <f t="array" ref="C86">ad(B86)</f>
        <v>3.8170782884203613E-2</v>
      </c>
      <c r="D86" s="7"/>
      <c r="E86" s="132"/>
      <c r="F86" s="133"/>
      <c r="G86" s="7"/>
      <c r="H86" s="28"/>
      <c r="I86" s="28"/>
      <c r="J86" s="28"/>
      <c r="K86" s="28"/>
    </row>
    <row r="87" spans="2:11" x14ac:dyDescent="0.25">
      <c r="B87" s="137">
        <v>8.2000000000000003E-2</v>
      </c>
      <c r="C87" s="138" cm="1">
        <f t="array" ref="C87">ad(B87)</f>
        <v>3.8867501944319982E-2</v>
      </c>
      <c r="D87" s="7"/>
      <c r="E87" s="132"/>
      <c r="F87" s="133"/>
      <c r="G87" s="7"/>
      <c r="H87" s="28"/>
      <c r="I87" s="28"/>
      <c r="J87" s="28"/>
      <c r="K87" s="28"/>
    </row>
    <row r="88" spans="2:11" x14ac:dyDescent="0.25">
      <c r="B88" s="137">
        <v>8.3000000000000004E-2</v>
      </c>
      <c r="C88" s="138" cm="1">
        <f t="array" ref="C88">ad(B88)</f>
        <v>3.9568100657757843E-2</v>
      </c>
      <c r="D88" s="7"/>
      <c r="E88" s="132"/>
      <c r="F88" s="133"/>
      <c r="G88" s="7"/>
      <c r="H88" s="28"/>
      <c r="I88" s="28"/>
      <c r="J88" s="28"/>
      <c r="K88" s="28"/>
    </row>
    <row r="89" spans="2:11" x14ac:dyDescent="0.25">
      <c r="B89" s="137">
        <v>8.4000000000000005E-2</v>
      </c>
      <c r="C89" s="138" cm="1">
        <f t="array" ref="C89">ad(B89)</f>
        <v>4.027254845299888E-2</v>
      </c>
      <c r="D89" s="7"/>
      <c r="E89" s="132"/>
      <c r="F89" s="133"/>
      <c r="G89" s="7"/>
      <c r="H89" s="28"/>
      <c r="I89" s="28"/>
      <c r="J89" s="28"/>
      <c r="K89" s="28"/>
    </row>
    <row r="90" spans="2:11" x14ac:dyDescent="0.25">
      <c r="B90" s="137">
        <v>8.5000000000000006E-2</v>
      </c>
      <c r="C90" s="138" cm="1">
        <f t="array" ref="C90">ad(B90)</f>
        <v>4.0980815256959291E-2</v>
      </c>
      <c r="D90" s="7"/>
      <c r="E90" s="132"/>
      <c r="F90" s="133"/>
      <c r="G90" s="7"/>
      <c r="H90" s="28"/>
      <c r="I90" s="28"/>
      <c r="J90" s="28"/>
      <c r="K90" s="28"/>
    </row>
    <row r="91" spans="2:11" x14ac:dyDescent="0.25">
      <c r="B91" s="137">
        <v>8.5999999999999993E-2</v>
      </c>
      <c r="C91" s="138" cm="1">
        <f t="array" ref="C91">ad(B91)</f>
        <v>4.1692871480445426E-2</v>
      </c>
      <c r="D91" s="7"/>
      <c r="E91" s="132"/>
      <c r="F91" s="133"/>
      <c r="G91" s="7"/>
      <c r="H91" s="28"/>
      <c r="I91" s="28"/>
      <c r="J91" s="28"/>
      <c r="K91" s="28"/>
    </row>
    <row r="92" spans="2:11" x14ac:dyDescent="0.25">
      <c r="B92" s="137">
        <v>8.6999999999999994E-2</v>
      </c>
      <c r="C92" s="138" cm="1">
        <f t="array" ref="C92">ad(B92)</f>
        <v>4.2408688004195783E-2</v>
      </c>
      <c r="D92" s="7"/>
      <c r="E92" s="132"/>
      <c r="F92" s="133"/>
      <c r="G92" s="7"/>
      <c r="H92" s="28"/>
      <c r="I92" s="28"/>
      <c r="J92" s="28"/>
      <c r="K92" s="28"/>
    </row>
    <row r="93" spans="2:11" x14ac:dyDescent="0.25">
      <c r="B93" s="137">
        <v>8.7999999999999995E-2</v>
      </c>
      <c r="C93" s="138" cm="1">
        <f t="array" ref="C93">ad(B93)</f>
        <v>4.3128236165484113E-2</v>
      </c>
      <c r="D93" s="7"/>
      <c r="E93" s="132"/>
      <c r="F93" s="133"/>
      <c r="G93" s="7"/>
      <c r="H93" s="28"/>
      <c r="I93" s="28"/>
      <c r="J93" s="28"/>
      <c r="K93" s="28"/>
    </row>
    <row r="94" spans="2:11" x14ac:dyDescent="0.25">
      <c r="B94" s="137">
        <v>8.8999999999999996E-2</v>
      </c>
      <c r="C94" s="138" cm="1">
        <f t="array" ref="C94">ad(B94)</f>
        <v>4.3851487745252493E-2</v>
      </c>
      <c r="D94" s="7"/>
      <c r="E94" s="132"/>
      <c r="F94" s="133"/>
      <c r="G94" s="7"/>
      <c r="H94" s="28"/>
      <c r="I94" s="28"/>
      <c r="J94" s="28"/>
      <c r="K94" s="28"/>
    </row>
    <row r="95" spans="2:11" x14ac:dyDescent="0.25">
      <c r="B95" s="137">
        <v>0.09</v>
      </c>
      <c r="C95" s="138" cm="1">
        <f t="array" ref="C95">ad(B95)</f>
        <v>4.4578414955748658E-2</v>
      </c>
      <c r="D95" s="7"/>
      <c r="E95" s="132"/>
      <c r="F95" s="133"/>
      <c r="G95" s="7"/>
      <c r="H95" s="28"/>
      <c r="I95" s="28"/>
      <c r="J95" s="28"/>
      <c r="K95" s="28"/>
    </row>
    <row r="96" spans="2:11" x14ac:dyDescent="0.25">
      <c r="B96" s="137">
        <v>9.0999999999999998E-2</v>
      </c>
      <c r="C96" s="138" cm="1">
        <f t="array" ref="C96">ad(B96)</f>
        <v>4.5308990428642171E-2</v>
      </c>
      <c r="D96" s="7"/>
      <c r="E96" s="132"/>
      <c r="F96" s="133"/>
      <c r="G96" s="7"/>
      <c r="H96" s="28"/>
      <c r="I96" s="28"/>
      <c r="J96" s="28"/>
      <c r="K96" s="28"/>
    </row>
    <row r="97" spans="2:11" x14ac:dyDescent="0.25">
      <c r="B97" s="137">
        <v>9.1999999999999998E-2</v>
      </c>
      <c r="C97" s="138" cm="1">
        <f t="array" ref="C97">ad(B97)</f>
        <v>4.604318720359446E-2</v>
      </c>
      <c r="D97" s="7"/>
      <c r="E97" s="132"/>
      <c r="F97" s="133"/>
      <c r="G97" s="7"/>
      <c r="H97" s="28"/>
      <c r="I97" s="28"/>
      <c r="J97" s="28"/>
      <c r="K97" s="28"/>
    </row>
    <row r="98" spans="2:11" x14ac:dyDescent="0.25">
      <c r="B98" s="137">
        <v>9.2999999999999999E-2</v>
      </c>
      <c r="C98" s="138" cm="1">
        <f t="array" ref="C98">ad(B98)</f>
        <v>4.6780978717264221E-2</v>
      </c>
      <c r="D98" s="7"/>
      <c r="E98" s="132"/>
      <c r="F98" s="133"/>
      <c r="G98" s="7"/>
      <c r="H98" s="28"/>
      <c r="I98" s="28"/>
      <c r="J98" s="28"/>
      <c r="K98" s="28"/>
    </row>
    <row r="99" spans="2:11" x14ac:dyDescent="0.25">
      <c r="B99" s="137">
        <v>9.4E-2</v>
      </c>
      <c r="C99" s="138" cm="1">
        <f t="array" ref="C99">ad(B99)</f>
        <v>4.7522338792721608E-2</v>
      </c>
      <c r="D99" s="7"/>
      <c r="E99" s="132"/>
      <c r="F99" s="133"/>
      <c r="G99" s="7"/>
      <c r="H99" s="28"/>
      <c r="I99" s="28"/>
      <c r="J99" s="28"/>
      <c r="K99" s="28"/>
    </row>
    <row r="100" spans="2:11" x14ac:dyDescent="0.25">
      <c r="B100" s="137">
        <v>9.5000000000000001E-2</v>
      </c>
      <c r="C100" s="138" cm="1">
        <f t="array" ref="C100">ad(B100)</f>
        <v>4.8267241629257274E-2</v>
      </c>
      <c r="D100" s="7"/>
      <c r="E100" s="132"/>
      <c r="F100" s="133"/>
      <c r="G100" s="7"/>
      <c r="H100" s="28"/>
      <c r="I100" s="28"/>
      <c r="J100" s="28"/>
      <c r="K100" s="28"/>
    </row>
    <row r="101" spans="2:11" x14ac:dyDescent="0.25">
      <c r="B101" s="137">
        <v>9.6000000000000002E-2</v>
      </c>
      <c r="C101" s="138" cm="1">
        <f t="array" ref="C101">ad(B101)</f>
        <v>4.901566179256367E-2</v>
      </c>
      <c r="D101" s="7"/>
      <c r="E101" s="132"/>
      <c r="F101" s="133"/>
      <c r="G101" s="7"/>
      <c r="H101" s="28"/>
      <c r="I101" s="28"/>
      <c r="J101" s="28"/>
      <c r="K101" s="28"/>
    </row>
    <row r="102" spans="2:11" x14ac:dyDescent="0.25">
      <c r="B102" s="137">
        <v>9.7000000000000003E-2</v>
      </c>
      <c r="C102" s="138" cm="1">
        <f t="array" ref="C102">ad(B102)</f>
        <v>4.9767574205272946E-2</v>
      </c>
      <c r="D102" s="7"/>
      <c r="E102" s="132"/>
      <c r="F102" s="133"/>
      <c r="G102" s="7"/>
      <c r="H102" s="28"/>
      <c r="I102" s="28"/>
      <c r="J102" s="28"/>
      <c r="K102" s="28"/>
    </row>
    <row r="103" spans="2:11" x14ac:dyDescent="0.25">
      <c r="B103" s="137">
        <v>9.8000000000000004E-2</v>
      </c>
      <c r="C103" s="138" cm="1">
        <f t="array" ref="C103">ad(B103)</f>
        <v>5.0522954137834031E-2</v>
      </c>
      <c r="D103" s="7"/>
      <c r="E103" s="132"/>
      <c r="F103" s="133"/>
      <c r="G103" s="7"/>
      <c r="H103" s="28"/>
      <c r="I103" s="28"/>
      <c r="J103" s="28"/>
      <c r="K103" s="28"/>
    </row>
    <row r="104" spans="2:11" x14ac:dyDescent="0.25">
      <c r="B104" s="137">
        <v>9.9000000000000005E-2</v>
      </c>
      <c r="C104" s="138" cm="1">
        <f t="array" ref="C104">ad(B104)</f>
        <v>5.1281777199715106E-2</v>
      </c>
      <c r="D104" s="7"/>
      <c r="E104" s="132"/>
      <c r="F104" s="133"/>
      <c r="G104" s="7"/>
      <c r="H104" s="28"/>
      <c r="I104" s="28"/>
      <c r="J104" s="28"/>
      <c r="K104" s="28"/>
    </row>
    <row r="105" spans="2:11" x14ac:dyDescent="0.25">
      <c r="B105" s="137">
        <v>0.1</v>
      </c>
      <c r="C105" s="138" cm="1">
        <f t="array" ref="C105">ad(B105)</f>
        <v>5.2044019330913904E-2</v>
      </c>
      <c r="D105" s="7"/>
      <c r="E105" s="132"/>
      <c r="F105" s="133"/>
      <c r="G105" s="7"/>
      <c r="H105" s="28"/>
      <c r="I105" s="28"/>
      <c r="J105" s="28"/>
      <c r="K105" s="28"/>
    </row>
    <row r="106" spans="2:11" x14ac:dyDescent="0.25">
      <c r="B106" s="137">
        <v>0.10100000000000001</v>
      </c>
      <c r="C106" s="138" cm="1">
        <f t="array" ref="C106">ad(B106)</f>
        <v>5.280965679376437E-2</v>
      </c>
      <c r="D106" s="7"/>
      <c r="E106" s="27"/>
      <c r="F106" s="27"/>
      <c r="G106" s="7"/>
      <c r="H106" s="28"/>
      <c r="I106" s="28"/>
      <c r="J106" s="28"/>
      <c r="K106" s="28"/>
    </row>
    <row r="107" spans="2:11" x14ac:dyDescent="0.25">
      <c r="B107" s="137">
        <v>0.10199999999999999</v>
      </c>
      <c r="C107" s="138" cm="1">
        <f t="array" ref="C107">ad(B107)</f>
        <v>5.3578666165025712E-2</v>
      </c>
      <c r="D107" s="7"/>
      <c r="E107" s="27"/>
      <c r="F107" s="27"/>
      <c r="G107" s="7"/>
      <c r="H107" s="28"/>
      <c r="I107" s="28"/>
      <c r="J107" s="28"/>
      <c r="K107" s="28"/>
    </row>
    <row r="108" spans="2:11" x14ac:dyDescent="0.25">
      <c r="B108" s="137">
        <v>0.10299999999999999</v>
      </c>
      <c r="C108" s="138" cm="1">
        <f t="array" ref="C108">ad(B108)</f>
        <v>5.4351024328240904E-2</v>
      </c>
      <c r="D108" s="7"/>
      <c r="E108" s="27"/>
      <c r="F108" s="27"/>
      <c r="G108" s="7"/>
      <c r="H108" s="28"/>
      <c r="I108" s="28"/>
      <c r="J108" s="28"/>
      <c r="K108" s="28"/>
    </row>
    <row r="109" spans="2:11" x14ac:dyDescent="0.25">
      <c r="B109" s="137">
        <v>0.104</v>
      </c>
      <c r="C109" s="138" cm="1">
        <f t="array" ref="C109">ad(B109)</f>
        <v>5.5126708466353536E-2</v>
      </c>
      <c r="D109" s="7"/>
      <c r="E109" s="27"/>
      <c r="F109" s="27"/>
      <c r="G109" s="7"/>
      <c r="H109" s="28"/>
      <c r="I109" s="28"/>
      <c r="J109" s="28"/>
      <c r="K109" s="28"/>
    </row>
    <row r="110" spans="2:11" x14ac:dyDescent="0.25">
      <c r="B110" s="137">
        <v>0.105</v>
      </c>
      <c r="C110" s="138" cm="1">
        <f t="array" ref="C110">ad(B110)</f>
        <v>5.5905696054572074E-2</v>
      </c>
      <c r="D110" s="7"/>
      <c r="E110" s="27"/>
      <c r="F110" s="27"/>
      <c r="G110" s="7"/>
      <c r="H110" s="28"/>
      <c r="I110" s="28"/>
      <c r="J110" s="28"/>
      <c r="K110" s="28"/>
    </row>
    <row r="111" spans="2:11" x14ac:dyDescent="0.25">
      <c r="B111" s="137">
        <v>0.106</v>
      </c>
      <c r="C111" s="138" cm="1">
        <f t="array" ref="C111">ad(B111)</f>
        <v>5.6687964853469663E-2</v>
      </c>
      <c r="D111" s="7"/>
      <c r="E111" s="27"/>
      <c r="F111" s="27"/>
      <c r="G111" s="7"/>
      <c r="H111" s="28"/>
      <c r="I111" s="28"/>
      <c r="J111" s="28"/>
      <c r="K111" s="28"/>
    </row>
    <row r="112" spans="2:11" x14ac:dyDescent="0.25">
      <c r="B112" s="137">
        <v>0.107</v>
      </c>
      <c r="C112" s="138" cm="1">
        <f t="array" ref="C112">ad(B112)</f>
        <v>5.7473492902311241E-2</v>
      </c>
      <c r="D112" s="7"/>
      <c r="E112" s="27"/>
      <c r="F112" s="27"/>
      <c r="G112" s="7"/>
      <c r="H112" s="28"/>
      <c r="I112" s="28"/>
      <c r="J112" s="28"/>
      <c r="K112" s="28"/>
    </row>
    <row r="113" spans="2:11" x14ac:dyDescent="0.25">
      <c r="B113" s="137">
        <v>0.108</v>
      </c>
      <c r="C113" s="138" cm="1">
        <f t="array" ref="C113">ad(B113)</f>
        <v>5.8262258512597032E-2</v>
      </c>
      <c r="D113" s="7"/>
      <c r="E113" s="27"/>
      <c r="F113" s="27"/>
      <c r="G113" s="7"/>
      <c r="H113" s="28"/>
      <c r="I113" s="28"/>
      <c r="J113" s="28"/>
      <c r="K113" s="28"/>
    </row>
    <row r="114" spans="2:11" x14ac:dyDescent="0.25">
      <c r="B114" s="137">
        <v>0.109</v>
      </c>
      <c r="C114" s="138" cm="1">
        <f t="array" ref="C114">ad(B114)</f>
        <v>5.9054240261814051E-2</v>
      </c>
      <c r="D114" s="7"/>
      <c r="E114" s="27"/>
      <c r="F114" s="27"/>
      <c r="G114" s="7"/>
      <c r="H114" s="28"/>
      <c r="I114" s="28"/>
      <c r="J114" s="28"/>
      <c r="K114" s="28"/>
    </row>
    <row r="115" spans="2:11" x14ac:dyDescent="0.25">
      <c r="B115" s="137">
        <v>0.11</v>
      </c>
      <c r="C115" s="138" cm="1">
        <f t="array" ref="C115">ad(B115)</f>
        <v>5.9849416987386717E-2</v>
      </c>
      <c r="D115" s="7"/>
      <c r="E115" s="27"/>
      <c r="F115" s="27"/>
      <c r="G115" s="7"/>
      <c r="H115" s="28"/>
      <c r="I115" s="28"/>
      <c r="J115" s="28"/>
      <c r="K115" s="28"/>
    </row>
    <row r="116" spans="2:11" x14ac:dyDescent="0.25">
      <c r="B116" s="137">
        <v>0.111</v>
      </c>
      <c r="C116" s="138" cm="1">
        <f t="array" ref="C116">ad(B116)</f>
        <v>6.0647767780819484E-2</v>
      </c>
      <c r="D116" s="7"/>
      <c r="E116" s="27"/>
      <c r="F116" s="27"/>
      <c r="G116" s="7"/>
      <c r="H116" s="28"/>
      <c r="I116" s="28"/>
      <c r="J116" s="28"/>
      <c r="K116" s="28"/>
    </row>
    <row r="117" spans="2:11" x14ac:dyDescent="0.25">
      <c r="B117" s="137">
        <v>0.112</v>
      </c>
      <c r="C117" s="138" cm="1">
        <f t="array" ref="C117">ad(B117)</f>
        <v>6.1449271982021547E-2</v>
      </c>
      <c r="D117" s="7"/>
      <c r="E117" s="27"/>
      <c r="F117" s="27"/>
      <c r="G117" s="7"/>
      <c r="H117" s="28"/>
      <c r="I117" s="28"/>
      <c r="J117" s="28"/>
      <c r="K117" s="28"/>
    </row>
    <row r="118" spans="2:11" x14ac:dyDescent="0.25">
      <c r="B118" s="137">
        <v>0.113</v>
      </c>
      <c r="C118" s="138" cm="1">
        <f t="array" ref="C118">ad(B118)</f>
        <v>6.2253909173808963E-2</v>
      </c>
      <c r="D118" s="7"/>
      <c r="E118" s="27"/>
      <c r="F118" s="27"/>
      <c r="G118" s="7"/>
      <c r="H118" s="28"/>
      <c r="I118" s="28"/>
      <c r="J118" s="28"/>
      <c r="K118" s="28"/>
    </row>
    <row r="119" spans="2:11" x14ac:dyDescent="0.25">
      <c r="B119" s="137">
        <v>0.114</v>
      </c>
      <c r="C119" s="138" cm="1">
        <f t="array" ref="C119">ad(B119)</f>
        <v>6.3061659176575358E-2</v>
      </c>
      <c r="D119" s="7"/>
      <c r="E119" s="27"/>
      <c r="F119" s="27"/>
      <c r="G119" s="7"/>
      <c r="H119" s="28"/>
      <c r="I119" s="28"/>
      <c r="J119" s="28"/>
      <c r="K119" s="28"/>
    </row>
    <row r="120" spans="2:11" x14ac:dyDescent="0.25">
      <c r="B120" s="137">
        <v>0.115</v>
      </c>
      <c r="C120" s="138" cm="1">
        <f t="array" ref="C120">ad(B120)</f>
        <v>6.3872502043124557E-2</v>
      </c>
      <c r="D120" s="7"/>
      <c r="E120" s="27"/>
      <c r="F120" s="27"/>
      <c r="G120" s="7"/>
      <c r="H120" s="28"/>
      <c r="I120" s="28"/>
      <c r="J120" s="28"/>
      <c r="K120" s="28"/>
    </row>
    <row r="121" spans="2:11" x14ac:dyDescent="0.25">
      <c r="B121" s="137">
        <v>0.11600000000000001</v>
      </c>
      <c r="C121" s="138" cm="1">
        <f t="array" ref="C121">ad(B121)</f>
        <v>6.4686418053660488E-2</v>
      </c>
      <c r="D121" s="7"/>
      <c r="E121" s="27"/>
      <c r="F121" s="27"/>
      <c r="G121" s="7"/>
      <c r="H121" s="28"/>
      <c r="I121" s="28"/>
      <c r="J121" s="28"/>
      <c r="K121" s="28"/>
    </row>
    <row r="122" spans="2:11" x14ac:dyDescent="0.25">
      <c r="B122" s="137">
        <v>0.11700000000000001</v>
      </c>
      <c r="C122" s="138" cm="1">
        <f t="array" ref="C122">ad(B122)</f>
        <v>6.5503387710925676E-2</v>
      </c>
      <c r="D122" s="7"/>
      <c r="E122" s="27"/>
      <c r="F122" s="27"/>
      <c r="G122" s="7"/>
      <c r="H122" s="28"/>
      <c r="I122" s="28"/>
      <c r="J122" s="28"/>
      <c r="K122" s="28"/>
    </row>
    <row r="123" spans="2:11" x14ac:dyDescent="0.25">
      <c r="B123" s="137">
        <v>0.11799999999999999</v>
      </c>
      <c r="C123" s="138" cm="1">
        <f t="array" ref="C123">ad(B123)</f>
        <v>6.6323391735485848E-2</v>
      </c>
      <c r="D123" s="7"/>
      <c r="E123" s="27"/>
      <c r="F123" s="27"/>
      <c r="G123" s="7"/>
      <c r="H123" s="28"/>
      <c r="I123" s="28"/>
      <c r="J123" s="28"/>
      <c r="K123" s="28"/>
    </row>
    <row r="124" spans="2:11" x14ac:dyDescent="0.25">
      <c r="B124" s="137">
        <v>0.11899999999999999</v>
      </c>
      <c r="C124" s="138" cm="1">
        <f t="array" ref="C124">ad(B124)</f>
        <v>6.714641106115149E-2</v>
      </c>
      <c r="D124" s="7"/>
      <c r="E124" s="27"/>
      <c r="F124" s="27"/>
      <c r="G124" s="7"/>
      <c r="H124" s="28"/>
      <c r="I124" s="28"/>
      <c r="J124" s="28"/>
      <c r="K124" s="28"/>
    </row>
    <row r="125" spans="2:11" x14ac:dyDescent="0.25">
      <c r="B125" s="137">
        <v>0.12</v>
      </c>
      <c r="C125" s="138" cm="1">
        <f t="array" ref="C125">ad(B125)</f>
        <v>6.7972426830534394E-2</v>
      </c>
      <c r="D125" s="7"/>
      <c r="E125" s="27"/>
      <c r="F125" s="27"/>
      <c r="G125" s="7"/>
      <c r="H125" s="28"/>
      <c r="I125" s="28"/>
      <c r="J125" s="28"/>
      <c r="K125" s="28"/>
    </row>
    <row r="126" spans="2:11" x14ac:dyDescent="0.25">
      <c r="B126" s="137">
        <v>0.121</v>
      </c>
      <c r="C126" s="138" cm="1">
        <f t="array" ref="C126">ad(B126)</f>
        <v>6.8801420390731782E-2</v>
      </c>
      <c r="D126" s="7"/>
      <c r="E126" s="27"/>
      <c r="F126" s="27"/>
      <c r="G126" s="7"/>
      <c r="H126" s="28"/>
      <c r="I126" s="28"/>
      <c r="J126" s="28"/>
      <c r="K126" s="28"/>
    </row>
    <row r="127" spans="2:11" x14ac:dyDescent="0.25">
      <c r="B127" s="137">
        <v>0.122</v>
      </c>
      <c r="C127" s="138" cm="1">
        <f t="array" ref="C127">ad(B127)</f>
        <v>6.9633373289135547E-2</v>
      </c>
      <c r="D127" s="7"/>
      <c r="E127" s="27"/>
      <c r="F127" s="27"/>
      <c r="G127" s="7"/>
      <c r="H127" s="28"/>
      <c r="I127" s="28"/>
      <c r="J127" s="28"/>
      <c r="K127" s="28"/>
    </row>
    <row r="128" spans="2:11" x14ac:dyDescent="0.25">
      <c r="B128" s="137">
        <v>0.123</v>
      </c>
      <c r="C128" s="138" cm="1">
        <f t="array" ref="C128">ad(B128)</f>
        <v>7.0468267269358842E-2</v>
      </c>
      <c r="D128" s="7"/>
      <c r="E128" s="27"/>
      <c r="F128" s="27"/>
      <c r="G128" s="7"/>
      <c r="H128" s="28"/>
      <c r="I128" s="28"/>
      <c r="J128" s="28"/>
      <c r="K128" s="28"/>
    </row>
    <row r="129" spans="2:11" x14ac:dyDescent="0.25">
      <c r="B129" s="137">
        <v>0.124</v>
      </c>
      <c r="C129" s="138" cm="1">
        <f t="array" ref="C129">ad(B129)</f>
        <v>7.130608426727969E-2</v>
      </c>
      <c r="D129" s="7"/>
      <c r="E129" s="27"/>
      <c r="F129" s="27"/>
      <c r="G129" s="7"/>
      <c r="H129" s="28"/>
      <c r="I129" s="28"/>
      <c r="J129" s="28"/>
      <c r="K129" s="28"/>
    </row>
    <row r="130" spans="2:11" x14ac:dyDescent="0.25">
      <c r="B130" s="137">
        <v>0.125</v>
      </c>
      <c r="C130" s="138" cm="1">
        <f t="array" ref="C130">ad(B130)</f>
        <v>7.2146806407193731E-2</v>
      </c>
      <c r="D130" s="7"/>
      <c r="E130" s="27"/>
      <c r="F130" s="27"/>
      <c r="G130" s="7"/>
      <c r="H130" s="28"/>
      <c r="I130" s="28"/>
      <c r="J130" s="28"/>
      <c r="K130" s="28"/>
    </row>
    <row r="131" spans="2:11" x14ac:dyDescent="0.25">
      <c r="B131" s="137">
        <v>0.126</v>
      </c>
      <c r="C131" s="138" cm="1">
        <f t="array" ref="C131">ad(B131)</f>
        <v>7.2990415998074654E-2</v>
      </c>
      <c r="D131" s="7"/>
      <c r="E131" s="27"/>
      <c r="F131" s="27"/>
      <c r="G131" s="7"/>
      <c r="H131" s="28"/>
      <c r="I131" s="28"/>
      <c r="J131" s="28"/>
      <c r="K131" s="28"/>
    </row>
    <row r="132" spans="2:11" x14ac:dyDescent="0.25">
      <c r="B132" s="137">
        <v>0.127</v>
      </c>
      <c r="C132" s="138" cm="1">
        <f t="array" ref="C132">ad(B132)</f>
        <v>7.3836895529937274E-2</v>
      </c>
      <c r="D132" s="7"/>
      <c r="E132" s="27"/>
      <c r="F132" s="27"/>
      <c r="G132" s="7"/>
      <c r="H132" s="28"/>
      <c r="I132" s="28"/>
      <c r="J132" s="28"/>
      <c r="K132" s="28"/>
    </row>
    <row r="133" spans="2:11" x14ac:dyDescent="0.25">
      <c r="B133" s="137">
        <v>0.128</v>
      </c>
      <c r="C133" s="138" cm="1">
        <f t="array" ref="C133">ad(B133)</f>
        <v>7.4686227670299976E-2</v>
      </c>
      <c r="D133" s="7"/>
      <c r="E133" s="27"/>
      <c r="F133" s="27"/>
      <c r="G133" s="7"/>
      <c r="H133" s="28"/>
      <c r="I133" s="28"/>
      <c r="J133" s="28"/>
      <c r="K133" s="28"/>
    </row>
    <row r="134" spans="2:11" x14ac:dyDescent="0.25">
      <c r="B134" s="137">
        <v>0.129</v>
      </c>
      <c r="C134" s="138" cm="1">
        <f t="array" ref="C134">ad(B134)</f>
        <v>7.5538395260742963E-2</v>
      </c>
      <c r="D134" s="7"/>
      <c r="E134" s="27"/>
      <c r="F134" s="27"/>
      <c r="G134" s="7"/>
      <c r="H134" s="28"/>
      <c r="I134" s="28"/>
      <c r="J134" s="28"/>
      <c r="K134" s="28"/>
    </row>
    <row r="135" spans="2:11" x14ac:dyDescent="0.25">
      <c r="B135" s="137">
        <v>0.13</v>
      </c>
      <c r="C135" s="138" cm="1">
        <f t="array" ref="C135">ad(B135)</f>
        <v>7.6393381313559328E-2</v>
      </c>
      <c r="D135" s="7"/>
      <c r="E135" s="27"/>
      <c r="F135" s="27"/>
      <c r="G135" s="7"/>
      <c r="H135" s="28"/>
      <c r="I135" s="28"/>
      <c r="J135" s="28"/>
      <c r="K135" s="28"/>
    </row>
    <row r="136" spans="2:11" x14ac:dyDescent="0.25">
      <c r="B136" s="137">
        <v>0.13100000000000001</v>
      </c>
      <c r="C136" s="138" cm="1">
        <f t="array" ref="C136">ad(B136)</f>
        <v>7.7251169008495157E-2</v>
      </c>
      <c r="D136" s="7"/>
      <c r="E136" s="27"/>
      <c r="F136" s="27"/>
      <c r="G136" s="7"/>
      <c r="H136" s="28"/>
      <c r="I136" s="28"/>
      <c r="J136" s="28"/>
      <c r="K136" s="28"/>
    </row>
    <row r="137" spans="2:11" x14ac:dyDescent="0.25">
      <c r="B137" s="137">
        <v>0.13200000000000001</v>
      </c>
      <c r="C137" s="138" cm="1">
        <f t="array" ref="C137">ad(B137)</f>
        <v>7.8111741689575909E-2</v>
      </c>
      <c r="D137" s="7"/>
      <c r="E137" s="27"/>
      <c r="F137" s="27"/>
      <c r="G137" s="7"/>
      <c r="H137" s="28"/>
      <c r="I137" s="28"/>
      <c r="J137" s="28"/>
      <c r="K137" s="28"/>
    </row>
    <row r="138" spans="2:11" x14ac:dyDescent="0.25">
      <c r="B138" s="137">
        <v>0.13300000000000001</v>
      </c>
      <c r="C138" s="138" cm="1">
        <f t="array" ref="C138">ad(B138)</f>
        <v>7.8975082862016432E-2</v>
      </c>
      <c r="D138" s="7"/>
      <c r="E138" s="27"/>
      <c r="F138" s="27"/>
      <c r="G138" s="7"/>
      <c r="H138" s="28"/>
      <c r="I138" s="28"/>
      <c r="J138" s="28"/>
      <c r="K138" s="28"/>
    </row>
    <row r="139" spans="2:11" x14ac:dyDescent="0.25">
      <c r="B139" s="137">
        <v>0.13400000000000001</v>
      </c>
      <c r="C139" s="138" cm="1">
        <f t="array" ref="C139">ad(B139)</f>
        <v>7.9841176189211382E-2</v>
      </c>
      <c r="D139" s="7"/>
      <c r="E139" s="27"/>
      <c r="F139" s="27"/>
      <c r="G139" s="7"/>
      <c r="H139" s="28"/>
      <c r="I139" s="28"/>
      <c r="J139" s="28"/>
      <c r="K139" s="28"/>
    </row>
    <row r="140" spans="2:11" x14ac:dyDescent="0.25">
      <c r="B140" s="137">
        <v>0.13500000000000001</v>
      </c>
      <c r="C140" s="138" cm="1">
        <f t="array" ref="C140">ad(B140)</f>
        <v>8.0710005489803005E-2</v>
      </c>
      <c r="D140" s="7"/>
      <c r="E140" s="27"/>
      <c r="F140" s="27"/>
      <c r="G140" s="7"/>
      <c r="H140" s="28"/>
      <c r="I140" s="28"/>
      <c r="J140" s="28"/>
      <c r="K140" s="28"/>
    </row>
    <row r="141" spans="2:11" x14ac:dyDescent="0.25">
      <c r="B141" s="137">
        <v>0.13600000000000001</v>
      </c>
      <c r="C141" s="138" cm="1">
        <f t="array" ref="C141">ad(B141)</f>
        <v>8.1581554734824979E-2</v>
      </c>
      <c r="D141" s="7"/>
      <c r="E141" s="27"/>
      <c r="F141" s="27"/>
      <c r="G141" s="7"/>
      <c r="H141" s="28"/>
      <c r="I141" s="28"/>
      <c r="J141" s="28"/>
      <c r="K141" s="28"/>
    </row>
    <row r="142" spans="2:11" x14ac:dyDescent="0.25">
      <c r="B142" s="137">
        <v>0.13700000000000001</v>
      </c>
      <c r="C142" s="138" cm="1">
        <f t="array" ref="C142">ad(B142)</f>
        <v>8.2455808044918755E-2</v>
      </c>
      <c r="D142" s="7"/>
      <c r="E142" s="27"/>
      <c r="F142" s="27"/>
      <c r="G142" s="7"/>
      <c r="H142" s="28"/>
      <c r="I142" s="28"/>
      <c r="J142" s="28"/>
      <c r="K142" s="28"/>
    </row>
    <row r="143" spans="2:11" x14ac:dyDescent="0.25">
      <c r="B143" s="137">
        <v>0.13800000000000001</v>
      </c>
      <c r="C143" s="138" cm="1">
        <f t="array" ref="C143">ad(B143)</f>
        <v>8.3332749687619778E-2</v>
      </c>
      <c r="D143" s="7"/>
      <c r="E143" s="27"/>
      <c r="F143" s="27"/>
      <c r="G143" s="7"/>
      <c r="H143" s="28"/>
      <c r="I143" s="28"/>
      <c r="J143" s="28"/>
      <c r="K143" s="28"/>
    </row>
    <row r="144" spans="2:11" x14ac:dyDescent="0.25">
      <c r="B144" s="137">
        <v>0.13900000000000001</v>
      </c>
      <c r="C144" s="138" cm="1">
        <f t="array" ref="C144">ad(B144)</f>
        <v>8.4212364074712553E-2</v>
      </c>
      <c r="D144" s="7"/>
      <c r="E144" s="27"/>
      <c r="F144" s="27"/>
      <c r="G144" s="7"/>
      <c r="H144" s="28"/>
      <c r="I144" s="28"/>
      <c r="J144" s="28"/>
      <c r="K144" s="28"/>
    </row>
    <row r="145" spans="2:11" x14ac:dyDescent="0.25">
      <c r="B145" s="137">
        <v>0.14000000000000001</v>
      </c>
      <c r="C145" s="138" cm="1">
        <f t="array" ref="C145">ad(B145)</f>
        <v>8.5094635759651149E-2</v>
      </c>
      <c r="D145" s="7"/>
      <c r="E145" s="27"/>
      <c r="F145" s="27"/>
      <c r="G145" s="7"/>
      <c r="H145" s="28"/>
      <c r="I145" s="28"/>
      <c r="J145" s="28"/>
      <c r="K145" s="28"/>
    </row>
    <row r="146" spans="2:11" x14ac:dyDescent="0.25">
      <c r="B146" s="137">
        <v>0.14099999999999999</v>
      </c>
      <c r="C146" s="138" cm="1">
        <f t="array" ref="C146">ad(B146)</f>
        <v>8.5979549435043712E-2</v>
      </c>
      <c r="D146" s="7"/>
      <c r="E146" s="27"/>
      <c r="F146" s="27"/>
      <c r="G146" s="7"/>
      <c r="H146" s="28"/>
      <c r="I146" s="28"/>
      <c r="J146" s="28"/>
      <c r="K146" s="28"/>
    </row>
    <row r="147" spans="2:11" x14ac:dyDescent="0.25">
      <c r="B147" s="137">
        <v>0.14199999999999999</v>
      </c>
      <c r="C147" s="138" cm="1">
        <f t="array" ref="C147">ad(B147)</f>
        <v>8.6867089930198427E-2</v>
      </c>
      <c r="D147" s="7"/>
      <c r="E147" s="27"/>
      <c r="F147" s="27"/>
      <c r="G147" s="7"/>
      <c r="H147" s="28"/>
      <c r="I147" s="28"/>
      <c r="J147" s="28"/>
      <c r="K147" s="28"/>
    </row>
    <row r="148" spans="2:11" x14ac:dyDescent="0.25">
      <c r="B148" s="137">
        <v>0.14299999999999999</v>
      </c>
      <c r="C148" s="138" cm="1">
        <f t="array" ref="C148">ad(B148)</f>
        <v>8.7757242208730157E-2</v>
      </c>
      <c r="D148" s="7"/>
      <c r="E148" s="27"/>
      <c r="F148" s="27"/>
      <c r="G148" s="7"/>
      <c r="H148" s="28"/>
      <c r="I148" s="28"/>
      <c r="J148" s="28"/>
      <c r="K148" s="28"/>
    </row>
    <row r="149" spans="2:11" x14ac:dyDescent="0.25">
      <c r="B149" s="137">
        <v>0.14399999999999999</v>
      </c>
      <c r="C149" s="138" cm="1">
        <f t="array" ref="C149">ad(B149)</f>
        <v>8.8649991366223813E-2</v>
      </c>
      <c r="D149" s="7"/>
      <c r="E149" s="27"/>
      <c r="F149" s="27"/>
      <c r="G149" s="7"/>
      <c r="H149" s="28"/>
      <c r="I149" s="28"/>
      <c r="J149" s="28"/>
      <c r="K149" s="28"/>
    </row>
    <row r="150" spans="2:11" x14ac:dyDescent="0.25">
      <c r="B150" s="137">
        <v>0.14499999999999999</v>
      </c>
      <c r="C150" s="138" cm="1">
        <f t="array" ref="C150">ad(B150)</f>
        <v>8.9545322627954671E-2</v>
      </c>
      <c r="D150" s="7"/>
      <c r="E150" s="27"/>
      <c r="F150" s="27"/>
      <c r="G150" s="7"/>
      <c r="H150" s="28"/>
      <c r="I150" s="28"/>
      <c r="J150" s="28"/>
      <c r="K150" s="28"/>
    </row>
    <row r="151" spans="2:11" x14ac:dyDescent="0.25">
      <c r="B151" s="137">
        <v>0.14599999999999999</v>
      </c>
      <c r="C151" s="138" cm="1">
        <f t="array" ref="C151">ad(B151)</f>
        <v>9.0443221346662939E-2</v>
      </c>
      <c r="D151" s="7"/>
      <c r="E151" s="27"/>
      <c r="F151" s="27"/>
      <c r="G151" s="7"/>
      <c r="H151" s="28"/>
      <c r="I151" s="28"/>
      <c r="J151" s="28"/>
      <c r="K151" s="28"/>
    </row>
    <row r="152" spans="2:11" x14ac:dyDescent="0.25">
      <c r="B152" s="137">
        <v>0.14699999999999999</v>
      </c>
      <c r="C152" s="138" cm="1">
        <f t="array" ref="C152">ad(B152)</f>
        <v>9.1343673000381154E-2</v>
      </c>
      <c r="D152" s="7"/>
      <c r="E152" s="27"/>
      <c r="F152" s="27"/>
      <c r="G152" s="7"/>
      <c r="H152" s="28"/>
      <c r="I152" s="28"/>
      <c r="J152" s="28"/>
      <c r="K152" s="28"/>
    </row>
    <row r="153" spans="2:11" x14ac:dyDescent="0.25">
      <c r="B153" s="137">
        <v>0.14799999999999999</v>
      </c>
      <c r="C153" s="138" cm="1">
        <f t="array" ref="C153">ad(B153)</f>
        <v>9.2246663190312217E-2</v>
      </c>
      <c r="D153" s="7"/>
      <c r="E153" s="27"/>
      <c r="F153" s="27"/>
      <c r="G153" s="7"/>
      <c r="H153" s="28"/>
      <c r="I153" s="28"/>
      <c r="J153" s="28"/>
      <c r="K153" s="28"/>
    </row>
    <row r="154" spans="2:11" x14ac:dyDescent="0.25">
      <c r="B154" s="137">
        <v>0.14899999999999999</v>
      </c>
      <c r="C154" s="138" cm="1">
        <f t="array" ref="C154">ad(B154)</f>
        <v>9.3152177638757605E-2</v>
      </c>
      <c r="D154" s="7"/>
      <c r="E154" s="27"/>
      <c r="F154" s="27"/>
      <c r="G154" s="7"/>
      <c r="H154" s="28"/>
      <c r="I154" s="28"/>
      <c r="J154" s="28"/>
      <c r="K154" s="28"/>
    </row>
    <row r="155" spans="2:11" x14ac:dyDescent="0.25">
      <c r="B155" s="137">
        <v>0.15</v>
      </c>
      <c r="C155" s="138" cm="1">
        <f t="array" ref="C155">ad(B155)</f>
        <v>9.4060202187093656E-2</v>
      </c>
      <c r="D155" s="7"/>
      <c r="E155" s="27"/>
      <c r="F155" s="27"/>
      <c r="G155" s="7"/>
      <c r="H155" s="28"/>
      <c r="I155" s="28"/>
      <c r="J155" s="28"/>
      <c r="K155" s="28"/>
    </row>
    <row r="156" spans="2:11" x14ac:dyDescent="0.25">
      <c r="B156" s="137">
        <v>0.151</v>
      </c>
      <c r="C156" s="138" cm="1">
        <f t="array" ref="C156">ad(B156)</f>
        <v>9.4970722793793705E-2</v>
      </c>
      <c r="D156" s="7"/>
      <c r="E156" s="27"/>
      <c r="F156" s="27"/>
      <c r="G156" s="7"/>
      <c r="H156" s="28"/>
      <c r="I156" s="28"/>
      <c r="J156" s="28"/>
      <c r="K156" s="28"/>
    </row>
    <row r="157" spans="2:11" x14ac:dyDescent="0.25">
      <c r="B157" s="137">
        <v>0.152</v>
      </c>
      <c r="C157" s="138" cm="1">
        <f t="array" ref="C157">ad(B157)</f>
        <v>9.5883725532496356E-2</v>
      </c>
      <c r="D157" s="7"/>
      <c r="E157" s="27"/>
      <c r="F157" s="27"/>
      <c r="G157" s="7"/>
      <c r="H157" s="28"/>
      <c r="I157" s="28"/>
      <c r="J157" s="28"/>
      <c r="K157" s="28"/>
    </row>
    <row r="158" spans="2:11" x14ac:dyDescent="0.25">
      <c r="B158" s="137">
        <v>0.153</v>
      </c>
      <c r="C158" s="138" cm="1">
        <f t="array" ref="C158">ad(B158)</f>
        <v>9.6799196590117653E-2</v>
      </c>
      <c r="D158" s="7"/>
      <c r="E158" s="27"/>
      <c r="F158" s="27"/>
      <c r="G158" s="7"/>
      <c r="H158" s="28"/>
      <c r="I158" s="28"/>
      <c r="J158" s="28"/>
      <c r="K158" s="28"/>
    </row>
    <row r="159" spans="2:11" x14ac:dyDescent="0.25">
      <c r="B159" s="137">
        <v>0.154</v>
      </c>
      <c r="C159" s="138" cm="1">
        <f t="array" ref="C159">ad(B159)</f>
        <v>9.771712226500523E-2</v>
      </c>
      <c r="D159" s="7"/>
      <c r="E159" s="27"/>
      <c r="F159" s="27"/>
      <c r="G159" s="7"/>
      <c r="H159" s="28"/>
      <c r="I159" s="28"/>
      <c r="J159" s="28"/>
      <c r="K159" s="28"/>
    </row>
    <row r="160" spans="2:11" x14ac:dyDescent="0.25">
      <c r="B160" s="137">
        <v>0.155</v>
      </c>
      <c r="C160" s="138" cm="1">
        <f t="array" ref="C160">ad(B160)</f>
        <v>9.8637488965134357E-2</v>
      </c>
      <c r="D160" s="7"/>
      <c r="E160" s="27"/>
      <c r="F160" s="27"/>
      <c r="G160" s="7"/>
      <c r="H160" s="28"/>
      <c r="I160" s="28"/>
      <c r="J160" s="28"/>
      <c r="K160" s="28"/>
    </row>
    <row r="161" spans="2:11" x14ac:dyDescent="0.25">
      <c r="B161" s="137">
        <v>0.156</v>
      </c>
      <c r="C161" s="138" cm="1">
        <f t="array" ref="C161">ad(B161)</f>
        <v>9.9560283206344358E-2</v>
      </c>
      <c r="D161" s="7"/>
      <c r="E161" s="27"/>
      <c r="F161" s="27"/>
      <c r="G161" s="7"/>
      <c r="H161" s="28"/>
      <c r="I161" s="28"/>
      <c r="J161" s="28"/>
      <c r="K161" s="28"/>
    </row>
    <row r="162" spans="2:11" x14ac:dyDescent="0.25">
      <c r="B162" s="137">
        <v>0.157</v>
      </c>
      <c r="C162" s="138" cm="1">
        <f t="array" ref="C162">ad(B162)</f>
        <v>0.10048549161061338</v>
      </c>
      <c r="D162" s="7"/>
      <c r="E162" s="27"/>
      <c r="F162" s="27"/>
      <c r="G162" s="7"/>
      <c r="H162" s="28"/>
      <c r="I162" s="28"/>
      <c r="J162" s="28"/>
      <c r="K162" s="28"/>
    </row>
    <row r="163" spans="2:11" x14ac:dyDescent="0.25">
      <c r="B163" s="137">
        <v>0.158</v>
      </c>
      <c r="C163" s="138" cm="1">
        <f t="array" ref="C163">ad(B163)</f>
        <v>0.10141310090437206</v>
      </c>
      <c r="D163" s="7"/>
      <c r="E163" s="27"/>
      <c r="F163" s="27"/>
      <c r="G163" s="7"/>
      <c r="H163" s="28"/>
      <c r="I163" s="28"/>
      <c r="J163" s="28"/>
      <c r="K163" s="28"/>
    </row>
    <row r="164" spans="2:11" x14ac:dyDescent="0.25">
      <c r="B164" s="137">
        <v>0.159</v>
      </c>
      <c r="C164" s="138" cm="1">
        <f t="array" ref="C164">ad(B164)</f>
        <v>0.10234309791685309</v>
      </c>
      <c r="D164" s="7"/>
      <c r="E164" s="27"/>
      <c r="F164" s="27"/>
      <c r="G164" s="7"/>
      <c r="H164" s="28"/>
      <c r="I164" s="28"/>
      <c r="J164" s="28"/>
      <c r="K164" s="28"/>
    </row>
    <row r="165" spans="2:11" x14ac:dyDescent="0.25">
      <c r="B165" s="137">
        <v>0.16</v>
      </c>
      <c r="C165" s="138" cm="1">
        <f t="array" ref="C165">ad(B165)</f>
        <v>0.10327546957847744</v>
      </c>
      <c r="D165" s="7"/>
      <c r="E165" s="27"/>
      <c r="F165" s="27"/>
      <c r="G165" s="7"/>
      <c r="H165" s="28"/>
      <c r="I165" s="28"/>
      <c r="J165" s="28"/>
      <c r="K165" s="28"/>
    </row>
    <row r="166" spans="2:11" x14ac:dyDescent="0.25">
      <c r="B166" s="137">
        <v>0.161</v>
      </c>
      <c r="C166" s="138" cm="1">
        <f t="array" ref="C166">ad(B166)</f>
        <v>0.10421020291927463</v>
      </c>
      <c r="D166" s="7"/>
      <c r="E166" s="27"/>
      <c r="F166" s="27"/>
      <c r="G166" s="7"/>
      <c r="H166" s="28"/>
      <c r="I166" s="28"/>
      <c r="J166" s="28"/>
      <c r="K166" s="28"/>
    </row>
    <row r="167" spans="2:11" x14ac:dyDescent="0.25">
      <c r="B167" s="137">
        <v>0.16200000000000001</v>
      </c>
      <c r="C167" s="138" cm="1">
        <f t="array" ref="C167">ad(B167)</f>
        <v>0.10514728506733773</v>
      </c>
      <c r="D167" s="7"/>
      <c r="E167" s="27"/>
      <c r="F167" s="27"/>
      <c r="G167" s="7"/>
      <c r="H167" s="28"/>
      <c r="I167" s="28"/>
      <c r="J167" s="28"/>
      <c r="K167" s="28"/>
    </row>
    <row r="168" spans="2:11" x14ac:dyDescent="0.25">
      <c r="B168" s="137">
        <v>0.16300000000000001</v>
      </c>
      <c r="C168" s="138" cm="1">
        <f t="array" ref="C168">ad(B168)</f>
        <v>0.10608670324731023</v>
      </c>
      <c r="D168" s="7"/>
      <c r="E168" s="27"/>
      <c r="F168" s="27"/>
      <c r="G168" s="7"/>
      <c r="H168" s="28"/>
      <c r="I168" s="28"/>
      <c r="J168" s="28"/>
      <c r="K168" s="28"/>
    </row>
    <row r="169" spans="2:11" x14ac:dyDescent="0.25">
      <c r="B169" s="137">
        <v>0.16400000000000001</v>
      </c>
      <c r="C169" s="138" cm="1">
        <f t="array" ref="C169">ad(B169)</f>
        <v>0.10702844477890611</v>
      </c>
      <c r="D169" s="7"/>
      <c r="E169" s="27"/>
      <c r="F169" s="27"/>
      <c r="G169" s="7"/>
      <c r="H169" s="28"/>
      <c r="I169" s="28"/>
      <c r="J169" s="28"/>
      <c r="K169" s="28"/>
    </row>
    <row r="170" spans="2:11" x14ac:dyDescent="0.25">
      <c r="B170" s="137">
        <v>0.16500000000000001</v>
      </c>
      <c r="C170" s="138" cm="1">
        <f t="array" ref="C170">ad(B170)</f>
        <v>0.10797249707545975</v>
      </c>
      <c r="D170" s="7"/>
      <c r="E170" s="27"/>
      <c r="F170" s="27"/>
      <c r="G170" s="7"/>
      <c r="H170" s="28"/>
      <c r="I170" s="28"/>
      <c r="J170" s="28"/>
      <c r="K170" s="28"/>
    </row>
    <row r="171" spans="2:11" x14ac:dyDescent="0.25">
      <c r="B171" s="137">
        <v>0.16600000000000001</v>
      </c>
      <c r="C171" s="138" cm="1">
        <f t="array" ref="C171">ad(B171)</f>
        <v>0.10891884764250725</v>
      </c>
      <c r="D171" s="7"/>
      <c r="E171" s="27"/>
      <c r="F171" s="27"/>
      <c r="G171" s="7"/>
      <c r="H171" s="28"/>
      <c r="I171" s="28"/>
      <c r="J171" s="28"/>
      <c r="K171" s="28"/>
    </row>
    <row r="172" spans="2:11" x14ac:dyDescent="0.25">
      <c r="B172" s="137">
        <v>0.16700000000000001</v>
      </c>
      <c r="C172" s="138" cm="1">
        <f t="array" ref="C172">ad(B172)</f>
        <v>0.1098674840763969</v>
      </c>
      <c r="D172" s="7"/>
      <c r="E172" s="27"/>
      <c r="F172" s="27"/>
      <c r="G172" s="7"/>
      <c r="H172" s="28"/>
      <c r="I172" s="28"/>
      <c r="J172" s="28"/>
      <c r="K172" s="28"/>
    </row>
    <row r="173" spans="2:11" x14ac:dyDescent="0.25">
      <c r="B173" s="137">
        <v>0.16800000000000001</v>
      </c>
      <c r="C173" s="138" cm="1">
        <f t="array" ref="C173">ad(B173)</f>
        <v>0.11081839406292759</v>
      </c>
      <c r="D173" s="7"/>
      <c r="E173" s="27"/>
      <c r="F173" s="27"/>
      <c r="G173" s="7"/>
      <c r="H173" s="28"/>
      <c r="I173" s="28"/>
      <c r="J173" s="28"/>
      <c r="K173" s="28"/>
    </row>
    <row r="174" spans="2:11" x14ac:dyDescent="0.25">
      <c r="B174" s="137">
        <v>0.16900000000000001</v>
      </c>
      <c r="C174" s="138" cm="1">
        <f t="array" ref="C174">ad(B174)</f>
        <v>0.11177156537601618</v>
      </c>
      <c r="D174" s="7"/>
      <c r="E174" s="27"/>
      <c r="F174" s="27"/>
      <c r="G174" s="7"/>
      <c r="H174" s="28"/>
      <c r="I174" s="28"/>
      <c r="J174" s="28"/>
      <c r="K174" s="28"/>
    </row>
    <row r="175" spans="2:11" x14ac:dyDescent="0.25">
      <c r="B175" s="137">
        <v>0.17</v>
      </c>
      <c r="C175" s="138" cm="1">
        <f t="array" ref="C175">ad(B175)</f>
        <v>0.11272698587639191</v>
      </c>
      <c r="D175" s="7"/>
      <c r="E175" s="27"/>
      <c r="F175" s="27"/>
      <c r="G175" s="7"/>
      <c r="H175" s="28"/>
      <c r="I175" s="28"/>
      <c r="J175" s="28"/>
      <c r="K175" s="28"/>
    </row>
    <row r="176" spans="2:11" x14ac:dyDescent="0.25">
      <c r="B176" s="137">
        <v>0.17100000000000001</v>
      </c>
      <c r="C176" s="138" cm="1">
        <f t="array" ref="C176">ad(B176)</f>
        <v>0.11368464351031637</v>
      </c>
      <c r="D176" s="7"/>
      <c r="E176" s="27"/>
      <c r="F176" s="27"/>
      <c r="G176" s="7"/>
      <c r="H176" s="28"/>
      <c r="I176" s="28"/>
      <c r="J176" s="28"/>
      <c r="K176" s="28"/>
    </row>
    <row r="177" spans="2:11" x14ac:dyDescent="0.25">
      <c r="B177" s="137">
        <v>0.17199999999999999</v>
      </c>
      <c r="C177" s="138" cm="1">
        <f t="array" ref="C177">ad(B177)</f>
        <v>0.11464452630833011</v>
      </c>
      <c r="D177" s="7"/>
      <c r="E177" s="27"/>
      <c r="F177" s="27"/>
      <c r="G177" s="7"/>
      <c r="H177" s="28"/>
      <c r="I177" s="28"/>
      <c r="J177" s="28"/>
      <c r="K177" s="28"/>
    </row>
    <row r="178" spans="2:11" x14ac:dyDescent="0.25">
      <c r="B178" s="137">
        <v>0.17299999999999999</v>
      </c>
      <c r="C178" s="138" cm="1">
        <f t="array" ref="C178">ad(B178)</f>
        <v>0.11560662238402453</v>
      </c>
      <c r="D178" s="7"/>
      <c r="E178" s="27"/>
      <c r="F178" s="27"/>
      <c r="G178" s="7"/>
      <c r="H178" s="28"/>
      <c r="I178" s="28"/>
      <c r="J178" s="28"/>
      <c r="K178" s="28"/>
    </row>
    <row r="179" spans="2:11" x14ac:dyDescent="0.25">
      <c r="B179" s="137">
        <v>0.17399999999999999</v>
      </c>
      <c r="C179" s="138" cm="1">
        <f t="array" ref="C179">ad(B179)</f>
        <v>0.11657091993283669</v>
      </c>
      <c r="D179" s="7"/>
      <c r="E179" s="27"/>
      <c r="F179" s="27"/>
      <c r="G179" s="7"/>
      <c r="H179" s="28"/>
      <c r="I179" s="28"/>
      <c r="J179" s="28"/>
      <c r="K179" s="28"/>
    </row>
    <row r="180" spans="2:11" x14ac:dyDescent="0.25">
      <c r="B180" s="137">
        <v>0.17499999999999999</v>
      </c>
      <c r="C180" s="138" cm="1">
        <f t="array" ref="C180">ad(B180)</f>
        <v>0.11753740723087047</v>
      </c>
      <c r="D180" s="7"/>
      <c r="E180" s="27"/>
      <c r="F180" s="27"/>
      <c r="G180" s="7"/>
      <c r="H180" s="28"/>
      <c r="I180" s="28"/>
      <c r="J180" s="28"/>
      <c r="K180" s="28"/>
    </row>
    <row r="181" spans="2:11" x14ac:dyDescent="0.25">
      <c r="B181" s="137">
        <v>0.17599999999999999</v>
      </c>
      <c r="C181" s="138" cm="1">
        <f t="array" ref="C181">ad(B181)</f>
        <v>0.11850607263373814</v>
      </c>
      <c r="D181" s="7"/>
      <c r="E181" s="27"/>
      <c r="F181" s="27"/>
      <c r="G181" s="7"/>
      <c r="H181" s="28"/>
      <c r="I181" s="28"/>
      <c r="J181" s="28"/>
      <c r="K181" s="28"/>
    </row>
    <row r="182" spans="2:11" x14ac:dyDescent="0.25">
      <c r="B182" s="137">
        <v>0.17699999999999999</v>
      </c>
      <c r="C182" s="138" cm="1">
        <f t="array" ref="C182">ad(B182)</f>
        <v>0.11947690457542692</v>
      </c>
      <c r="D182" s="7"/>
      <c r="E182" s="27"/>
      <c r="F182" s="27"/>
      <c r="G182" s="7"/>
      <c r="H182" s="28"/>
      <c r="I182" s="28"/>
      <c r="J182" s="28"/>
      <c r="K182" s="28"/>
    </row>
    <row r="183" spans="2:11" x14ac:dyDescent="0.25">
      <c r="B183" s="137">
        <v>0.17799999999999999</v>
      </c>
      <c r="C183" s="138" cm="1">
        <f t="array" ref="C183">ad(B183)</f>
        <v>0.120449891567186</v>
      </c>
      <c r="D183" s="7"/>
      <c r="E183" s="27"/>
      <c r="F183" s="27"/>
      <c r="G183" s="7"/>
      <c r="H183" s="28"/>
      <c r="I183" s="28"/>
      <c r="J183" s="28"/>
      <c r="K183" s="28"/>
    </row>
    <row r="184" spans="2:11" x14ac:dyDescent="0.25">
      <c r="B184" s="137">
        <v>0.17899999999999999</v>
      </c>
      <c r="C184" s="138" cm="1">
        <f t="array" ref="C184">ad(B184)</f>
        <v>0.12142502219643603</v>
      </c>
      <c r="D184" s="7"/>
      <c r="E184" s="27"/>
      <c r="F184" s="27"/>
      <c r="G184" s="7"/>
      <c r="H184" s="28"/>
      <c r="I184" s="28"/>
      <c r="J184" s="28"/>
      <c r="K184" s="28"/>
    </row>
    <row r="185" spans="2:11" x14ac:dyDescent="0.25">
      <c r="B185" s="137">
        <v>0.18</v>
      </c>
      <c r="C185" s="138" cm="1">
        <f t="array" ref="C185">ad(B185)</f>
        <v>0.12240228512569851</v>
      </c>
      <c r="D185" s="7"/>
      <c r="E185" s="27"/>
      <c r="F185" s="27"/>
      <c r="G185" s="7"/>
      <c r="H185" s="28"/>
      <c r="I185" s="28"/>
      <c r="J185" s="28"/>
      <c r="K185" s="28"/>
    </row>
    <row r="186" spans="2:11" x14ac:dyDescent="0.25">
      <c r="B186" s="137">
        <v>0.18099999999999999</v>
      </c>
      <c r="C186" s="138" cm="1">
        <f t="array" ref="C186">ad(B186)</f>
        <v>0.12338166909154724</v>
      </c>
      <c r="D186" s="7"/>
      <c r="E186" s="27"/>
      <c r="F186" s="27"/>
      <c r="G186" s="7"/>
      <c r="H186" s="28"/>
      <c r="I186" s="28"/>
      <c r="J186" s="28"/>
      <c r="K186" s="28"/>
    </row>
    <row r="187" spans="2:11" x14ac:dyDescent="0.25">
      <c r="B187" s="137">
        <v>0.182</v>
      </c>
      <c r="C187" s="138" cm="1">
        <f t="array" ref="C187">ad(B187)</f>
        <v>0.1243631629035778</v>
      </c>
      <c r="D187" s="7"/>
      <c r="E187" s="27"/>
      <c r="F187" s="27"/>
      <c r="G187" s="7"/>
      <c r="H187" s="28"/>
      <c r="I187" s="28"/>
      <c r="J187" s="28"/>
      <c r="K187" s="28"/>
    </row>
    <row r="188" spans="2:11" x14ac:dyDescent="0.25">
      <c r="B188" s="137">
        <v>0.183</v>
      </c>
      <c r="C188" s="138" cm="1">
        <f t="array" ref="C188">ad(B188)</f>
        <v>0.12534675544339802</v>
      </c>
      <c r="D188" s="7"/>
      <c r="E188" s="27"/>
      <c r="F188" s="27"/>
      <c r="G188" s="7"/>
      <c r="H188" s="28"/>
      <c r="I188" s="28"/>
      <c r="J188" s="28"/>
      <c r="K188" s="28"/>
    </row>
    <row r="189" spans="2:11" x14ac:dyDescent="0.25">
      <c r="B189" s="137">
        <v>0.184</v>
      </c>
      <c r="C189" s="138" cm="1">
        <f t="array" ref="C189">ad(B189)</f>
        <v>0.12633243566363628</v>
      </c>
      <c r="D189" s="7"/>
      <c r="E189" s="27"/>
      <c r="F189" s="27"/>
      <c r="G189" s="7"/>
      <c r="H189" s="28"/>
      <c r="I189" s="28"/>
      <c r="J189" s="28"/>
      <c r="K189" s="28"/>
    </row>
    <row r="190" spans="2:11" x14ac:dyDescent="0.25">
      <c r="B190" s="137">
        <v>0.185</v>
      </c>
      <c r="C190" s="138" cm="1">
        <f t="array" ref="C190">ad(B190)</f>
        <v>0.12732019258696947</v>
      </c>
      <c r="D190" s="7"/>
      <c r="E190" s="27"/>
      <c r="F190" s="27"/>
      <c r="G190" s="7"/>
      <c r="H190" s="28"/>
      <c r="I190" s="28"/>
      <c r="J190" s="28"/>
      <c r="K190" s="28"/>
    </row>
    <row r="191" spans="2:11" x14ac:dyDescent="0.25">
      <c r="B191" s="137">
        <v>0.186</v>
      </c>
      <c r="C191" s="138" cm="1">
        <f t="array" ref="C191">ad(B191)</f>
        <v>0.12831001530516739</v>
      </c>
      <c r="D191" s="7"/>
      <c r="E191" s="27"/>
      <c r="F191" s="27"/>
      <c r="G191" s="7"/>
      <c r="H191" s="28"/>
      <c r="I191" s="28"/>
      <c r="J191" s="28"/>
      <c r="K191" s="28"/>
    </row>
    <row r="192" spans="2:11" x14ac:dyDescent="0.25">
      <c r="B192" s="137">
        <v>0.187</v>
      </c>
      <c r="C192" s="138" cm="1">
        <f t="array" ref="C192">ad(B192)</f>
        <v>0.12930189297815675</v>
      </c>
      <c r="D192" s="7"/>
      <c r="E192" s="27"/>
      <c r="F192" s="27"/>
      <c r="G192" s="7"/>
      <c r="H192" s="28"/>
      <c r="I192" s="28"/>
      <c r="J192" s="28"/>
      <c r="K192" s="28"/>
    </row>
    <row r="193" spans="2:11" x14ac:dyDescent="0.25">
      <c r="B193" s="137">
        <v>0.188</v>
      </c>
      <c r="C193" s="138" cm="1">
        <f t="array" ref="C193">ad(B193)</f>
        <v>0.13029581483310071</v>
      </c>
      <c r="D193" s="7"/>
      <c r="E193" s="27"/>
      <c r="F193" s="27"/>
      <c r="G193" s="7"/>
      <c r="H193" s="28"/>
      <c r="I193" s="28"/>
      <c r="J193" s="28"/>
      <c r="K193" s="28"/>
    </row>
    <row r="194" spans="2:11" x14ac:dyDescent="0.25">
      <c r="B194" s="137">
        <v>0.189</v>
      </c>
      <c r="C194" s="138" cm="1">
        <f t="array" ref="C194">ad(B194)</f>
        <v>0.13129177016349591</v>
      </c>
      <c r="D194" s="7"/>
      <c r="E194" s="27"/>
      <c r="F194" s="27"/>
      <c r="G194" s="7"/>
      <c r="H194" s="28"/>
      <c r="I194" s="28"/>
      <c r="J194" s="28"/>
      <c r="K194" s="28"/>
    </row>
    <row r="195" spans="2:11" x14ac:dyDescent="0.25">
      <c r="B195" s="137">
        <v>0.19</v>
      </c>
      <c r="C195" s="138" cm="1">
        <f t="array" ref="C195">ad(B195)</f>
        <v>0.13228974832828588</v>
      </c>
      <c r="D195" s="7"/>
      <c r="E195" s="27"/>
      <c r="F195" s="27"/>
      <c r="G195" s="7"/>
      <c r="H195" s="28"/>
      <c r="I195" s="28"/>
      <c r="J195" s="28"/>
      <c r="K195" s="28"/>
    </row>
    <row r="196" spans="2:11" x14ac:dyDescent="0.25">
      <c r="B196" s="137">
        <v>0.191</v>
      </c>
      <c r="C196" s="138" cm="1">
        <f t="array" ref="C196">ad(B196)</f>
        <v>0.13328973875099048</v>
      </c>
      <c r="D196" s="7"/>
      <c r="E196" s="27"/>
      <c r="F196" s="27"/>
      <c r="G196" s="7"/>
      <c r="H196" s="28"/>
      <c r="I196" s="28"/>
      <c r="J196" s="28"/>
      <c r="K196" s="28"/>
    </row>
    <row r="197" spans="2:11" x14ac:dyDescent="0.25">
      <c r="B197" s="137">
        <v>0.192</v>
      </c>
      <c r="C197" s="138" cm="1">
        <f t="array" ref="C197">ad(B197)</f>
        <v>0.13429173091885066</v>
      </c>
      <c r="D197" s="7"/>
      <c r="E197" s="27"/>
      <c r="F197" s="27"/>
      <c r="G197" s="7"/>
      <c r="H197" s="28"/>
      <c r="I197" s="28"/>
      <c r="J197" s="28"/>
      <c r="K197" s="28"/>
    </row>
    <row r="198" spans="2:11" x14ac:dyDescent="0.25">
      <c r="B198" s="137">
        <v>0.193</v>
      </c>
      <c r="C198" s="138" cm="1">
        <f t="array" ref="C198">ad(B198)</f>
        <v>0.13529571438198884</v>
      </c>
      <c r="D198" s="7"/>
      <c r="E198" s="27"/>
      <c r="F198" s="27"/>
      <c r="G198" s="7"/>
      <c r="H198" s="28"/>
      <c r="I198" s="28"/>
      <c r="J198" s="28"/>
      <c r="K198" s="28"/>
    </row>
    <row r="199" spans="2:11" x14ac:dyDescent="0.25">
      <c r="B199" s="137">
        <v>0.19400000000000001</v>
      </c>
      <c r="C199" s="138" cm="1">
        <f t="array" ref="C199">ad(B199)</f>
        <v>0.13630167875258381</v>
      </c>
      <c r="D199" s="7"/>
      <c r="E199" s="27"/>
      <c r="F199" s="27"/>
      <c r="G199" s="7"/>
      <c r="H199" s="28"/>
      <c r="I199" s="28"/>
      <c r="J199" s="28"/>
      <c r="K199" s="28"/>
    </row>
    <row r="200" spans="2:11" x14ac:dyDescent="0.25">
      <c r="B200" s="137">
        <v>0.19500000000000001</v>
      </c>
      <c r="C200" s="138" cm="1">
        <f t="array" ref="C200">ad(B200)</f>
        <v>0.13730961370406092</v>
      </c>
      <c r="D200" s="7"/>
      <c r="E200" s="27"/>
      <c r="F200" s="27"/>
      <c r="G200" s="7"/>
      <c r="H200" s="28"/>
      <c r="I200" s="28"/>
      <c r="J200" s="28"/>
      <c r="K200" s="28"/>
    </row>
    <row r="201" spans="2:11" x14ac:dyDescent="0.25">
      <c r="B201" s="137">
        <v>0.19600000000000001</v>
      </c>
      <c r="C201" s="138" cm="1">
        <f t="array" ref="C201">ad(B201)</f>
        <v>0.13831950897029544</v>
      </c>
      <c r="D201" s="7"/>
      <c r="E201" s="27"/>
      <c r="F201" s="27"/>
      <c r="G201" s="7"/>
      <c r="H201" s="28"/>
      <c r="I201" s="28"/>
      <c r="J201" s="28"/>
      <c r="K201" s="28"/>
    </row>
    <row r="202" spans="2:11" x14ac:dyDescent="0.25">
      <c r="B202" s="137">
        <v>0.19700000000000001</v>
      </c>
      <c r="C202" s="138" cm="1">
        <f t="array" ref="C202">ad(B202)</f>
        <v>0.13933135434483068</v>
      </c>
      <c r="D202" s="7"/>
      <c r="E202" s="27"/>
      <c r="F202" s="27"/>
      <c r="G202" s="7"/>
      <c r="H202" s="28"/>
      <c r="I202" s="28"/>
      <c r="J202" s="28"/>
      <c r="K202" s="28"/>
    </row>
    <row r="203" spans="2:11" x14ac:dyDescent="0.25">
      <c r="B203" s="137">
        <v>0.19800000000000001</v>
      </c>
      <c r="C203" s="138" cm="1">
        <f t="array" ref="C203">ad(B203)</f>
        <v>0.14034513968010948</v>
      </c>
      <c r="D203" s="7"/>
      <c r="E203" s="27"/>
      <c r="F203" s="27"/>
      <c r="G203" s="7"/>
      <c r="H203" s="28"/>
      <c r="I203" s="28"/>
      <c r="J203" s="28"/>
      <c r="K203" s="28"/>
    </row>
    <row r="204" spans="2:11" x14ac:dyDescent="0.25">
      <c r="B204" s="137">
        <v>0.19900000000000001</v>
      </c>
      <c r="C204" s="138" cm="1">
        <f t="array" ref="C204">ad(B204)</f>
        <v>0.14136085488671873</v>
      </c>
      <c r="D204" s="7"/>
      <c r="E204" s="27"/>
      <c r="F204" s="27"/>
      <c r="G204" s="7"/>
      <c r="H204" s="28"/>
      <c r="I204" s="28"/>
      <c r="J204" s="28"/>
      <c r="K204" s="28"/>
    </row>
    <row r="205" spans="2:11" x14ac:dyDescent="0.25">
      <c r="B205" s="137">
        <v>0.2</v>
      </c>
      <c r="C205" s="138" cm="1">
        <f t="array" ref="C205">ad(B205)</f>
        <v>0.14237848993264701</v>
      </c>
      <c r="D205" s="7"/>
      <c r="E205" s="27"/>
      <c r="F205" s="27"/>
      <c r="G205" s="7"/>
      <c r="H205" s="28"/>
      <c r="I205" s="28"/>
      <c r="J205" s="28"/>
      <c r="K205" s="28"/>
    </row>
    <row r="206" spans="2:11" x14ac:dyDescent="0.25">
      <c r="B206" s="137">
        <v>0.20100000000000001</v>
      </c>
      <c r="C206" s="138" cm="1">
        <f t="array" ref="C206">ad(B206)</f>
        <v>0.1433980348425552</v>
      </c>
      <c r="D206" s="7"/>
      <c r="E206" s="27"/>
      <c r="F206" s="27"/>
      <c r="G206" s="7"/>
      <c r="H206" s="28"/>
      <c r="I206" s="28"/>
      <c r="J206" s="28"/>
      <c r="K206" s="28"/>
    </row>
    <row r="207" spans="2:11" x14ac:dyDescent="0.25">
      <c r="B207" s="137">
        <v>0.20200000000000001</v>
      </c>
      <c r="C207" s="138" cm="1">
        <f t="array" ref="C207">ad(B207)</f>
        <v>0.14441947969705893</v>
      </c>
      <c r="D207" s="7"/>
      <c r="E207" s="27"/>
      <c r="F207" s="27"/>
      <c r="G207" s="7"/>
      <c r="H207" s="28"/>
      <c r="I207" s="28"/>
      <c r="J207" s="28"/>
      <c r="K207" s="28"/>
    </row>
    <row r="208" spans="2:11" x14ac:dyDescent="0.25">
      <c r="B208" s="137">
        <v>0.20300000000000001</v>
      </c>
      <c r="C208" s="138" cm="1">
        <f t="array" ref="C208">ad(B208)</f>
        <v>0.14544281463202396</v>
      </c>
      <c r="D208" s="7"/>
      <c r="E208" s="27"/>
      <c r="F208" s="27"/>
      <c r="G208" s="7"/>
      <c r="H208" s="28"/>
      <c r="I208" s="28"/>
      <c r="J208" s="28"/>
      <c r="K208" s="28"/>
    </row>
    <row r="209" spans="2:11" x14ac:dyDescent="0.25">
      <c r="B209" s="137">
        <v>0.20399999999999999</v>
      </c>
      <c r="C209" s="138" cm="1">
        <f t="array" ref="C209">ad(B209)</f>
        <v>0.14646802983787233</v>
      </c>
      <c r="D209" s="7"/>
      <c r="E209" s="27"/>
      <c r="F209" s="27"/>
      <c r="G209" s="7"/>
      <c r="H209" s="28"/>
      <c r="I209" s="28"/>
      <c r="J209" s="28"/>
      <c r="K209" s="28"/>
    </row>
    <row r="210" spans="2:11" x14ac:dyDescent="0.25">
      <c r="B210" s="137">
        <v>0.20499999999999999</v>
      </c>
      <c r="C210" s="138" cm="1">
        <f t="array" ref="C210">ad(B210)</f>
        <v>0.14749511555890132</v>
      </c>
      <c r="D210" s="7"/>
      <c r="E210" s="27"/>
      <c r="F210" s="27"/>
      <c r="G210" s="7"/>
      <c r="H210" s="28"/>
      <c r="I210" s="28"/>
      <c r="J210" s="28"/>
      <c r="K210" s="28"/>
    </row>
    <row r="211" spans="2:11" x14ac:dyDescent="0.25">
      <c r="B211" s="137">
        <v>0.20599999999999999</v>
      </c>
      <c r="C211" s="138" cm="1">
        <f t="array" ref="C211">ad(B211)</f>
        <v>0.14852406209261282</v>
      </c>
      <c r="D211" s="7"/>
      <c r="E211" s="27"/>
      <c r="F211" s="27"/>
      <c r="G211" s="7"/>
      <c r="H211" s="28"/>
      <c r="I211" s="28"/>
      <c r="J211" s="28"/>
      <c r="K211" s="28"/>
    </row>
    <row r="212" spans="2:11" x14ac:dyDescent="0.25">
      <c r="B212" s="137">
        <v>0.20699999999999999</v>
      </c>
      <c r="C212" s="138" cm="1">
        <f t="array" ref="C212">ad(B212)</f>
        <v>0.14955485978905425</v>
      </c>
      <c r="D212" s="7"/>
      <c r="E212" s="27"/>
      <c r="F212" s="27"/>
      <c r="G212" s="7"/>
      <c r="H212" s="28"/>
      <c r="I212" s="28"/>
      <c r="J212" s="28"/>
      <c r="K212" s="28"/>
    </row>
    <row r="213" spans="2:11" x14ac:dyDescent="0.25">
      <c r="B213" s="137">
        <v>0.20799999999999999</v>
      </c>
      <c r="C213" s="138" cm="1">
        <f t="array" ref="C213">ad(B213)</f>
        <v>0.15058749905017033</v>
      </c>
      <c r="D213" s="7"/>
      <c r="E213" s="27"/>
      <c r="F213" s="27"/>
      <c r="G213" s="7"/>
      <c r="H213" s="28"/>
      <c r="I213" s="28"/>
      <c r="J213" s="28"/>
      <c r="K213" s="28"/>
    </row>
    <row r="214" spans="2:11" x14ac:dyDescent="0.25">
      <c r="B214" s="137">
        <v>0.20899999999999999</v>
      </c>
      <c r="C214" s="138" cm="1">
        <f t="array" ref="C214">ad(B214)</f>
        <v>0.15162197032916525</v>
      </c>
      <c r="D214" s="7"/>
      <c r="E214" s="27"/>
      <c r="F214" s="27"/>
      <c r="G214" s="7"/>
      <c r="H214" s="28"/>
      <c r="I214" s="28"/>
      <c r="J214" s="28"/>
      <c r="K214" s="28"/>
    </row>
    <row r="215" spans="2:11" x14ac:dyDescent="0.25">
      <c r="B215" s="137">
        <v>0.21</v>
      </c>
      <c r="C215" s="138" cm="1">
        <f t="array" ref="C215">ad(B215)</f>
        <v>0.15265826412987554</v>
      </c>
      <c r="D215" s="7"/>
      <c r="E215" s="27"/>
      <c r="F215" s="27"/>
      <c r="G215" s="7"/>
      <c r="H215" s="28"/>
      <c r="I215" s="28"/>
      <c r="J215" s="28"/>
      <c r="K215" s="28"/>
    </row>
    <row r="216" spans="2:11" x14ac:dyDescent="0.25">
      <c r="B216" s="137">
        <v>0.21099999999999999</v>
      </c>
      <c r="C216" s="138" cm="1">
        <f t="array" ref="C216">ad(B216)</f>
        <v>0.15369637100615285</v>
      </c>
      <c r="D216" s="7"/>
      <c r="E216" s="27"/>
      <c r="F216" s="27"/>
      <c r="G216" s="7"/>
      <c r="H216" s="28"/>
      <c r="I216" s="28"/>
      <c r="J216" s="28"/>
      <c r="K216" s="28"/>
    </row>
    <row r="217" spans="2:11" x14ac:dyDescent="0.25">
      <c r="B217" s="137">
        <v>0.21199999999999999</v>
      </c>
      <c r="C217" s="138" cm="1">
        <f t="array" ref="C217">ad(B217)</f>
        <v>0.15473628156125696</v>
      </c>
      <c r="D217" s="7"/>
      <c r="E217" s="27"/>
      <c r="F217" s="27"/>
      <c r="G217" s="7"/>
      <c r="H217" s="28"/>
      <c r="I217" s="28"/>
      <c r="J217" s="28"/>
      <c r="K217" s="28"/>
    </row>
    <row r="218" spans="2:11" x14ac:dyDescent="0.25">
      <c r="B218" s="137">
        <v>0.21299999999999999</v>
      </c>
      <c r="C218" s="138" cm="1">
        <f t="array" ref="C218">ad(B218)</f>
        <v>0.15577798644725838</v>
      </c>
      <c r="D218" s="7"/>
      <c r="E218" s="27"/>
      <c r="F218" s="27"/>
      <c r="G218" s="7"/>
      <c r="H218" s="28"/>
      <c r="I218" s="28"/>
      <c r="J218" s="28"/>
      <c r="K218" s="28"/>
    </row>
    <row r="219" spans="2:11" x14ac:dyDescent="0.25">
      <c r="B219" s="137">
        <v>0.214</v>
      </c>
      <c r="C219" s="138" cm="1">
        <f t="array" ref="C219">ad(B219)</f>
        <v>0.15682147636445021</v>
      </c>
      <c r="D219" s="7"/>
      <c r="E219" s="27"/>
      <c r="F219" s="27"/>
      <c r="G219" s="7"/>
      <c r="H219" s="28"/>
      <c r="I219" s="28"/>
      <c r="J219" s="28"/>
      <c r="K219" s="28"/>
    </row>
    <row r="220" spans="2:11" x14ac:dyDescent="0.25">
      <c r="B220" s="137">
        <v>0.215</v>
      </c>
      <c r="C220" s="138" cm="1">
        <f t="array" ref="C220">ad(B220)</f>
        <v>0.15786674206077</v>
      </c>
      <c r="D220" s="7"/>
      <c r="E220" s="27"/>
      <c r="F220" s="27"/>
      <c r="G220" s="7"/>
      <c r="H220" s="28"/>
      <c r="I220" s="28"/>
      <c r="J220" s="28"/>
      <c r="K220" s="28"/>
    </row>
    <row r="221" spans="2:11" x14ac:dyDescent="0.25">
      <c r="B221" s="137">
        <v>0.216</v>
      </c>
      <c r="C221" s="138" cm="1">
        <f t="array" ref="C221">ad(B221)</f>
        <v>0.15891377433123055</v>
      </c>
      <c r="D221" s="7"/>
      <c r="E221" s="27"/>
      <c r="F221" s="27"/>
      <c r="G221" s="7"/>
      <c r="H221" s="28"/>
      <c r="I221" s="28"/>
      <c r="J221" s="28"/>
      <c r="K221" s="28"/>
    </row>
    <row r="222" spans="2:11" x14ac:dyDescent="0.25">
      <c r="B222" s="137">
        <v>0.217</v>
      </c>
      <c r="C222" s="138" cm="1">
        <f t="array" ref="C222">ad(B222)</f>
        <v>0.15996256401735887</v>
      </c>
      <c r="D222" s="7"/>
      <c r="E222" s="27"/>
      <c r="F222" s="27"/>
      <c r="G222" s="7"/>
      <c r="H222" s="28"/>
      <c r="I222" s="28"/>
      <c r="J222" s="28"/>
      <c r="K222" s="28"/>
    </row>
    <row r="223" spans="2:11" x14ac:dyDescent="0.25">
      <c r="B223" s="137">
        <v>0.218</v>
      </c>
      <c r="C223" s="138" cm="1">
        <f t="array" ref="C223">ad(B223)</f>
        <v>0.16101310200664537</v>
      </c>
      <c r="D223" s="7"/>
      <c r="E223" s="27"/>
      <c r="F223" s="27"/>
      <c r="G223" s="7"/>
      <c r="H223" s="28"/>
      <c r="I223" s="28"/>
      <c r="J223" s="28"/>
      <c r="K223" s="28"/>
    </row>
    <row r="224" spans="2:11" x14ac:dyDescent="0.25">
      <c r="B224" s="137">
        <v>0.219</v>
      </c>
      <c r="C224" s="138" cm="1">
        <f t="array" ref="C224">ad(B224)</f>
        <v>0.16206537923200026</v>
      </c>
      <c r="D224" s="7"/>
      <c r="E224" s="27"/>
      <c r="F224" s="27"/>
      <c r="G224" s="7"/>
      <c r="H224" s="28"/>
      <c r="I224" s="28"/>
      <c r="J224" s="28"/>
      <c r="K224" s="28"/>
    </row>
    <row r="225" spans="2:11" x14ac:dyDescent="0.25">
      <c r="B225" s="137">
        <v>0.22</v>
      </c>
      <c r="C225" s="138" cm="1">
        <f t="array" ref="C225">ad(B225)</f>
        <v>0.16311938667121928</v>
      </c>
      <c r="D225" s="7"/>
      <c r="E225" s="27"/>
      <c r="F225" s="27"/>
      <c r="G225" s="7"/>
      <c r="H225" s="28"/>
      <c r="I225" s="28"/>
      <c r="J225" s="28"/>
      <c r="K225" s="28"/>
    </row>
    <row r="226" spans="2:11" x14ac:dyDescent="0.25">
      <c r="B226" s="137">
        <v>0.221</v>
      </c>
      <c r="C226" s="138" cm="1">
        <f t="array" ref="C226">ad(B226)</f>
        <v>0.16417511534645746</v>
      </c>
      <c r="D226" s="7"/>
      <c r="E226" s="27"/>
      <c r="F226" s="27"/>
      <c r="G226" s="7"/>
      <c r="H226" s="28"/>
      <c r="I226" s="28"/>
      <c r="J226" s="28"/>
      <c r="K226" s="28"/>
    </row>
    <row r="227" spans="2:11" x14ac:dyDescent="0.25">
      <c r="B227" s="137">
        <v>0.222</v>
      </c>
      <c r="C227" s="138" cm="1">
        <f t="array" ref="C227">ad(B227)</f>
        <v>0.16523255632371048</v>
      </c>
      <c r="D227" s="7"/>
      <c r="E227" s="27"/>
      <c r="F227" s="27"/>
      <c r="G227" s="7"/>
      <c r="H227" s="28"/>
      <c r="I227" s="28"/>
      <c r="J227" s="28"/>
      <c r="K227" s="28"/>
    </row>
    <row r="228" spans="2:11" x14ac:dyDescent="0.25">
      <c r="B228" s="137">
        <v>0.223</v>
      </c>
      <c r="C228" s="138" cm="1">
        <f t="array" ref="C228">ad(B228)</f>
        <v>0.16629170071230459</v>
      </c>
      <c r="D228" s="7"/>
      <c r="E228" s="27"/>
      <c r="F228" s="27"/>
      <c r="G228" s="7"/>
      <c r="H228" s="28"/>
      <c r="I228" s="28"/>
      <c r="J228" s="28"/>
      <c r="K228" s="28"/>
    </row>
    <row r="229" spans="2:11" x14ac:dyDescent="0.25">
      <c r="B229" s="137">
        <v>0.224</v>
      </c>
      <c r="C229" s="138" cm="1">
        <f t="array" ref="C229">ad(B229)</f>
        <v>0.16735253966439412</v>
      </c>
      <c r="D229" s="7"/>
      <c r="E229" s="27"/>
      <c r="F229" s="27"/>
      <c r="G229" s="7"/>
      <c r="H229" s="28"/>
      <c r="I229" s="28"/>
      <c r="J229" s="28"/>
      <c r="K229" s="28"/>
    </row>
    <row r="230" spans="2:11" x14ac:dyDescent="0.25">
      <c r="B230" s="137">
        <v>0.22500000000000001</v>
      </c>
      <c r="C230" s="138" cm="1">
        <f t="array" ref="C230">ad(B230)</f>
        <v>0.16841506437446657</v>
      </c>
      <c r="D230" s="7"/>
      <c r="E230" s="27"/>
      <c r="F230" s="27"/>
      <c r="G230" s="7"/>
      <c r="H230" s="28"/>
      <c r="I230" s="28"/>
      <c r="J230" s="28"/>
      <c r="K230" s="28"/>
    </row>
    <row r="231" spans="2:11" x14ac:dyDescent="0.25">
      <c r="B231" s="137">
        <v>0.22600000000000001</v>
      </c>
      <c r="C231" s="138" cm="1">
        <f t="array" ref="C231">ad(B231)</f>
        <v>0.1694792660788545</v>
      </c>
      <c r="D231" s="7"/>
      <c r="E231" s="27"/>
      <c r="F231" s="27"/>
      <c r="G231" s="7"/>
      <c r="H231" s="28"/>
      <c r="I231" s="28"/>
      <c r="J231" s="28"/>
      <c r="K231" s="28"/>
    </row>
    <row r="232" spans="2:11" x14ac:dyDescent="0.25">
      <c r="B232" s="137">
        <v>0.22700000000000001</v>
      </c>
      <c r="C232" s="138" cm="1">
        <f t="array" ref="C232">ad(B232)</f>
        <v>0.17054513605525612</v>
      </c>
      <c r="D232" s="7"/>
      <c r="E232" s="27"/>
      <c r="F232" s="27"/>
      <c r="G232" s="7"/>
      <c r="H232" s="28"/>
      <c r="I232" s="28"/>
      <c r="J232" s="28"/>
      <c r="K232" s="28"/>
    </row>
    <row r="233" spans="2:11" x14ac:dyDescent="0.25">
      <c r="B233" s="137">
        <v>0.22800000000000001</v>
      </c>
      <c r="C233" s="138" cm="1">
        <f t="array" ref="C233">ad(B233)</f>
        <v>0.17161266562226174</v>
      </c>
      <c r="D233" s="7"/>
      <c r="E233" s="27"/>
      <c r="F233" s="27"/>
      <c r="G233" s="7"/>
      <c r="H233" s="28"/>
      <c r="I233" s="28"/>
      <c r="J233" s="28"/>
      <c r="K233" s="28"/>
    </row>
    <row r="234" spans="2:11" x14ac:dyDescent="0.25">
      <c r="B234" s="137">
        <v>0.22900000000000001</v>
      </c>
      <c r="C234" s="138" cm="1">
        <f t="array" ref="C234">ad(B234)</f>
        <v>0.17268184613888793</v>
      </c>
      <c r="D234" s="7"/>
      <c r="E234" s="27"/>
      <c r="F234" s="27"/>
      <c r="G234" s="7"/>
      <c r="H234" s="28"/>
      <c r="I234" s="28"/>
      <c r="J234" s="28"/>
      <c r="K234" s="28"/>
    </row>
    <row r="235" spans="2:11" x14ac:dyDescent="0.25">
      <c r="B235" s="137">
        <v>0.23</v>
      </c>
      <c r="C235" s="138" cm="1">
        <f t="array" ref="C235">ad(B235)</f>
        <v>0.17375266900411829</v>
      </c>
      <c r="D235" s="7"/>
      <c r="E235" s="27"/>
      <c r="F235" s="27"/>
      <c r="G235" s="7"/>
      <c r="H235" s="28"/>
      <c r="I235" s="28"/>
      <c r="J235" s="28"/>
      <c r="K235" s="28"/>
    </row>
    <row r="236" spans="2:11" x14ac:dyDescent="0.25">
      <c r="B236" s="137">
        <v>0.23100000000000001</v>
      </c>
      <c r="C236" s="138" cm="1">
        <f t="array" ref="C236">ad(B236)</f>
        <v>0.17482512565645103</v>
      </c>
      <c r="D236" s="7"/>
      <c r="E236" s="27"/>
      <c r="F236" s="27"/>
      <c r="G236" s="7"/>
      <c r="H236" s="28"/>
      <c r="I236" s="28"/>
      <c r="J236" s="28"/>
      <c r="K236" s="28"/>
    </row>
    <row r="237" spans="2:11" x14ac:dyDescent="0.25">
      <c r="B237" s="137">
        <v>0.23200000000000001</v>
      </c>
      <c r="C237" s="138" cm="1">
        <f t="array" ref="C237">ad(B237)</f>
        <v>0.17589920757345329</v>
      </c>
      <c r="D237" s="7"/>
      <c r="E237" s="27"/>
      <c r="F237" s="27"/>
      <c r="G237" s="7"/>
      <c r="H237" s="28"/>
      <c r="I237" s="28"/>
      <c r="J237" s="28"/>
      <c r="K237" s="28"/>
    </row>
    <row r="238" spans="2:11" x14ac:dyDescent="0.25">
      <c r="B238" s="137">
        <v>0.23300000000000001</v>
      </c>
      <c r="C238" s="138" cm="1">
        <f t="array" ref="C238">ad(B238)</f>
        <v>0.17697490627132167</v>
      </c>
      <c r="D238" s="7"/>
      <c r="E238" s="27"/>
      <c r="F238" s="27"/>
      <c r="G238" s="7"/>
      <c r="H238" s="28"/>
      <c r="I238" s="28"/>
      <c r="J238" s="28"/>
      <c r="K238" s="28"/>
    </row>
    <row r="239" spans="2:11" x14ac:dyDescent="0.25">
      <c r="B239" s="137">
        <v>0.23400000000000001</v>
      </c>
      <c r="C239" s="138" cm="1">
        <f t="array" ref="C239">ad(B239)</f>
        <v>0.17805221330444954</v>
      </c>
      <c r="D239" s="7"/>
      <c r="E239" s="27"/>
      <c r="F239" s="27"/>
      <c r="G239" s="7"/>
      <c r="H239" s="28"/>
      <c r="I239" s="28"/>
      <c r="J239" s="28"/>
      <c r="K239" s="28"/>
    </row>
    <row r="240" spans="2:11" x14ac:dyDescent="0.25">
      <c r="B240" s="137">
        <v>0.23499999999999999</v>
      </c>
      <c r="C240" s="138" cm="1">
        <f t="array" ref="C240">ad(B240)</f>
        <v>0.17913112026500011</v>
      </c>
      <c r="D240" s="7"/>
      <c r="E240" s="27"/>
      <c r="F240" s="27"/>
      <c r="G240" s="7"/>
      <c r="H240" s="28"/>
      <c r="I240" s="28"/>
      <c r="J240" s="28"/>
      <c r="K240" s="28"/>
    </row>
    <row r="241" spans="2:11" x14ac:dyDescent="0.25">
      <c r="B241" s="137">
        <v>0.23599999999999999</v>
      </c>
      <c r="C241" s="138" cm="1">
        <f t="array" ref="C241">ad(B241)</f>
        <v>0.18021161878248593</v>
      </c>
      <c r="D241" s="7"/>
      <c r="E241" s="27"/>
      <c r="F241" s="27"/>
      <c r="G241" s="7"/>
      <c r="H241" s="28"/>
      <c r="I241" s="28"/>
      <c r="J241" s="28"/>
      <c r="K241" s="28"/>
    </row>
    <row r="242" spans="2:11" x14ac:dyDescent="0.25">
      <c r="B242" s="137">
        <v>0.23699999999999999</v>
      </c>
      <c r="C242" s="138" cm="1">
        <f t="array" ref="C242">ad(B242)</f>
        <v>0.18129370052335431</v>
      </c>
      <c r="D242" s="7"/>
      <c r="E242" s="27"/>
      <c r="F242" s="27"/>
      <c r="G242" s="7"/>
      <c r="H242" s="28"/>
      <c r="I242" s="28"/>
      <c r="J242" s="28"/>
      <c r="K242" s="28"/>
    </row>
    <row r="243" spans="2:11" x14ac:dyDescent="0.25">
      <c r="B243" s="137">
        <v>0.23799999999999999</v>
      </c>
      <c r="C243" s="138" cm="1">
        <f t="array" ref="C243">ad(B243)</f>
        <v>0.18237735719057874</v>
      </c>
      <c r="D243" s="7"/>
      <c r="E243" s="27"/>
      <c r="F243" s="27"/>
      <c r="G243" s="7"/>
      <c r="H243" s="28"/>
      <c r="I243" s="28"/>
      <c r="J243" s="28"/>
      <c r="K243" s="28"/>
    </row>
    <row r="244" spans="2:11" x14ac:dyDescent="0.25">
      <c r="B244" s="137">
        <v>0.23899999999999999</v>
      </c>
      <c r="C244" s="138" cm="1">
        <f t="array" ref="C244">ad(B244)</f>
        <v>0.18346258052325598</v>
      </c>
      <c r="D244" s="7"/>
      <c r="E244" s="27"/>
      <c r="F244" s="27"/>
      <c r="G244" s="7"/>
      <c r="H244" s="28"/>
      <c r="I244" s="28"/>
      <c r="J244" s="28"/>
      <c r="K244" s="28"/>
    </row>
    <row r="245" spans="2:11" x14ac:dyDescent="0.25">
      <c r="B245" s="137">
        <v>0.24</v>
      </c>
      <c r="C245" s="138" cm="1">
        <f t="array" ref="C245">ad(B245)</f>
        <v>0.18454936229620855</v>
      </c>
      <c r="D245" s="7"/>
      <c r="E245" s="27"/>
      <c r="F245" s="27"/>
      <c r="G245" s="7"/>
      <c r="H245" s="28"/>
      <c r="I245" s="28"/>
      <c r="J245" s="28"/>
      <c r="K245" s="28"/>
    </row>
    <row r="246" spans="2:11" x14ac:dyDescent="0.25">
      <c r="B246" s="137">
        <v>0.24099999999999999</v>
      </c>
      <c r="C246" s="138" cm="1">
        <f t="array" ref="C246">ad(B246)</f>
        <v>0.18563769431959343</v>
      </c>
      <c r="D246" s="7"/>
      <c r="E246" s="27"/>
      <c r="F246" s="27"/>
      <c r="G246" s="7"/>
      <c r="H246" s="28"/>
      <c r="I246" s="28"/>
      <c r="J246" s="28"/>
      <c r="K246" s="28"/>
    </row>
    <row r="247" spans="2:11" x14ac:dyDescent="0.25">
      <c r="B247" s="137">
        <v>0.24199999999999999</v>
      </c>
      <c r="C247" s="138" cm="1">
        <f t="array" ref="C247">ad(B247)</f>
        <v>0.18672756843851573</v>
      </c>
      <c r="D247" s="7"/>
      <c r="E247" s="27"/>
      <c r="F247" s="27"/>
      <c r="G247" s="7"/>
      <c r="H247" s="28"/>
      <c r="I247" s="28"/>
      <c r="J247" s="28"/>
      <c r="K247" s="28"/>
    </row>
    <row r="248" spans="2:11" x14ac:dyDescent="0.25">
      <c r="B248" s="137">
        <v>0.24299999999999999</v>
      </c>
      <c r="C248" s="138" cm="1">
        <f t="array" ref="C248">ad(B248)</f>
        <v>0.18781897653264779</v>
      </c>
      <c r="D248" s="7"/>
      <c r="E248" s="27"/>
      <c r="F248" s="27"/>
      <c r="G248" s="7"/>
      <c r="H248" s="28"/>
      <c r="I248" s="28"/>
      <c r="J248" s="28"/>
      <c r="K248" s="28"/>
    </row>
    <row r="249" spans="2:11" x14ac:dyDescent="0.25">
      <c r="B249" s="137">
        <v>0.24399999999999999</v>
      </c>
      <c r="C249" s="138" cm="1">
        <f t="array" ref="C249">ad(B249)</f>
        <v>0.1889119105158536</v>
      </c>
      <c r="D249" s="7"/>
      <c r="E249" s="27"/>
      <c r="F249" s="27"/>
      <c r="G249" s="7"/>
      <c r="H249" s="28"/>
      <c r="I249" s="28"/>
      <c r="J249" s="28"/>
      <c r="K249" s="28"/>
    </row>
    <row r="250" spans="2:11" x14ac:dyDescent="0.25">
      <c r="B250" s="137">
        <v>0.245</v>
      </c>
      <c r="C250" s="138" cm="1">
        <f t="array" ref="C250">ad(B250)</f>
        <v>0.19000636233581847</v>
      </c>
      <c r="D250" s="7"/>
      <c r="E250" s="27"/>
      <c r="F250" s="27"/>
      <c r="G250" s="7"/>
      <c r="H250" s="28"/>
      <c r="I250" s="28"/>
      <c r="J250" s="28"/>
      <c r="K250" s="28"/>
    </row>
    <row r="251" spans="2:11" x14ac:dyDescent="0.25">
      <c r="B251" s="137">
        <v>0.246</v>
      </c>
      <c r="C251" s="138" cm="1">
        <f t="array" ref="C251">ad(B251)</f>
        <v>0.19110232397368376</v>
      </c>
      <c r="D251" s="7"/>
      <c r="E251" s="27"/>
      <c r="F251" s="27"/>
      <c r="G251" s="7"/>
      <c r="H251" s="28"/>
      <c r="I251" s="28"/>
      <c r="J251" s="28"/>
      <c r="K251" s="28"/>
    </row>
    <row r="252" spans="2:11" x14ac:dyDescent="0.25">
      <c r="B252" s="137">
        <v>0.247</v>
      </c>
      <c r="C252" s="138" cm="1">
        <f t="array" ref="C252">ad(B252)</f>
        <v>0.19219978744368615</v>
      </c>
      <c r="D252" s="7"/>
      <c r="E252" s="27"/>
      <c r="F252" s="27"/>
      <c r="G252" s="7"/>
      <c r="H252" s="28"/>
      <c r="I252" s="28"/>
      <c r="J252" s="28"/>
      <c r="K252" s="28"/>
    </row>
    <row r="253" spans="2:11" x14ac:dyDescent="0.25">
      <c r="B253" s="137">
        <v>0.248</v>
      </c>
      <c r="C253" s="138" cm="1">
        <f t="array" ref="C253">ad(B253)</f>
        <v>0.1932987447928024</v>
      </c>
      <c r="D253" s="7"/>
      <c r="E253" s="27"/>
      <c r="F253" s="27"/>
      <c r="G253" s="7"/>
      <c r="H253" s="28"/>
      <c r="I253" s="28"/>
      <c r="J253" s="28"/>
      <c r="K253" s="28"/>
    </row>
    <row r="254" spans="2:11" x14ac:dyDescent="0.25">
      <c r="B254" s="137">
        <v>0.249</v>
      </c>
      <c r="C254" s="138" cm="1">
        <f t="array" ref="C254">ad(B254)</f>
        <v>0.19439918810039891</v>
      </c>
      <c r="D254" s="7"/>
      <c r="E254" s="27"/>
      <c r="F254" s="27"/>
      <c r="G254" s="7"/>
      <c r="H254" s="28"/>
      <c r="I254" s="28"/>
      <c r="J254" s="28"/>
      <c r="K254" s="28"/>
    </row>
    <row r="255" spans="2:11" x14ac:dyDescent="0.25">
      <c r="B255" s="137">
        <v>0.25</v>
      </c>
      <c r="C255" s="138" cm="1">
        <f t="array" ref="C255">ad(B255)</f>
        <v>0.19550110947788529</v>
      </c>
      <c r="D255" s="7"/>
      <c r="E255" s="27"/>
      <c r="F255" s="27"/>
      <c r="G255" s="7"/>
      <c r="H255" s="28"/>
      <c r="I255" s="28"/>
      <c r="J255" s="28"/>
      <c r="K255" s="28"/>
    </row>
    <row r="256" spans="2:11" x14ac:dyDescent="0.25">
      <c r="B256" s="137">
        <v>0.251</v>
      </c>
      <c r="C256" s="138" cm="1">
        <f t="array" ref="C256">ad(B256)</f>
        <v>0.19660450106837324</v>
      </c>
      <c r="D256" s="7"/>
      <c r="E256" s="27"/>
      <c r="F256" s="27"/>
      <c r="G256" s="7"/>
      <c r="H256" s="28"/>
      <c r="I256" s="28"/>
      <c r="J256" s="28"/>
      <c r="K256" s="28"/>
    </row>
    <row r="257" spans="2:11" x14ac:dyDescent="0.25">
      <c r="B257" s="137">
        <v>0.252</v>
      </c>
      <c r="C257" s="138" cm="1">
        <f t="array" ref="C257">ad(B257)</f>
        <v>0.19770935504633946</v>
      </c>
      <c r="D257" s="7"/>
      <c r="E257" s="27"/>
      <c r="F257" s="27"/>
      <c r="G257" s="7"/>
      <c r="H257" s="28"/>
      <c r="I257" s="28"/>
      <c r="J257" s="28"/>
      <c r="K257" s="28"/>
    </row>
    <row r="258" spans="2:11" x14ac:dyDescent="0.25">
      <c r="B258" s="137">
        <v>0.253</v>
      </c>
      <c r="C258" s="138" cm="1">
        <f t="array" ref="C258">ad(B258)</f>
        <v>0.19881566361729397</v>
      </c>
      <c r="D258" s="7"/>
      <c r="E258" s="27"/>
      <c r="F258" s="27"/>
      <c r="G258" s="7"/>
      <c r="H258" s="28"/>
      <c r="I258" s="28"/>
      <c r="J258" s="28"/>
      <c r="K258" s="28"/>
    </row>
    <row r="259" spans="2:11" x14ac:dyDescent="0.25">
      <c r="B259" s="137">
        <v>0.254</v>
      </c>
      <c r="C259" s="138" cm="1">
        <f t="array" ref="C259">ad(B259)</f>
        <v>0.19992341901745142</v>
      </c>
      <c r="D259" s="7"/>
      <c r="E259" s="27"/>
      <c r="F259" s="27"/>
      <c r="G259" s="7"/>
      <c r="H259" s="28"/>
      <c r="I259" s="28"/>
      <c r="J259" s="28"/>
      <c r="K259" s="28"/>
    </row>
    <row r="260" spans="2:11" x14ac:dyDescent="0.25">
      <c r="B260" s="137">
        <v>0.255</v>
      </c>
      <c r="C260" s="138" cm="1">
        <f t="array" ref="C260">ad(B260)</f>
        <v>0.20103261351340762</v>
      </c>
      <c r="D260" s="7"/>
      <c r="E260" s="27"/>
      <c r="F260" s="27"/>
      <c r="G260" s="7"/>
      <c r="H260" s="28"/>
      <c r="I260" s="28"/>
      <c r="J260" s="28"/>
      <c r="K260" s="28"/>
    </row>
    <row r="261" spans="2:11" x14ac:dyDescent="0.25">
      <c r="B261" s="137">
        <v>0.25600000000000001</v>
      </c>
      <c r="C261" s="138" cm="1">
        <f t="array" ref="C261">ad(B261)</f>
        <v>0.20214323940182044</v>
      </c>
      <c r="D261" s="7"/>
      <c r="E261" s="27"/>
      <c r="F261" s="27"/>
      <c r="G261" s="7"/>
      <c r="H261" s="28"/>
      <c r="I261" s="28"/>
      <c r="J261" s="28"/>
      <c r="K261" s="28"/>
    </row>
    <row r="262" spans="2:11" x14ac:dyDescent="0.25">
      <c r="B262" s="137">
        <v>0.25700000000000001</v>
      </c>
      <c r="C262" s="138" cm="1">
        <f t="array" ref="C262">ad(B262)</f>
        <v>0.20325528900909429</v>
      </c>
      <c r="D262" s="7"/>
      <c r="E262" s="27"/>
      <c r="F262" s="27"/>
      <c r="G262" s="7"/>
      <c r="H262" s="28"/>
      <c r="I262" s="28"/>
      <c r="J262" s="28"/>
      <c r="K262" s="28"/>
    </row>
    <row r="263" spans="2:11" x14ac:dyDescent="0.25">
      <c r="B263" s="137">
        <v>0.25800000000000001</v>
      </c>
      <c r="C263" s="138" cm="1">
        <f t="array" ref="C263">ad(B263)</f>
        <v>0.20436875469106852</v>
      </c>
      <c r="D263" s="7"/>
      <c r="E263" s="27"/>
      <c r="F263" s="27"/>
      <c r="G263" s="7"/>
      <c r="H263" s="28"/>
      <c r="I263" s="28"/>
      <c r="J263" s="28"/>
      <c r="K263" s="28"/>
    </row>
    <row r="264" spans="2:11" x14ac:dyDescent="0.25">
      <c r="B264" s="137">
        <v>0.25900000000000001</v>
      </c>
      <c r="C264" s="138" cm="1">
        <f t="array" ref="C264">ad(B264)</f>
        <v>0.20548362883271104</v>
      </c>
      <c r="D264" s="7"/>
      <c r="E264" s="27"/>
      <c r="F264" s="27"/>
      <c r="G264" s="7"/>
      <c r="H264" s="28"/>
      <c r="I264" s="28"/>
      <c r="J264" s="28"/>
      <c r="K264" s="28"/>
    </row>
    <row r="265" spans="2:11" x14ac:dyDescent="0.25">
      <c r="B265" s="137">
        <v>0.26</v>
      </c>
      <c r="C265" s="138" cm="1">
        <f t="array" ref="C265">ad(B265)</f>
        <v>0.20659990384781435</v>
      </c>
      <c r="D265" s="7"/>
      <c r="E265" s="27"/>
      <c r="F265" s="27"/>
      <c r="G265" s="7"/>
      <c r="H265" s="28"/>
      <c r="I265" s="28"/>
      <c r="J265" s="28"/>
      <c r="K265" s="28"/>
    </row>
    <row r="266" spans="2:11" x14ac:dyDescent="0.25">
      <c r="B266" s="137">
        <v>0.26100000000000001</v>
      </c>
      <c r="C266" s="138" cm="1">
        <f t="array" ref="C266">ad(B266)</f>
        <v>0.20771757217869669</v>
      </c>
      <c r="D266" s="7"/>
      <c r="E266" s="27"/>
      <c r="F266" s="27"/>
      <c r="G266" s="7"/>
      <c r="H266" s="28"/>
      <c r="I266" s="28"/>
      <c r="J266" s="28"/>
      <c r="K266" s="28"/>
    </row>
    <row r="267" spans="2:11" x14ac:dyDescent="0.25">
      <c r="B267" s="137">
        <v>0.26200000000000001</v>
      </c>
      <c r="C267" s="138" cm="1">
        <f t="array" ref="C267">ad(B267)</f>
        <v>0.20883662629590594</v>
      </c>
      <c r="D267" s="7"/>
      <c r="E267" s="27"/>
      <c r="F267" s="27"/>
      <c r="G267" s="7"/>
      <c r="H267" s="28"/>
      <c r="I267" s="28"/>
      <c r="J267" s="28"/>
      <c r="K267" s="28"/>
    </row>
    <row r="268" spans="2:11" x14ac:dyDescent="0.25">
      <c r="B268" s="137">
        <v>0.26300000000000001</v>
      </c>
      <c r="C268" s="138" cm="1">
        <f t="array" ref="C268">ad(B268)</f>
        <v>0.20995705869792824</v>
      </c>
      <c r="D268" s="7"/>
      <c r="E268" s="27"/>
      <c r="F268" s="27"/>
      <c r="G268" s="7"/>
      <c r="H268" s="28"/>
      <c r="I268" s="28"/>
      <c r="J268" s="28"/>
      <c r="K268" s="28"/>
    </row>
    <row r="269" spans="2:11" x14ac:dyDescent="0.25">
      <c r="B269" s="137">
        <v>0.26400000000000001</v>
      </c>
      <c r="C269" s="138" cm="1">
        <f t="array" ref="C269">ad(B269)</f>
        <v>0.21107886191089964</v>
      </c>
      <c r="D269" s="7"/>
      <c r="E269" s="27"/>
      <c r="F269" s="27"/>
      <c r="G269" s="7"/>
      <c r="H269" s="28"/>
      <c r="I269" s="28"/>
      <c r="J269" s="28"/>
      <c r="K269" s="28"/>
    </row>
    <row r="270" spans="2:11" x14ac:dyDescent="0.25">
      <c r="B270" s="137">
        <v>0.26500000000000001</v>
      </c>
      <c r="C270" s="138" cm="1">
        <f t="array" ref="C270">ad(B270)</f>
        <v>0.21220202848832143</v>
      </c>
      <c r="D270" s="7"/>
      <c r="E270" s="27"/>
      <c r="F270" s="27"/>
      <c r="G270" s="7"/>
      <c r="H270" s="28"/>
      <c r="I270" s="28"/>
      <c r="J270" s="28"/>
      <c r="K270" s="28"/>
    </row>
    <row r="271" spans="2:11" x14ac:dyDescent="0.25">
      <c r="B271" s="137">
        <v>0.26600000000000001</v>
      </c>
      <c r="C271" s="138" cm="1">
        <f t="array" ref="C271">ad(B271)</f>
        <v>0.21332655101077924</v>
      </c>
      <c r="D271" s="7"/>
      <c r="E271" s="27"/>
      <c r="F271" s="27"/>
      <c r="G271" s="7"/>
      <c r="H271" s="28"/>
      <c r="I271" s="28"/>
      <c r="J271" s="28"/>
      <c r="K271" s="28"/>
    </row>
    <row r="272" spans="2:11" x14ac:dyDescent="0.25">
      <c r="B272" s="137">
        <v>0.26700000000000002</v>
      </c>
      <c r="C272" s="138" cm="1">
        <f t="array" ref="C272">ad(B272)</f>
        <v>0.21445242208566567</v>
      </c>
      <c r="D272" s="7"/>
      <c r="E272" s="27"/>
      <c r="F272" s="27"/>
      <c r="G272" s="7"/>
      <c r="H272" s="28"/>
      <c r="I272" s="28"/>
      <c r="J272" s="28"/>
      <c r="K272" s="28"/>
    </row>
    <row r="273" spans="2:11" x14ac:dyDescent="0.25">
      <c r="B273" s="137">
        <v>0.26800000000000002</v>
      </c>
      <c r="C273" s="138" cm="1">
        <f t="array" ref="C273">ad(B273)</f>
        <v>0.21557963434690602</v>
      </c>
      <c r="D273" s="7"/>
      <c r="E273" s="27"/>
      <c r="F273" s="27"/>
      <c r="G273" s="7"/>
      <c r="H273" s="28"/>
      <c r="I273" s="28"/>
      <c r="J273" s="28"/>
      <c r="K273" s="28"/>
    </row>
    <row r="274" spans="2:11" x14ac:dyDescent="0.25">
      <c r="B274" s="137">
        <v>0.26900000000000002</v>
      </c>
      <c r="C274" s="138" cm="1">
        <f t="array" ref="C274">ad(B274)</f>
        <v>0.21670818045468754</v>
      </c>
      <c r="D274" s="7"/>
      <c r="E274" s="27"/>
      <c r="F274" s="27"/>
      <c r="G274" s="7"/>
      <c r="H274" s="28"/>
      <c r="I274" s="28"/>
      <c r="J274" s="28"/>
      <c r="K274" s="28"/>
    </row>
    <row r="275" spans="2:11" x14ac:dyDescent="0.25">
      <c r="B275" s="137">
        <v>0.27</v>
      </c>
      <c r="C275" s="138" cm="1">
        <f t="array" ref="C275">ad(B275)</f>
        <v>0.21783805309519211</v>
      </c>
      <c r="D275" s="7"/>
      <c r="E275" s="27"/>
      <c r="F275" s="27"/>
      <c r="G275" s="7"/>
      <c r="H275" s="28"/>
      <c r="I275" s="28"/>
      <c r="J275" s="28"/>
      <c r="K275" s="28"/>
    </row>
    <row r="276" spans="2:11" x14ac:dyDescent="0.25">
      <c r="B276" s="137">
        <v>0.27100000000000002</v>
      </c>
      <c r="C276" s="138" cm="1">
        <f t="array" ref="C276">ad(B276)</f>
        <v>0.21896924498033232</v>
      </c>
      <c r="D276" s="7"/>
      <c r="E276" s="27"/>
      <c r="F276" s="27"/>
      <c r="G276" s="7"/>
      <c r="H276" s="28"/>
      <c r="I276" s="28"/>
      <c r="J276" s="28"/>
      <c r="K276" s="28"/>
    </row>
    <row r="277" spans="2:11" x14ac:dyDescent="0.25">
      <c r="B277" s="137">
        <v>0.27200000000000002</v>
      </c>
      <c r="C277" s="138" cm="1">
        <f t="array" ref="C277">ad(B277)</f>
        <v>0.22010174884749001</v>
      </c>
      <c r="D277" s="7"/>
      <c r="E277" s="27"/>
      <c r="F277" s="27"/>
      <c r="G277" s="7"/>
      <c r="H277" s="28"/>
      <c r="I277" s="28"/>
      <c r="J277" s="28"/>
      <c r="K277" s="28"/>
    </row>
    <row r="278" spans="2:11" x14ac:dyDescent="0.25">
      <c r="B278" s="137">
        <v>0.27300000000000002</v>
      </c>
      <c r="C278" s="138" cm="1">
        <f t="array" ref="C278">ad(B278)</f>
        <v>0.2212355574592591</v>
      </c>
      <c r="D278" s="7"/>
      <c r="E278" s="27"/>
      <c r="F278" s="27"/>
      <c r="G278" s="7"/>
      <c r="H278" s="28"/>
      <c r="I278" s="28"/>
      <c r="J278" s="28"/>
      <c r="K278" s="28"/>
    </row>
    <row r="279" spans="2:11" x14ac:dyDescent="0.25">
      <c r="B279" s="137">
        <v>0.27400000000000002</v>
      </c>
      <c r="C279" s="138" cm="1">
        <f t="array" ref="C279">ad(B279)</f>
        <v>0.22237066360319047</v>
      </c>
      <c r="D279" s="7"/>
      <c r="E279" s="27"/>
      <c r="F279" s="27"/>
      <c r="G279" s="7"/>
      <c r="H279" s="28"/>
      <c r="I279" s="28"/>
      <c r="J279" s="28"/>
      <c r="K279" s="28"/>
    </row>
    <row r="280" spans="2:11" x14ac:dyDescent="0.25">
      <c r="B280" s="137">
        <v>0.27500000000000002</v>
      </c>
      <c r="C280" s="138" cm="1">
        <f t="array" ref="C280">ad(B280)</f>
        <v>0.22350706009154042</v>
      </c>
      <c r="D280" s="7"/>
      <c r="E280" s="27"/>
      <c r="F280" s="27"/>
      <c r="G280" s="7"/>
      <c r="H280" s="28"/>
      <c r="I280" s="28"/>
      <c r="J280" s="28"/>
      <c r="K280" s="28"/>
    </row>
    <row r="281" spans="2:11" x14ac:dyDescent="0.25">
      <c r="B281" s="137">
        <v>0.27600000000000002</v>
      </c>
      <c r="C281" s="138" cm="1">
        <f t="array" ref="C281">ad(B281)</f>
        <v>0.22464473976102228</v>
      </c>
      <c r="D281" s="7"/>
      <c r="E281" s="27"/>
      <c r="F281" s="27"/>
      <c r="G281" s="7"/>
      <c r="H281" s="28"/>
      <c r="I281" s="28"/>
      <c r="J281" s="28"/>
      <c r="K281" s="28"/>
    </row>
    <row r="282" spans="2:11" x14ac:dyDescent="0.25">
      <c r="B282" s="137">
        <v>0.27700000000000002</v>
      </c>
      <c r="C282" s="138" cm="1">
        <f t="array" ref="C282">ad(B282)</f>
        <v>0.22578369547256061</v>
      </c>
      <c r="D282" s="7"/>
      <c r="E282" s="27"/>
      <c r="F282" s="27"/>
      <c r="G282" s="7"/>
      <c r="H282" s="28"/>
      <c r="I282" s="28"/>
      <c r="J282" s="28"/>
      <c r="K282" s="28"/>
    </row>
    <row r="283" spans="2:11" x14ac:dyDescent="0.25">
      <c r="B283" s="137">
        <v>0.27800000000000002</v>
      </c>
      <c r="C283" s="138" cm="1">
        <f t="array" ref="C283">ad(B283)</f>
        <v>0.22692392011104801</v>
      </c>
      <c r="D283" s="7"/>
      <c r="E283" s="27"/>
      <c r="F283" s="27"/>
      <c r="G283" s="7"/>
      <c r="H283" s="28"/>
      <c r="I283" s="28"/>
      <c r="J283" s="28"/>
      <c r="K283" s="28"/>
    </row>
    <row r="284" spans="2:11" x14ac:dyDescent="0.25">
      <c r="B284" s="137">
        <v>0.27900000000000003</v>
      </c>
      <c r="C284" s="138" cm="1">
        <f t="array" ref="C284">ad(B284)</f>
        <v>0.22806540658510588</v>
      </c>
      <c r="D284" s="7"/>
      <c r="E284" s="27"/>
      <c r="F284" s="27"/>
      <c r="G284" s="7"/>
      <c r="H284" s="28"/>
      <c r="I284" s="28"/>
      <c r="J284" s="28"/>
      <c r="K284" s="28"/>
    </row>
    <row r="285" spans="2:11" x14ac:dyDescent="0.25">
      <c r="B285" s="137">
        <v>0.28000000000000003</v>
      </c>
      <c r="C285" s="138" cm="1">
        <f t="array" ref="C285">ad(B285)</f>
        <v>0.22920814782684673</v>
      </c>
      <c r="D285" s="7"/>
      <c r="E285" s="27"/>
      <c r="F285" s="27"/>
      <c r="G285" s="7"/>
      <c r="H285" s="28"/>
      <c r="I285" s="28"/>
      <c r="J285" s="28"/>
      <c r="K285" s="28"/>
    </row>
    <row r="286" spans="2:11" x14ac:dyDescent="0.25">
      <c r="B286" s="137">
        <v>0.28100000000000003</v>
      </c>
      <c r="C286" s="138" cm="1">
        <f t="array" ref="C286">ad(B286)</f>
        <v>0.23035213679164029</v>
      </c>
      <c r="D286" s="7"/>
      <c r="E286" s="27"/>
      <c r="F286" s="27"/>
      <c r="G286" s="7"/>
      <c r="H286" s="28"/>
      <c r="I286" s="28"/>
      <c r="J286" s="28"/>
      <c r="K286" s="28"/>
    </row>
    <row r="287" spans="2:11" x14ac:dyDescent="0.25">
      <c r="B287" s="137">
        <v>0.28199999999999997</v>
      </c>
      <c r="C287" s="138" cm="1">
        <f t="array" ref="C287">ad(B287)</f>
        <v>0.23149736645788149</v>
      </c>
      <c r="D287" s="7"/>
      <c r="E287" s="27"/>
      <c r="F287" s="27"/>
      <c r="G287" s="7"/>
      <c r="H287" s="28"/>
      <c r="I287" s="28"/>
      <c r="J287" s="28"/>
      <c r="K287" s="28"/>
    </row>
    <row r="288" spans="2:11" x14ac:dyDescent="0.25">
      <c r="B288" s="137">
        <v>0.28299999999999997</v>
      </c>
      <c r="C288" s="138" cm="1">
        <f t="array" ref="C288">ad(B288)</f>
        <v>0.23264382982676157</v>
      </c>
      <c r="D288" s="7"/>
      <c r="E288" s="27"/>
      <c r="F288" s="27"/>
      <c r="G288" s="7"/>
      <c r="H288" s="28"/>
      <c r="I288" s="28"/>
      <c r="J288" s="28"/>
      <c r="K288" s="28"/>
    </row>
    <row r="289" spans="2:11" x14ac:dyDescent="0.25">
      <c r="B289" s="137">
        <v>0.28399999999999997</v>
      </c>
      <c r="C289" s="138" cm="1">
        <f t="array" ref="C289">ad(B289)</f>
        <v>0.23379151992204206</v>
      </c>
      <c r="D289" s="7"/>
      <c r="E289" s="27"/>
      <c r="F289" s="27"/>
      <c r="G289" s="7"/>
      <c r="H289" s="28"/>
      <c r="I289" s="28"/>
      <c r="J289" s="28"/>
      <c r="K289" s="28"/>
    </row>
    <row r="290" spans="2:11" x14ac:dyDescent="0.25">
      <c r="B290" s="137">
        <v>0.28499999999999998</v>
      </c>
      <c r="C290" s="138" cm="1">
        <f t="array" ref="C290">ad(B290)</f>
        <v>0.23494042978983048</v>
      </c>
      <c r="D290" s="7"/>
      <c r="E290" s="27"/>
      <c r="F290" s="27"/>
      <c r="G290" s="7"/>
      <c r="H290" s="28"/>
      <c r="I290" s="28"/>
      <c r="J290" s="28"/>
      <c r="K290" s="28"/>
    </row>
    <row r="291" spans="2:11" x14ac:dyDescent="0.25">
      <c r="B291" s="137">
        <v>0.28599999999999998</v>
      </c>
      <c r="C291" s="138" cm="1">
        <f t="array" ref="C291">ad(B291)</f>
        <v>0.2360905524983597</v>
      </c>
      <c r="D291" s="7"/>
      <c r="E291" s="27"/>
      <c r="F291" s="27"/>
      <c r="G291" s="7"/>
      <c r="H291" s="28"/>
      <c r="I291" s="28"/>
      <c r="J291" s="28"/>
      <c r="K291" s="28"/>
    </row>
    <row r="292" spans="2:11" x14ac:dyDescent="0.25">
      <c r="B292" s="137">
        <v>0.28699999999999998</v>
      </c>
      <c r="C292" s="138" cm="1">
        <f t="array" ref="C292">ad(B292)</f>
        <v>0.23724188113776873</v>
      </c>
      <c r="D292" s="7"/>
      <c r="E292" s="27"/>
      <c r="F292" s="27"/>
      <c r="G292" s="7"/>
      <c r="H292" s="28"/>
      <c r="I292" s="28"/>
      <c r="J292" s="28"/>
      <c r="K292" s="28"/>
    </row>
    <row r="293" spans="2:11" x14ac:dyDescent="0.25">
      <c r="B293" s="137">
        <v>0.28799999999999998</v>
      </c>
      <c r="C293" s="138" cm="1">
        <f t="array" ref="C293">ad(B293)</f>
        <v>0.23839440881988688</v>
      </c>
      <c r="D293" s="7"/>
      <c r="E293" s="27"/>
      <c r="F293" s="27"/>
      <c r="G293" s="7"/>
      <c r="H293" s="28"/>
      <c r="I293" s="28"/>
      <c r="J293" s="28"/>
      <c r="K293" s="28"/>
    </row>
    <row r="294" spans="2:11" x14ac:dyDescent="0.25">
      <c r="B294" s="137">
        <v>0.28899999999999998</v>
      </c>
      <c r="C294" s="138" cm="1">
        <f t="array" ref="C294">ad(B294)</f>
        <v>0.23954812867801978</v>
      </c>
      <c r="D294" s="7"/>
      <c r="E294" s="27"/>
      <c r="F294" s="27"/>
      <c r="G294" s="7"/>
      <c r="H294" s="28"/>
      <c r="I294" s="28"/>
      <c r="J294" s="28"/>
      <c r="K294" s="28"/>
    </row>
    <row r="295" spans="2:11" x14ac:dyDescent="0.25">
      <c r="B295" s="137">
        <v>0.28999999999999998</v>
      </c>
      <c r="C295" s="138" cm="1">
        <f t="array" ref="C295">ad(B295)</f>
        <v>0.24070303386673803</v>
      </c>
      <c r="D295" s="7"/>
      <c r="E295" s="27"/>
      <c r="F295" s="27"/>
      <c r="G295" s="7"/>
      <c r="H295" s="28"/>
      <c r="I295" s="28"/>
      <c r="J295" s="28"/>
      <c r="K295" s="28"/>
    </row>
    <row r="296" spans="2:11" x14ac:dyDescent="0.25">
      <c r="B296" s="137">
        <v>0.29099999999999998</v>
      </c>
      <c r="C296" s="138" cm="1">
        <f t="array" ref="C296">ad(B296)</f>
        <v>0.241859117561668</v>
      </c>
      <c r="D296" s="7"/>
      <c r="E296" s="27"/>
      <c r="F296" s="27"/>
      <c r="G296" s="7"/>
      <c r="H296" s="28"/>
      <c r="I296" s="28"/>
      <c r="J296" s="28"/>
      <c r="K296" s="28"/>
    </row>
    <row r="297" spans="2:11" x14ac:dyDescent="0.25">
      <c r="B297" s="137">
        <v>0.29199999999999998</v>
      </c>
      <c r="C297" s="138" cm="1">
        <f t="array" ref="C297">ad(B297)</f>
        <v>0.2430163729592853</v>
      </c>
      <c r="D297" s="7"/>
      <c r="E297" s="27"/>
      <c r="F297" s="27"/>
      <c r="G297" s="7"/>
      <c r="H297" s="28"/>
      <c r="I297" s="28"/>
      <c r="J297" s="28"/>
      <c r="K297" s="28"/>
    </row>
    <row r="298" spans="2:11" x14ac:dyDescent="0.25">
      <c r="B298" s="137">
        <v>0.29299999999999998</v>
      </c>
      <c r="C298" s="138" cm="1">
        <f t="array" ref="C298">ad(B298)</f>
        <v>0.2441747932767101</v>
      </c>
      <c r="D298" s="7"/>
      <c r="E298" s="27"/>
      <c r="F298" s="27"/>
      <c r="G298" s="7"/>
      <c r="H298" s="28"/>
      <c r="I298" s="28"/>
      <c r="J298" s="28"/>
      <c r="K298" s="28"/>
    </row>
    <row r="299" spans="2:11" x14ac:dyDescent="0.25">
      <c r="B299" s="137">
        <v>0.29399999999999998</v>
      </c>
      <c r="C299" s="138" cm="1">
        <f t="array" ref="C299">ad(B299)</f>
        <v>0.24533437175150508</v>
      </c>
      <c r="D299" s="7"/>
      <c r="E299" s="27"/>
      <c r="F299" s="27"/>
      <c r="G299" s="7"/>
      <c r="H299" s="28"/>
      <c r="I299" s="28"/>
      <c r="J299" s="28"/>
      <c r="K299" s="28"/>
    </row>
    <row r="300" spans="2:11" x14ac:dyDescent="0.25">
      <c r="B300" s="137">
        <v>0.29499999999999998</v>
      </c>
      <c r="C300" s="138" cm="1">
        <f t="array" ref="C300">ad(B300)</f>
        <v>0.24649510164147515</v>
      </c>
      <c r="D300" s="7"/>
      <c r="E300" s="27"/>
      <c r="F300" s="27"/>
      <c r="G300" s="7"/>
      <c r="H300" s="28"/>
      <c r="I300" s="28"/>
      <c r="J300" s="28"/>
      <c r="K300" s="28"/>
    </row>
    <row r="301" spans="2:11" x14ac:dyDescent="0.25">
      <c r="B301" s="137">
        <v>0.29599999999999999</v>
      </c>
      <c r="C301" s="138" cm="1">
        <f t="array" ref="C301">ad(B301)</f>
        <v>0.24765697622446992</v>
      </c>
      <c r="D301" s="7"/>
      <c r="E301" s="27"/>
      <c r="F301" s="27"/>
      <c r="G301" s="7"/>
      <c r="H301" s="28"/>
      <c r="I301" s="28"/>
      <c r="J301" s="28"/>
      <c r="K301" s="28"/>
    </row>
    <row r="302" spans="2:11" x14ac:dyDescent="0.25">
      <c r="B302" s="137">
        <v>0.29699999999999999</v>
      </c>
      <c r="C302" s="138" cm="1">
        <f t="array" ref="C302">ad(B302)</f>
        <v>0.24881998879818779</v>
      </c>
      <c r="D302" s="7"/>
      <c r="E302" s="27"/>
      <c r="F302" s="27"/>
      <c r="G302" s="7"/>
      <c r="H302" s="28"/>
      <c r="I302" s="28"/>
      <c r="J302" s="28"/>
      <c r="K302" s="28"/>
    </row>
    <row r="303" spans="2:11" x14ac:dyDescent="0.25">
      <c r="B303" s="137">
        <v>0.29799999999999999</v>
      </c>
      <c r="C303" s="138" cm="1">
        <f t="array" ref="C303">ad(B303)</f>
        <v>0.24998413267998243</v>
      </c>
      <c r="D303" s="7"/>
      <c r="E303" s="27"/>
      <c r="F303" s="27"/>
      <c r="G303" s="7"/>
      <c r="H303" s="28"/>
      <c r="I303" s="28"/>
      <c r="J303" s="28"/>
      <c r="K303" s="28"/>
    </row>
    <row r="304" spans="2:11" x14ac:dyDescent="0.25">
      <c r="B304" s="137">
        <v>0.29899999999999999</v>
      </c>
      <c r="C304" s="138" cm="1">
        <f t="array" ref="C304">ad(B304)</f>
        <v>0.25114940120667112</v>
      </c>
      <c r="D304" s="7"/>
      <c r="E304" s="27"/>
      <c r="F304" s="27"/>
      <c r="G304" s="7"/>
      <c r="H304" s="28"/>
      <c r="I304" s="28"/>
      <c r="J304" s="28"/>
      <c r="K304" s="28"/>
    </row>
    <row r="305" spans="2:11" x14ac:dyDescent="0.25">
      <c r="B305" s="137">
        <v>0.3</v>
      </c>
      <c r="C305" s="138" cm="1">
        <f t="array" ref="C305">ad(B305)</f>
        <v>0.25231578773434549</v>
      </c>
      <c r="D305" s="7"/>
      <c r="E305" s="27"/>
      <c r="F305" s="27"/>
      <c r="G305" s="7"/>
      <c r="H305" s="28"/>
      <c r="I305" s="28"/>
      <c r="J305" s="28"/>
      <c r="K305" s="28"/>
    </row>
    <row r="306" spans="2:11" x14ac:dyDescent="0.25">
      <c r="B306" s="137">
        <v>0.30099999999999999</v>
      </c>
      <c r="C306" s="138" cm="1">
        <f t="array" ref="C306">ad(B306)</f>
        <v>0.25348328563818368</v>
      </c>
      <c r="D306" s="7"/>
      <c r="E306" s="27"/>
      <c r="F306" s="27"/>
      <c r="G306" s="7"/>
      <c r="H306" s="28"/>
      <c r="I306" s="28"/>
      <c r="J306" s="28"/>
      <c r="K306" s="28"/>
    </row>
    <row r="307" spans="2:11" x14ac:dyDescent="0.25">
      <c r="B307" s="137">
        <v>0.30199999999999999</v>
      </c>
      <c r="C307" s="138" cm="1">
        <f t="array" ref="C307">ad(B307)</f>
        <v>0.25465188831226548</v>
      </c>
      <c r="D307" s="7"/>
      <c r="E307" s="27"/>
      <c r="F307" s="27"/>
      <c r="G307" s="7"/>
      <c r="H307" s="28"/>
      <c r="I307" s="28"/>
      <c r="J307" s="28"/>
      <c r="K307" s="28"/>
    </row>
    <row r="308" spans="2:11" x14ac:dyDescent="0.25">
      <c r="B308" s="137">
        <v>0.30299999999999999</v>
      </c>
      <c r="C308" s="138" cm="1">
        <f t="array" ref="C308">ad(B308)</f>
        <v>0.25582158916938813</v>
      </c>
      <c r="D308" s="7"/>
      <c r="E308" s="27"/>
      <c r="F308" s="27"/>
      <c r="G308" s="7"/>
      <c r="H308" s="28"/>
      <c r="I308" s="28"/>
      <c r="J308" s="28"/>
      <c r="K308" s="28"/>
    </row>
    <row r="309" spans="2:11" x14ac:dyDescent="0.25">
      <c r="B309" s="137">
        <v>0.30399999999999999</v>
      </c>
      <c r="C309" s="138" cm="1">
        <f t="array" ref="C309">ad(B309)</f>
        <v>0.25699238164088489</v>
      </c>
      <c r="D309" s="7"/>
      <c r="E309" s="27"/>
      <c r="F309" s="27"/>
      <c r="G309" s="7"/>
      <c r="H309" s="28"/>
      <c r="I309" s="28"/>
      <c r="J309" s="28"/>
      <c r="K309" s="28"/>
    </row>
    <row r="310" spans="2:11" x14ac:dyDescent="0.25">
      <c r="B310" s="137">
        <v>0.30499999999999999</v>
      </c>
      <c r="C310" s="138" cm="1">
        <f t="array" ref="C310">ad(B310)</f>
        <v>0.25816425917644548</v>
      </c>
      <c r="D310" s="7"/>
      <c r="E310" s="27"/>
      <c r="F310" s="27"/>
      <c r="G310" s="7"/>
      <c r="H310" s="28"/>
      <c r="I310" s="28"/>
      <c r="J310" s="28"/>
      <c r="K310" s="28"/>
    </row>
    <row r="311" spans="2:11" x14ac:dyDescent="0.25">
      <c r="B311" s="137">
        <v>0.30599999999999999</v>
      </c>
      <c r="C311" s="138" cm="1">
        <f t="array" ref="C311">ad(B311)</f>
        <v>0.25933721524393816</v>
      </c>
      <c r="D311" s="7"/>
      <c r="E311" s="27"/>
      <c r="F311" s="27"/>
      <c r="G311" s="7"/>
      <c r="H311" s="28"/>
      <c r="I311" s="28"/>
      <c r="J311" s="28"/>
      <c r="K311" s="28"/>
    </row>
    <row r="312" spans="2:11" x14ac:dyDescent="0.25">
      <c r="B312" s="137">
        <v>0.307</v>
      </c>
      <c r="C312" s="138" cm="1">
        <f t="array" ref="C312">ad(B312)</f>
        <v>0.26051124332923353</v>
      </c>
      <c r="D312" s="7"/>
      <c r="E312" s="27"/>
      <c r="F312" s="27"/>
      <c r="G312" s="7"/>
      <c r="H312" s="28"/>
      <c r="I312" s="28"/>
      <c r="J312" s="28"/>
      <c r="K312" s="28"/>
    </row>
    <row r="313" spans="2:11" x14ac:dyDescent="0.25">
      <c r="B313" s="137">
        <v>0.308</v>
      </c>
      <c r="C313" s="138" cm="1">
        <f t="array" ref="C313">ad(B313)</f>
        <v>0.26168633693603049</v>
      </c>
      <c r="D313" s="7"/>
      <c r="E313" s="27"/>
      <c r="F313" s="27"/>
      <c r="G313" s="7"/>
      <c r="H313" s="28"/>
      <c r="I313" s="28"/>
      <c r="J313" s="28"/>
      <c r="K313" s="28"/>
    </row>
    <row r="314" spans="2:11" x14ac:dyDescent="0.25">
      <c r="B314" s="137">
        <v>0.309</v>
      </c>
      <c r="C314" s="138" cm="1">
        <f t="array" ref="C314">ad(B314)</f>
        <v>0.26286248958568376</v>
      </c>
      <c r="D314" s="7"/>
      <c r="E314" s="27"/>
      <c r="F314" s="27"/>
      <c r="G314" s="7"/>
      <c r="H314" s="28"/>
      <c r="I314" s="28"/>
      <c r="J314" s="28"/>
      <c r="K314" s="28"/>
    </row>
    <row r="315" spans="2:11" x14ac:dyDescent="0.25">
      <c r="B315" s="137">
        <v>0.31</v>
      </c>
      <c r="C315" s="138" cm="1">
        <f t="array" ref="C315">ad(B315)</f>
        <v>0.26403969481703299</v>
      </c>
      <c r="D315" s="7"/>
      <c r="E315" s="27"/>
      <c r="F315" s="27"/>
      <c r="G315" s="7"/>
      <c r="H315" s="28"/>
      <c r="I315" s="28"/>
      <c r="J315" s="28"/>
      <c r="K315" s="28"/>
    </row>
    <row r="316" spans="2:11" x14ac:dyDescent="0.25">
      <c r="B316" s="137">
        <v>0.311</v>
      </c>
      <c r="C316" s="138" cm="1">
        <f t="array" ref="C316">ad(B316)</f>
        <v>0.26521794618623407</v>
      </c>
      <c r="D316" s="7"/>
      <c r="E316" s="27"/>
      <c r="F316" s="27"/>
      <c r="G316" s="7"/>
      <c r="H316" s="28"/>
      <c r="I316" s="28"/>
      <c r="J316" s="28"/>
      <c r="K316" s="28"/>
    </row>
    <row r="317" spans="2:11" x14ac:dyDescent="0.25">
      <c r="B317" s="137">
        <v>0.312</v>
      </c>
      <c r="C317" s="138" cm="1">
        <f t="array" ref="C317">ad(B317)</f>
        <v>0.26639723726659165</v>
      </c>
      <c r="D317" s="7"/>
      <c r="E317" s="27"/>
      <c r="F317" s="27"/>
      <c r="G317" s="7"/>
      <c r="H317" s="28"/>
      <c r="I317" s="28"/>
      <c r="J317" s="28"/>
      <c r="K317" s="28"/>
    </row>
    <row r="318" spans="2:11" x14ac:dyDescent="0.25">
      <c r="B318" s="137">
        <v>0.313</v>
      </c>
      <c r="C318" s="138" cm="1">
        <f t="array" ref="C318">ad(B318)</f>
        <v>0.26757756164839375</v>
      </c>
      <c r="D318" s="7"/>
      <c r="E318" s="27"/>
      <c r="F318" s="27"/>
      <c r="G318" s="7"/>
      <c r="H318" s="28"/>
      <c r="I318" s="28"/>
      <c r="J318" s="28"/>
      <c r="K318" s="28"/>
    </row>
    <row r="319" spans="2:11" x14ac:dyDescent="0.25">
      <c r="B319" s="137">
        <v>0.314</v>
      </c>
      <c r="C319" s="138" cm="1">
        <f t="array" ref="C319">ad(B319)</f>
        <v>0.26875891293874776</v>
      </c>
      <c r="D319" s="7"/>
      <c r="E319" s="27"/>
      <c r="F319" s="27"/>
      <c r="G319" s="7"/>
      <c r="H319" s="28"/>
      <c r="I319" s="28"/>
      <c r="J319" s="28"/>
      <c r="K319" s="28"/>
    </row>
    <row r="320" spans="2:11" x14ac:dyDescent="0.25">
      <c r="B320" s="137">
        <v>0.315</v>
      </c>
      <c r="C320" s="138" cm="1">
        <f t="array" ref="C320">ad(B320)</f>
        <v>0.26994128476141788</v>
      </c>
      <c r="D320" s="7"/>
      <c r="E320" s="27"/>
      <c r="F320" s="27"/>
      <c r="G320" s="7"/>
      <c r="H320" s="28"/>
      <c r="I320" s="28"/>
      <c r="J320" s="28"/>
      <c r="K320" s="28"/>
    </row>
    <row r="321" spans="2:11" x14ac:dyDescent="0.25">
      <c r="B321" s="137">
        <v>0.316</v>
      </c>
      <c r="C321" s="138" cm="1">
        <f t="array" ref="C321">ad(B321)</f>
        <v>0.2711246707566648</v>
      </c>
      <c r="D321" s="7"/>
      <c r="E321" s="27"/>
      <c r="F321" s="27"/>
      <c r="G321" s="7"/>
      <c r="H321" s="28"/>
      <c r="I321" s="28"/>
      <c r="J321" s="28"/>
      <c r="K321" s="28"/>
    </row>
    <row r="322" spans="2:11" x14ac:dyDescent="0.25">
      <c r="B322" s="137">
        <v>0.317</v>
      </c>
      <c r="C322" s="138" cm="1">
        <f t="array" ref="C322">ad(B322)</f>
        <v>0.27230906458108634</v>
      </c>
      <c r="D322" s="7"/>
      <c r="E322" s="27"/>
      <c r="F322" s="27"/>
      <c r="G322" s="7"/>
      <c r="H322" s="28"/>
      <c r="I322" s="28"/>
      <c r="J322" s="28"/>
      <c r="K322" s="28"/>
    </row>
    <row r="323" spans="2:11" x14ac:dyDescent="0.25">
      <c r="B323" s="137">
        <v>0.318</v>
      </c>
      <c r="C323" s="138" cm="1">
        <f t="array" ref="C323">ad(B323)</f>
        <v>0.27349445990745985</v>
      </c>
      <c r="D323" s="7"/>
      <c r="E323" s="27"/>
      <c r="F323" s="27"/>
      <c r="G323" s="7"/>
      <c r="H323" s="28"/>
      <c r="I323" s="28"/>
      <c r="J323" s="28"/>
      <c r="K323" s="28"/>
    </row>
    <row r="324" spans="2:11" x14ac:dyDescent="0.25">
      <c r="B324" s="137">
        <v>0.31900000000000001</v>
      </c>
      <c r="C324" s="138" cm="1">
        <f t="array" ref="C324">ad(B324)</f>
        <v>0.27468085042458645</v>
      </c>
      <c r="D324" s="7"/>
      <c r="E324" s="27"/>
      <c r="F324" s="27"/>
      <c r="G324" s="7"/>
      <c r="H324" s="28"/>
      <c r="I324" s="28"/>
      <c r="J324" s="28"/>
      <c r="K324" s="28"/>
    </row>
    <row r="325" spans="2:11" x14ac:dyDescent="0.25">
      <c r="B325" s="137">
        <v>0.32</v>
      </c>
      <c r="C325" s="138" cm="1">
        <f t="array" ref="C325">ad(B325)</f>
        <v>0.27586822983713605</v>
      </c>
      <c r="D325" s="7"/>
      <c r="E325" s="27"/>
      <c r="F325" s="27"/>
      <c r="G325" s="7"/>
      <c r="H325" s="28"/>
      <c r="I325" s="28"/>
      <c r="J325" s="28"/>
      <c r="K325" s="28"/>
    </row>
    <row r="326" spans="2:11" x14ac:dyDescent="0.25">
      <c r="B326" s="137">
        <v>0.32100000000000001</v>
      </c>
      <c r="C326" s="138" cm="1">
        <f t="array" ref="C326">ad(B326)</f>
        <v>0.27705659186549486</v>
      </c>
      <c r="D326" s="7"/>
      <c r="E326" s="27"/>
      <c r="F326" s="27"/>
      <c r="G326" s="7"/>
      <c r="H326" s="28"/>
      <c r="I326" s="28"/>
      <c r="J326" s="28"/>
      <c r="K326" s="28"/>
    </row>
    <row r="327" spans="2:11" x14ac:dyDescent="0.25">
      <c r="B327" s="137">
        <v>0.32200000000000001</v>
      </c>
      <c r="C327" s="138" cm="1">
        <f t="array" ref="C327">ad(B327)</f>
        <v>0.27824593024561328</v>
      </c>
      <c r="D327" s="7"/>
      <c r="E327" s="27"/>
      <c r="F327" s="27"/>
      <c r="G327" s="7"/>
      <c r="H327" s="28"/>
      <c r="I327" s="28"/>
      <c r="J327" s="28"/>
      <c r="K327" s="28"/>
    </row>
    <row r="328" spans="2:11" x14ac:dyDescent="0.25">
      <c r="B328" s="137">
        <v>0.32300000000000001</v>
      </c>
      <c r="C328" s="138" cm="1">
        <f t="array" ref="C328">ad(B328)</f>
        <v>0.27943623872885609</v>
      </c>
      <c r="D328" s="7"/>
      <c r="E328" s="27"/>
      <c r="F328" s="27"/>
      <c r="G328" s="7"/>
      <c r="H328" s="28"/>
      <c r="I328" s="28"/>
      <c r="J328" s="28"/>
      <c r="K328" s="28"/>
    </row>
    <row r="329" spans="2:11" x14ac:dyDescent="0.25">
      <c r="B329" s="137">
        <v>0.32400000000000001</v>
      </c>
      <c r="C329" s="138" cm="1">
        <f t="array" ref="C329">ad(B329)</f>
        <v>0.2806275110818538</v>
      </c>
      <c r="D329" s="7"/>
      <c r="E329" s="27"/>
      <c r="F329" s="27"/>
      <c r="G329" s="7"/>
      <c r="H329" s="28"/>
      <c r="I329" s="28"/>
      <c r="J329" s="28"/>
      <c r="K329" s="28"/>
    </row>
    <row r="330" spans="2:11" x14ac:dyDescent="0.25">
      <c r="B330" s="137">
        <v>0.32500000000000001</v>
      </c>
      <c r="C330" s="138" cm="1">
        <f t="array" ref="C330">ad(B330)</f>
        <v>0.28181974108635499</v>
      </c>
      <c r="D330" s="7"/>
      <c r="E330" s="27"/>
      <c r="F330" s="27"/>
      <c r="G330" s="7"/>
      <c r="H330" s="28"/>
      <c r="I330" s="28"/>
      <c r="J330" s="28"/>
      <c r="K330" s="28"/>
    </row>
    <row r="331" spans="2:11" x14ac:dyDescent="0.25">
      <c r="B331" s="137">
        <v>0.32600000000000001</v>
      </c>
      <c r="C331" s="138" cm="1">
        <f t="array" ref="C331">ad(B331)</f>
        <v>0.28301292253908089</v>
      </c>
      <c r="D331" s="7"/>
      <c r="E331" s="27"/>
      <c r="F331" s="27"/>
      <c r="G331" s="7"/>
      <c r="H331" s="28"/>
      <c r="I331" s="28"/>
      <c r="J331" s="28"/>
      <c r="K331" s="28"/>
    </row>
    <row r="332" spans="2:11" x14ac:dyDescent="0.25">
      <c r="B332" s="137">
        <v>0.32700000000000001</v>
      </c>
      <c r="C332" s="138" cm="1">
        <f t="array" ref="C332">ad(B332)</f>
        <v>0.28420704925158041</v>
      </c>
      <c r="D332" s="7"/>
      <c r="E332" s="27"/>
      <c r="F332" s="27"/>
      <c r="G332" s="7"/>
      <c r="H332" s="28"/>
      <c r="I332" s="28"/>
      <c r="J332" s="28"/>
      <c r="K332" s="28"/>
    </row>
    <row r="333" spans="2:11" x14ac:dyDescent="0.25">
      <c r="B333" s="137">
        <v>0.32800000000000001</v>
      </c>
      <c r="C333" s="138" cm="1">
        <f t="array" ref="C333">ad(B333)</f>
        <v>0.28540211505008717</v>
      </c>
      <c r="D333" s="7"/>
      <c r="E333" s="27"/>
      <c r="F333" s="27"/>
      <c r="G333" s="7"/>
      <c r="H333" s="28"/>
      <c r="I333" s="28"/>
      <c r="J333" s="28"/>
      <c r="K333" s="28"/>
    </row>
    <row r="334" spans="2:11" x14ac:dyDescent="0.25">
      <c r="B334" s="137">
        <v>0.32900000000000001</v>
      </c>
      <c r="C334" s="138" cm="1">
        <f t="array" ref="C334">ad(B334)</f>
        <v>0.28659811377537758</v>
      </c>
      <c r="D334" s="7"/>
      <c r="E334" s="27"/>
      <c r="F334" s="27"/>
      <c r="G334" s="7"/>
      <c r="H334" s="28"/>
      <c r="I334" s="28"/>
      <c r="J334" s="28"/>
      <c r="K334" s="28"/>
    </row>
    <row r="335" spans="2:11" x14ac:dyDescent="0.25">
      <c r="B335" s="137">
        <v>0.33</v>
      </c>
      <c r="C335" s="138" cm="1">
        <f t="array" ref="C335">ad(B335)</f>
        <v>0.28779503928263017</v>
      </c>
      <c r="D335" s="7"/>
      <c r="E335" s="27"/>
      <c r="F335" s="27"/>
      <c r="G335" s="7"/>
      <c r="H335" s="28"/>
      <c r="I335" s="28"/>
      <c r="J335" s="28"/>
      <c r="K335" s="28"/>
    </row>
    <row r="336" spans="2:11" x14ac:dyDescent="0.25">
      <c r="B336" s="137">
        <v>0.33100000000000002</v>
      </c>
      <c r="C336" s="138" cm="1">
        <f t="array" ref="C336">ad(B336)</f>
        <v>0.28899288544128648</v>
      </c>
      <c r="D336" s="7"/>
      <c r="E336" s="27"/>
      <c r="F336" s="27"/>
      <c r="G336" s="7"/>
      <c r="H336" s="28"/>
      <c r="I336" s="28"/>
      <c r="J336" s="28"/>
      <c r="K336" s="28"/>
    </row>
    <row r="337" spans="2:11" x14ac:dyDescent="0.25">
      <c r="B337" s="137">
        <v>0.33200000000000002</v>
      </c>
      <c r="C337" s="138" cm="1">
        <f t="array" ref="C337">ad(B337)</f>
        <v>0.29019164613491272</v>
      </c>
      <c r="D337" s="7"/>
      <c r="E337" s="27"/>
      <c r="F337" s="27"/>
      <c r="G337" s="7"/>
      <c r="H337" s="28"/>
      <c r="I337" s="28"/>
      <c r="J337" s="28"/>
      <c r="K337" s="28"/>
    </row>
    <row r="338" spans="2:11" x14ac:dyDescent="0.25">
      <c r="B338" s="137">
        <v>0.33300000000000002</v>
      </c>
      <c r="C338" s="138" cm="1">
        <f t="array" ref="C338">ad(B338)</f>
        <v>0.29139131526106343</v>
      </c>
      <c r="D338" s="7"/>
      <c r="E338" s="27"/>
      <c r="F338" s="27"/>
      <c r="G338" s="7"/>
      <c r="H338" s="28"/>
      <c r="I338" s="28"/>
      <c r="J338" s="28"/>
      <c r="K338" s="28"/>
    </row>
    <row r="339" spans="2:11" x14ac:dyDescent="0.25">
      <c r="B339" s="137">
        <v>0.33400000000000002</v>
      </c>
      <c r="C339" s="138" cm="1">
        <f t="array" ref="C339">ad(B339)</f>
        <v>0.29259188673114567</v>
      </c>
      <c r="D339" s="7"/>
      <c r="E339" s="27"/>
      <c r="F339" s="27"/>
      <c r="G339" s="7"/>
      <c r="H339" s="28"/>
      <c r="I339" s="28"/>
      <c r="J339" s="28"/>
      <c r="K339" s="28"/>
    </row>
    <row r="340" spans="2:11" x14ac:dyDescent="0.25">
      <c r="B340" s="137">
        <v>0.33500000000000002</v>
      </c>
      <c r="C340" s="138" cm="1">
        <f t="array" ref="C340">ad(B340)</f>
        <v>0.29379335447028476</v>
      </c>
      <c r="D340" s="7"/>
      <c r="E340" s="27"/>
      <c r="F340" s="27"/>
      <c r="G340" s="7"/>
      <c r="H340" s="28"/>
      <c r="I340" s="28"/>
      <c r="J340" s="28"/>
      <c r="K340" s="28"/>
    </row>
    <row r="341" spans="2:11" x14ac:dyDescent="0.25">
      <c r="B341" s="137">
        <v>0.33600000000000002</v>
      </c>
      <c r="C341" s="138" cm="1">
        <f t="array" ref="C341">ad(B341)</f>
        <v>0.29499571241719102</v>
      </c>
      <c r="D341" s="7"/>
      <c r="E341" s="27"/>
      <c r="F341" s="27"/>
      <c r="G341" s="7"/>
      <c r="H341" s="28"/>
      <c r="I341" s="28"/>
      <c r="J341" s="28"/>
      <c r="K341" s="28"/>
    </row>
    <row r="342" spans="2:11" x14ac:dyDescent="0.25">
      <c r="B342" s="137">
        <v>0.33700000000000002</v>
      </c>
      <c r="C342" s="138" cm="1">
        <f t="array" ref="C342">ad(B342)</f>
        <v>0.29619895452402822</v>
      </c>
      <c r="D342" s="7"/>
      <c r="E342" s="27"/>
      <c r="F342" s="27"/>
      <c r="G342" s="7"/>
      <c r="H342" s="28"/>
      <c r="I342" s="28"/>
      <c r="J342" s="28"/>
      <c r="K342" s="28"/>
    </row>
    <row r="343" spans="2:11" x14ac:dyDescent="0.25">
      <c r="B343" s="137">
        <v>0.33800000000000002</v>
      </c>
      <c r="C343" s="138" cm="1">
        <f t="array" ref="C343">ad(B343)</f>
        <v>0.29740307475628236</v>
      </c>
      <c r="D343" s="7"/>
      <c r="E343" s="27"/>
      <c r="F343" s="27"/>
      <c r="G343" s="7"/>
      <c r="H343" s="28"/>
      <c r="I343" s="28"/>
      <c r="J343" s="28"/>
      <c r="K343" s="28"/>
    </row>
    <row r="344" spans="2:11" x14ac:dyDescent="0.25">
      <c r="B344" s="137">
        <v>0.33900000000000002</v>
      </c>
      <c r="C344" s="138" cm="1">
        <f t="array" ref="C344">ad(B344)</f>
        <v>0.29860806709263221</v>
      </c>
      <c r="D344" s="7"/>
      <c r="E344" s="27"/>
      <c r="F344" s="27"/>
      <c r="G344" s="7"/>
      <c r="H344" s="28"/>
      <c r="I344" s="28"/>
      <c r="J344" s="28"/>
      <c r="K344" s="28"/>
    </row>
    <row r="345" spans="2:11" x14ac:dyDescent="0.25">
      <c r="B345" s="137">
        <v>0.34</v>
      </c>
      <c r="C345" s="138" cm="1">
        <f t="array" ref="C345">ad(B345)</f>
        <v>0.299813925524821</v>
      </c>
      <c r="D345" s="7"/>
      <c r="E345" s="27"/>
      <c r="F345" s="27"/>
      <c r="G345" s="7"/>
      <c r="H345" s="28"/>
      <c r="I345" s="28"/>
      <c r="J345" s="28"/>
      <c r="K345" s="28"/>
    </row>
    <row r="346" spans="2:11" x14ac:dyDescent="0.25">
      <c r="B346" s="137">
        <v>0.34100000000000003</v>
      </c>
      <c r="C346" s="138" cm="1">
        <f t="array" ref="C346">ad(B346)</f>
        <v>0.30102064405752871</v>
      </c>
      <c r="D346" s="7"/>
      <c r="E346" s="27"/>
      <c r="F346" s="27"/>
      <c r="G346" s="7"/>
      <c r="H346" s="28"/>
      <c r="I346" s="28"/>
      <c r="J346" s="28"/>
      <c r="K346" s="28"/>
    </row>
    <row r="347" spans="2:11" x14ac:dyDescent="0.25">
      <c r="B347" s="137">
        <v>0.34200000000000003</v>
      </c>
      <c r="C347" s="138" cm="1">
        <f t="array" ref="C347">ad(B347)</f>
        <v>0.30222821670824607</v>
      </c>
      <c r="D347" s="7"/>
      <c r="E347" s="27"/>
      <c r="F347" s="27"/>
      <c r="G347" s="7"/>
      <c r="H347" s="28"/>
      <c r="I347" s="28"/>
      <c r="J347" s="28"/>
      <c r="K347" s="28"/>
    </row>
    <row r="348" spans="2:11" x14ac:dyDescent="0.25">
      <c r="B348" s="137">
        <v>0.34300000000000003</v>
      </c>
      <c r="C348" s="138" cm="1">
        <f t="array" ref="C348">ad(B348)</f>
        <v>0.30343663750714911</v>
      </c>
      <c r="D348" s="7"/>
      <c r="E348" s="27"/>
      <c r="F348" s="27"/>
      <c r="G348" s="7"/>
      <c r="H348" s="28"/>
      <c r="I348" s="28"/>
      <c r="J348" s="28"/>
      <c r="K348" s="28"/>
    </row>
    <row r="349" spans="2:11" x14ac:dyDescent="0.25">
      <c r="B349" s="137">
        <v>0.34399999999999997</v>
      </c>
      <c r="C349" s="138" cm="1">
        <f t="array" ref="C349">ad(B349)</f>
        <v>0.30464590049697521</v>
      </c>
      <c r="D349" s="7"/>
      <c r="E349" s="27"/>
      <c r="F349" s="27"/>
      <c r="G349" s="7"/>
      <c r="H349" s="28"/>
      <c r="I349" s="28"/>
      <c r="J349" s="28"/>
      <c r="K349" s="28"/>
    </row>
    <row r="350" spans="2:11" x14ac:dyDescent="0.25">
      <c r="B350" s="137">
        <v>0.34499999999999997</v>
      </c>
      <c r="C350" s="138" cm="1">
        <f t="array" ref="C350">ad(B350)</f>
        <v>0.30585599973290012</v>
      </c>
      <c r="D350" s="7"/>
      <c r="E350" s="27"/>
      <c r="F350" s="27"/>
      <c r="G350" s="7"/>
      <c r="H350" s="28"/>
      <c r="I350" s="28"/>
      <c r="J350" s="28"/>
      <c r="K350" s="28"/>
    </row>
    <row r="351" spans="2:11" x14ac:dyDescent="0.25">
      <c r="B351" s="137">
        <v>0.34599999999999997</v>
      </c>
      <c r="C351" s="138" cm="1">
        <f t="array" ref="C351">ad(B351)</f>
        <v>0.30706692928241547</v>
      </c>
      <c r="D351" s="7"/>
      <c r="E351" s="27"/>
      <c r="F351" s="27"/>
      <c r="G351" s="7"/>
      <c r="H351" s="28"/>
      <c r="I351" s="28"/>
      <c r="J351" s="28"/>
      <c r="K351" s="28"/>
    </row>
    <row r="352" spans="2:11" x14ac:dyDescent="0.25">
      <c r="B352" s="137">
        <v>0.34699999999999998</v>
      </c>
      <c r="C352" s="138" cm="1">
        <f t="array" ref="C352">ad(B352)</f>
        <v>0.30827868322520835</v>
      </c>
      <c r="D352" s="7"/>
      <c r="E352" s="27"/>
      <c r="F352" s="27"/>
      <c r="G352" s="7"/>
      <c r="H352" s="28"/>
      <c r="I352" s="28"/>
      <c r="J352" s="28"/>
      <c r="K352" s="28"/>
    </row>
    <row r="353" spans="2:11" x14ac:dyDescent="0.25">
      <c r="B353" s="137">
        <v>0.34799999999999998</v>
      </c>
      <c r="C353" s="138" cm="1">
        <f t="array" ref="C353">ad(B353)</f>
        <v>0.30949125565304092</v>
      </c>
      <c r="D353" s="7"/>
      <c r="E353" s="27"/>
      <c r="F353" s="27"/>
      <c r="G353" s="7"/>
      <c r="H353" s="28"/>
      <c r="I353" s="28"/>
      <c r="J353" s="28"/>
      <c r="K353" s="28"/>
    </row>
    <row r="354" spans="2:11" x14ac:dyDescent="0.25">
      <c r="B354" s="137">
        <v>0.34899999999999998</v>
      </c>
      <c r="C354" s="138" cm="1">
        <f t="array" ref="C354">ad(B354)</f>
        <v>0.31070464066963144</v>
      </c>
      <c r="D354" s="7"/>
      <c r="E354" s="27"/>
      <c r="F354" s="27"/>
      <c r="G354" s="7"/>
      <c r="H354" s="28"/>
      <c r="I354" s="28"/>
      <c r="J354" s="28"/>
      <c r="K354" s="28"/>
    </row>
    <row r="355" spans="2:11" x14ac:dyDescent="0.25">
      <c r="B355" s="137">
        <v>0.35</v>
      </c>
      <c r="C355" s="138" cm="1">
        <f t="array" ref="C355">ad(B355)</f>
        <v>0.31191883239053642</v>
      </c>
      <c r="D355" s="7"/>
      <c r="E355" s="27"/>
      <c r="F355" s="27"/>
      <c r="G355" s="7"/>
      <c r="H355" s="28"/>
      <c r="I355" s="28"/>
      <c r="J355" s="28"/>
      <c r="K355" s="28"/>
    </row>
    <row r="356" spans="2:11" x14ac:dyDescent="0.25">
      <c r="B356" s="137">
        <v>0.35099999999999998</v>
      </c>
      <c r="C356" s="138" cm="1">
        <f t="array" ref="C356">ad(B356)</f>
        <v>0.31313382494303343</v>
      </c>
      <c r="D356" s="7"/>
      <c r="E356" s="27"/>
      <c r="F356" s="27"/>
      <c r="G356" s="7"/>
      <c r="H356" s="28"/>
      <c r="I356" s="28"/>
      <c r="J356" s="28"/>
      <c r="K356" s="28"/>
    </row>
    <row r="357" spans="2:11" x14ac:dyDescent="0.25">
      <c r="B357" s="137">
        <v>0.35199999999999998</v>
      </c>
      <c r="C357" s="138" cm="1">
        <f t="array" ref="C357">ad(B357)</f>
        <v>0.31434961246600507</v>
      </c>
      <c r="D357" s="7"/>
      <c r="E357" s="27"/>
      <c r="F357" s="27"/>
      <c r="G357" s="7"/>
      <c r="H357" s="28"/>
      <c r="I357" s="28"/>
      <c r="J357" s="28"/>
      <c r="K357" s="28"/>
    </row>
    <row r="358" spans="2:11" x14ac:dyDescent="0.25">
      <c r="B358" s="137">
        <v>0.35299999999999998</v>
      </c>
      <c r="C358" s="138" cm="1">
        <f t="array" ref="C358">ad(B358)</f>
        <v>0.3155661891098237</v>
      </c>
      <c r="D358" s="7"/>
      <c r="E358" s="27"/>
      <c r="F358" s="27"/>
      <c r="G358" s="7"/>
      <c r="H358" s="28"/>
      <c r="I358" s="28"/>
      <c r="J358" s="28"/>
      <c r="K358" s="28"/>
    </row>
    <row r="359" spans="2:11" x14ac:dyDescent="0.25">
      <c r="B359" s="137">
        <v>0.35399999999999998</v>
      </c>
      <c r="C359" s="138" cm="1">
        <f t="array" ref="C359">ad(B359)</f>
        <v>0.31678354903623729</v>
      </c>
      <c r="D359" s="7"/>
      <c r="E359" s="27"/>
      <c r="F359" s="27"/>
      <c r="G359" s="7"/>
      <c r="H359" s="28"/>
      <c r="I359" s="28"/>
      <c r="J359" s="28"/>
      <c r="K359" s="28"/>
    </row>
    <row r="360" spans="2:11" x14ac:dyDescent="0.25">
      <c r="B360" s="137">
        <v>0.35499999999999998</v>
      </c>
      <c r="C360" s="138" cm="1">
        <f t="array" ref="C360">ad(B360)</f>
        <v>0.31800168641825632</v>
      </c>
      <c r="D360" s="7"/>
      <c r="E360" s="27"/>
      <c r="F360" s="27"/>
      <c r="G360" s="7"/>
      <c r="H360" s="28"/>
      <c r="I360" s="28"/>
      <c r="J360" s="28"/>
      <c r="K360" s="28"/>
    </row>
    <row r="361" spans="2:11" x14ac:dyDescent="0.25">
      <c r="B361" s="137">
        <v>0.35599999999999998</v>
      </c>
      <c r="C361" s="138" cm="1">
        <f t="array" ref="C361">ad(B361)</f>
        <v>0.31922059544004078</v>
      </c>
      <c r="D361" s="7"/>
      <c r="E361" s="27"/>
      <c r="F361" s="27"/>
      <c r="G361" s="7"/>
      <c r="H361" s="28"/>
      <c r="I361" s="28"/>
      <c r="J361" s="28"/>
      <c r="K361" s="28"/>
    </row>
    <row r="362" spans="2:11" x14ac:dyDescent="0.25">
      <c r="B362" s="137">
        <v>0.35699999999999998</v>
      </c>
      <c r="C362" s="138" cm="1">
        <f t="array" ref="C362">ad(B362)</f>
        <v>0.32044027029678945</v>
      </c>
      <c r="D362" s="7"/>
      <c r="E362" s="27"/>
      <c r="F362" s="27"/>
      <c r="G362" s="7"/>
      <c r="H362" s="28"/>
      <c r="I362" s="28"/>
      <c r="J362" s="28"/>
      <c r="K362" s="28"/>
    </row>
    <row r="363" spans="2:11" x14ac:dyDescent="0.25">
      <c r="B363" s="137">
        <v>0.35799999999999998</v>
      </c>
      <c r="C363" s="138" cm="1">
        <f t="array" ref="C363">ad(B363)</f>
        <v>0.32166070519462847</v>
      </c>
      <c r="D363" s="7"/>
      <c r="E363" s="27"/>
      <c r="F363" s="27"/>
      <c r="G363" s="7"/>
      <c r="H363" s="28"/>
      <c r="I363" s="28"/>
      <c r="J363" s="28"/>
      <c r="K363" s="28"/>
    </row>
    <row r="364" spans="2:11" x14ac:dyDescent="0.25">
      <c r="B364" s="137">
        <v>0.35899999999999999</v>
      </c>
      <c r="C364" s="138" cm="1">
        <f t="array" ref="C364">ad(B364)</f>
        <v>0.32288189435050224</v>
      </c>
      <c r="D364" s="7"/>
      <c r="E364" s="27"/>
      <c r="F364" s="27"/>
      <c r="G364" s="7"/>
      <c r="H364" s="28"/>
      <c r="I364" s="28"/>
      <c r="J364" s="28"/>
      <c r="K364" s="28"/>
    </row>
    <row r="365" spans="2:11" x14ac:dyDescent="0.25">
      <c r="B365" s="137">
        <v>0.36</v>
      </c>
      <c r="C365" s="138" cm="1">
        <f t="array" ref="C365">ad(B365)</f>
        <v>0.32410383199206394</v>
      </c>
      <c r="D365" s="7"/>
      <c r="E365" s="27"/>
      <c r="F365" s="27"/>
      <c r="G365" s="7"/>
      <c r="H365" s="28"/>
      <c r="I365" s="28"/>
      <c r="J365" s="28"/>
      <c r="K365" s="28"/>
    </row>
    <row r="366" spans="2:11" x14ac:dyDescent="0.25">
      <c r="B366" s="137">
        <v>0.36099999999999999</v>
      </c>
      <c r="C366" s="138" cm="1">
        <f t="array" ref="C366">ad(B366)</f>
        <v>0.32532651235756793</v>
      </c>
      <c r="D366" s="7"/>
      <c r="E366" s="27"/>
      <c r="F366" s="27"/>
      <c r="G366" s="7"/>
      <c r="H366" s="28"/>
      <c r="I366" s="28"/>
      <c r="J366" s="28"/>
      <c r="K366" s="28"/>
    </row>
    <row r="367" spans="2:11" x14ac:dyDescent="0.25">
      <c r="B367" s="137">
        <v>0.36199999999999999</v>
      </c>
      <c r="C367" s="138" cm="1">
        <f t="array" ref="C367">ad(B367)</f>
        <v>0.32654992969576202</v>
      </c>
      <c r="D367" s="7"/>
      <c r="E367" s="27"/>
      <c r="F367" s="27"/>
      <c r="G367" s="7"/>
      <c r="H367" s="28"/>
      <c r="I367" s="28"/>
      <c r="J367" s="28"/>
      <c r="K367" s="28"/>
    </row>
    <row r="368" spans="2:11" x14ac:dyDescent="0.25">
      <c r="B368" s="137">
        <v>0.36299999999999999</v>
      </c>
      <c r="C368" s="138" cm="1">
        <f t="array" ref="C368">ad(B368)</f>
        <v>0.32777407826578153</v>
      </c>
      <c r="D368" s="7"/>
      <c r="E368" s="27"/>
      <c r="F368" s="27"/>
      <c r="G368" s="7"/>
      <c r="H368" s="28"/>
      <c r="I368" s="28"/>
      <c r="J368" s="28"/>
      <c r="K368" s="28"/>
    </row>
    <row r="369" spans="2:11" x14ac:dyDescent="0.25">
      <c r="B369" s="137">
        <v>0.36399999999999999</v>
      </c>
      <c r="C369" s="138" cm="1">
        <f t="array" ref="C369">ad(B369)</f>
        <v>0.3289989523370434</v>
      </c>
      <c r="D369" s="7"/>
      <c r="E369" s="27"/>
      <c r="F369" s="27"/>
      <c r="G369" s="7"/>
      <c r="H369" s="28"/>
      <c r="I369" s="28"/>
      <c r="J369" s="28"/>
      <c r="K369" s="28"/>
    </row>
    <row r="370" spans="2:11" x14ac:dyDescent="0.25">
      <c r="B370" s="137">
        <v>0.36499999999999999</v>
      </c>
      <c r="C370" s="138" cm="1">
        <f t="array" ref="C370">ad(B370)</f>
        <v>0.33022454618914127</v>
      </c>
      <c r="D370" s="7"/>
      <c r="E370" s="27"/>
      <c r="F370" s="27"/>
      <c r="G370" s="7"/>
      <c r="H370" s="28"/>
      <c r="I370" s="28"/>
      <c r="J370" s="28"/>
      <c r="K370" s="28"/>
    </row>
    <row r="371" spans="2:11" x14ac:dyDescent="0.25">
      <c r="B371" s="137">
        <v>0.36599999999999999</v>
      </c>
      <c r="C371" s="138" cm="1">
        <f t="array" ref="C371">ad(B371)</f>
        <v>0.33145085411174158</v>
      </c>
      <c r="D371" s="7"/>
      <c r="E371" s="27"/>
      <c r="F371" s="27"/>
      <c r="G371" s="7"/>
      <c r="H371" s="28"/>
      <c r="I371" s="28"/>
      <c r="J371" s="28"/>
      <c r="K371" s="28"/>
    </row>
    <row r="372" spans="2:11" x14ac:dyDescent="0.25">
      <c r="B372" s="137">
        <v>0.36699999999999999</v>
      </c>
      <c r="C372" s="138" cm="1">
        <f t="array" ref="C372">ad(B372)</f>
        <v>0.33267787040448049</v>
      </c>
      <c r="D372" s="7"/>
      <c r="E372" s="27"/>
      <c r="F372" s="27"/>
      <c r="G372" s="7"/>
      <c r="H372" s="28"/>
      <c r="I372" s="28"/>
      <c r="J372" s="28"/>
      <c r="K372" s="28"/>
    </row>
    <row r="373" spans="2:11" x14ac:dyDescent="0.25">
      <c r="B373" s="137">
        <v>0.36799999999999999</v>
      </c>
      <c r="C373" s="138" cm="1">
        <f t="array" ref="C373">ad(B373)</f>
        <v>0.33390558937686088</v>
      </c>
      <c r="D373" s="7"/>
      <c r="E373" s="27"/>
      <c r="F373" s="27"/>
      <c r="G373" s="7"/>
      <c r="H373" s="28"/>
      <c r="I373" s="28"/>
      <c r="J373" s="28"/>
      <c r="K373" s="28"/>
    </row>
    <row r="374" spans="2:11" x14ac:dyDescent="0.25">
      <c r="B374" s="137">
        <v>0.36899999999999999</v>
      </c>
      <c r="C374" s="138" cm="1">
        <f t="array" ref="C374">ad(B374)</f>
        <v>0.33513400534815113</v>
      </c>
      <c r="D374" s="7"/>
      <c r="E374" s="27"/>
      <c r="F374" s="27"/>
      <c r="G374" s="7"/>
      <c r="H374" s="28"/>
      <c r="I374" s="28"/>
      <c r="J374" s="28"/>
      <c r="K374" s="28"/>
    </row>
    <row r="375" spans="2:11" x14ac:dyDescent="0.25">
      <c r="B375" s="137">
        <v>0.37</v>
      </c>
      <c r="C375" s="138" cm="1">
        <f t="array" ref="C375">ad(B375)</f>
        <v>0.3363631126472838</v>
      </c>
      <c r="D375" s="7"/>
      <c r="E375" s="27"/>
      <c r="F375" s="27"/>
      <c r="G375" s="7"/>
      <c r="H375" s="28"/>
      <c r="I375" s="28"/>
      <c r="J375" s="28"/>
      <c r="K375" s="28"/>
    </row>
    <row r="376" spans="2:11" x14ac:dyDescent="0.25">
      <c r="B376" s="137">
        <v>0.371</v>
      </c>
      <c r="C376" s="138" cm="1">
        <f t="array" ref="C376">ad(B376)</f>
        <v>0.3375929056127554</v>
      </c>
      <c r="D376" s="7"/>
      <c r="E376" s="27"/>
      <c r="F376" s="27"/>
      <c r="G376" s="7"/>
      <c r="H376" s="28"/>
      <c r="I376" s="28"/>
      <c r="J376" s="28"/>
      <c r="K376" s="28"/>
    </row>
    <row r="377" spans="2:11" x14ac:dyDescent="0.25">
      <c r="B377" s="137">
        <v>0.372</v>
      </c>
      <c r="C377" s="138" cm="1">
        <f t="array" ref="C377">ad(B377)</f>
        <v>0.33882337859252687</v>
      </c>
      <c r="D377" s="7"/>
      <c r="E377" s="27"/>
      <c r="F377" s="27"/>
      <c r="G377" s="7"/>
      <c r="H377" s="28"/>
      <c r="I377" s="28"/>
      <c r="J377" s="28"/>
      <c r="K377" s="28"/>
    </row>
    <row r="378" spans="2:11" x14ac:dyDescent="0.25">
      <c r="B378" s="137">
        <v>0.373</v>
      </c>
      <c r="C378" s="138" cm="1">
        <f t="array" ref="C378">ad(B378)</f>
        <v>0.34005452594392488</v>
      </c>
      <c r="D378" s="7"/>
      <c r="E378" s="27"/>
      <c r="F378" s="27"/>
      <c r="G378" s="7"/>
      <c r="H378" s="28"/>
      <c r="I378" s="28"/>
      <c r="J378" s="28"/>
      <c r="K378" s="28"/>
    </row>
    <row r="379" spans="2:11" x14ac:dyDescent="0.25">
      <c r="B379" s="137">
        <v>0.374</v>
      </c>
      <c r="C379" s="138" cm="1">
        <f t="array" ref="C379">ad(B379)</f>
        <v>0.34128634203354336</v>
      </c>
      <c r="D379" s="7"/>
      <c r="E379" s="27"/>
      <c r="F379" s="27"/>
      <c r="G379" s="7"/>
      <c r="H379" s="28"/>
      <c r="I379" s="28"/>
      <c r="J379" s="28"/>
      <c r="K379" s="28"/>
    </row>
    <row r="380" spans="2:11" x14ac:dyDescent="0.25">
      <c r="B380" s="137">
        <v>0.375</v>
      </c>
      <c r="C380" s="138" cm="1">
        <f t="array" ref="C380">ad(B380)</f>
        <v>0.34251882123714628</v>
      </c>
      <c r="D380" s="7"/>
      <c r="E380" s="27"/>
      <c r="F380" s="27"/>
      <c r="G380" s="7"/>
      <c r="H380" s="28"/>
      <c r="I380" s="28"/>
      <c r="J380" s="28"/>
      <c r="K380" s="28"/>
    </row>
    <row r="381" spans="2:11" x14ac:dyDescent="0.25">
      <c r="B381" s="137">
        <v>0.376</v>
      </c>
      <c r="C381" s="138" cm="1">
        <f t="array" ref="C381">ad(B381)</f>
        <v>0.34375195793957097</v>
      </c>
      <c r="D381" s="7"/>
      <c r="E381" s="27"/>
      <c r="F381" s="27"/>
      <c r="G381" s="7"/>
      <c r="H381" s="28"/>
      <c r="I381" s="28"/>
      <c r="J381" s="28"/>
      <c r="K381" s="28"/>
    </row>
    <row r="382" spans="2:11" x14ac:dyDescent="0.25">
      <c r="B382" s="137">
        <v>0.377</v>
      </c>
      <c r="C382" s="138" cm="1">
        <f t="array" ref="C382">ad(B382)</f>
        <v>0.34498574653463188</v>
      </c>
      <c r="D382" s="7"/>
      <c r="E382" s="27"/>
      <c r="F382" s="27"/>
      <c r="G382" s="7"/>
      <c r="H382" s="28"/>
      <c r="I382" s="28"/>
      <c r="J382" s="28"/>
      <c r="K382" s="28"/>
    </row>
    <row r="383" spans="2:11" x14ac:dyDescent="0.25">
      <c r="B383" s="137">
        <v>0.378</v>
      </c>
      <c r="C383" s="138" cm="1">
        <f t="array" ref="C383">ad(B383)</f>
        <v>0.34622018142502503</v>
      </c>
      <c r="D383" s="7"/>
      <c r="E383" s="27"/>
      <c r="F383" s="27"/>
      <c r="G383" s="7"/>
      <c r="H383" s="28"/>
      <c r="I383" s="28"/>
      <c r="J383" s="28"/>
      <c r="K383" s="28"/>
    </row>
    <row r="384" spans="2:11" x14ac:dyDescent="0.25">
      <c r="B384" s="137">
        <v>0.379</v>
      </c>
      <c r="C384" s="138" cm="1">
        <f t="array" ref="C384">ad(B384)</f>
        <v>0.34745525702223357</v>
      </c>
      <c r="D384" s="7"/>
      <c r="E384" s="27"/>
      <c r="F384" s="27"/>
      <c r="G384" s="7"/>
      <c r="H384" s="28"/>
      <c r="I384" s="28"/>
      <c r="J384" s="28"/>
      <c r="K384" s="28"/>
    </row>
    <row r="385" spans="2:11" x14ac:dyDescent="0.25">
      <c r="B385" s="137">
        <v>0.38</v>
      </c>
      <c r="C385" s="138" cm="1">
        <f t="array" ref="C385">ad(B385)</f>
        <v>0.34869096774643338</v>
      </c>
      <c r="D385" s="7"/>
      <c r="E385" s="27"/>
      <c r="F385" s="27"/>
      <c r="G385" s="7"/>
      <c r="H385" s="28"/>
      <c r="I385" s="28"/>
      <c r="J385" s="28"/>
      <c r="K385" s="28"/>
    </row>
    <row r="386" spans="2:11" x14ac:dyDescent="0.25">
      <c r="B386" s="137">
        <v>0.38100000000000001</v>
      </c>
      <c r="C386" s="138" cm="1">
        <f t="array" ref="C386">ad(B386)</f>
        <v>0.34992730802639976</v>
      </c>
      <c r="D386" s="7"/>
      <c r="E386" s="27"/>
      <c r="F386" s="27"/>
      <c r="G386" s="7"/>
      <c r="H386" s="28"/>
      <c r="I386" s="28"/>
      <c r="J386" s="28"/>
      <c r="K386" s="28"/>
    </row>
    <row r="387" spans="2:11" x14ac:dyDescent="0.25">
      <c r="B387" s="137">
        <v>0.38200000000000001</v>
      </c>
      <c r="C387" s="138" cm="1">
        <f t="array" ref="C387">ad(B387)</f>
        <v>0.35116427229941444</v>
      </c>
      <c r="D387" s="7"/>
      <c r="E387" s="27"/>
      <c r="F387" s="27"/>
      <c r="G387" s="7"/>
      <c r="H387" s="28"/>
      <c r="I387" s="28"/>
      <c r="J387" s="28"/>
      <c r="K387" s="28"/>
    </row>
    <row r="388" spans="2:11" x14ac:dyDescent="0.25">
      <c r="B388" s="137">
        <v>0.38300000000000001</v>
      </c>
      <c r="C388" s="138" cm="1">
        <f t="array" ref="C388">ad(B388)</f>
        <v>0.35240185501117333</v>
      </c>
      <c r="D388" s="7"/>
      <c r="E388" s="27"/>
      <c r="F388" s="27"/>
      <c r="G388" s="7"/>
      <c r="H388" s="28"/>
      <c r="I388" s="28"/>
      <c r="J388" s="28"/>
      <c r="K388" s="28"/>
    </row>
    <row r="389" spans="2:11" x14ac:dyDescent="0.25">
      <c r="B389" s="137">
        <v>0.38400000000000001</v>
      </c>
      <c r="C389" s="138" cm="1">
        <f t="array" ref="C389">ad(B389)</f>
        <v>0.35364005061569503</v>
      </c>
      <c r="D389" s="7"/>
      <c r="E389" s="27"/>
      <c r="F389" s="27"/>
      <c r="G389" s="7"/>
      <c r="H389" s="28"/>
      <c r="I389" s="28"/>
      <c r="J389" s="28"/>
      <c r="K389" s="28"/>
    </row>
    <row r="390" spans="2:11" x14ac:dyDescent="0.25">
      <c r="B390" s="137">
        <v>0.38500000000000001</v>
      </c>
      <c r="C390" s="138" cm="1">
        <f t="array" ref="C390">ad(B390)</f>
        <v>0.35487885357522958</v>
      </c>
      <c r="D390" s="7"/>
      <c r="E390" s="27"/>
      <c r="F390" s="27"/>
      <c r="G390" s="7"/>
      <c r="H390" s="28"/>
      <c r="I390" s="28"/>
      <c r="J390" s="28"/>
      <c r="K390" s="28"/>
    </row>
    <row r="391" spans="2:11" x14ac:dyDescent="0.25">
      <c r="B391" s="137">
        <v>0.38600000000000001</v>
      </c>
      <c r="C391" s="138" cm="1">
        <f t="array" ref="C391">ad(B391)</f>
        <v>0.35611825836016836</v>
      </c>
      <c r="D391" s="7"/>
      <c r="E391" s="27"/>
      <c r="F391" s="27"/>
      <c r="G391" s="7"/>
      <c r="H391" s="28"/>
      <c r="I391" s="28"/>
      <c r="J391" s="28"/>
      <c r="K391" s="28"/>
    </row>
    <row r="392" spans="2:11" x14ac:dyDescent="0.25">
      <c r="B392" s="137">
        <v>0.38700000000000001</v>
      </c>
      <c r="C392" s="138" cm="1">
        <f t="array" ref="C392">ad(B392)</f>
        <v>0.35735825944895383</v>
      </c>
      <c r="D392" s="7"/>
      <c r="E392" s="27"/>
      <c r="F392" s="27"/>
      <c r="G392" s="7"/>
      <c r="H392" s="28"/>
      <c r="I392" s="28"/>
      <c r="J392" s="28"/>
      <c r="K392" s="28"/>
    </row>
    <row r="393" spans="2:11" x14ac:dyDescent="0.25">
      <c r="B393" s="137">
        <v>0.38800000000000001</v>
      </c>
      <c r="C393" s="138" cm="1">
        <f t="array" ref="C393">ad(B393)</f>
        <v>0.35859885132799063</v>
      </c>
      <c r="D393" s="7"/>
      <c r="E393" s="27"/>
      <c r="F393" s="27"/>
      <c r="G393" s="7"/>
      <c r="H393" s="28"/>
      <c r="I393" s="28"/>
      <c r="J393" s="28"/>
      <c r="K393" s="28"/>
    </row>
    <row r="394" spans="2:11" x14ac:dyDescent="0.25">
      <c r="B394" s="137">
        <v>0.38900000000000001</v>
      </c>
      <c r="C394" s="138" cm="1">
        <f t="array" ref="C394">ad(B394)</f>
        <v>0.35984002849155639</v>
      </c>
      <c r="D394" s="7"/>
      <c r="E394" s="27"/>
      <c r="F394" s="27"/>
      <c r="G394" s="7"/>
      <c r="H394" s="28"/>
      <c r="I394" s="28"/>
      <c r="J394" s="28"/>
      <c r="K394" s="28"/>
    </row>
    <row r="395" spans="2:11" x14ac:dyDescent="0.25">
      <c r="B395" s="137">
        <v>0.39</v>
      </c>
      <c r="C395" s="138" cm="1">
        <f t="array" ref="C395">ad(B395)</f>
        <v>0.36108178544171426</v>
      </c>
      <c r="D395" s="7"/>
      <c r="E395" s="27"/>
      <c r="F395" s="27"/>
      <c r="G395" s="7"/>
      <c r="H395" s="28"/>
      <c r="I395" s="28"/>
      <c r="J395" s="28"/>
      <c r="K395" s="28"/>
    </row>
    <row r="396" spans="2:11" x14ac:dyDescent="0.25">
      <c r="B396" s="137">
        <v>0.39100000000000001</v>
      </c>
      <c r="C396" s="138" cm="1">
        <f t="array" ref="C396">ad(B396)</f>
        <v>0.36232411668822473</v>
      </c>
      <c r="D396" s="7"/>
      <c r="E396" s="27"/>
      <c r="F396" s="27"/>
      <c r="G396" s="7"/>
      <c r="H396" s="28"/>
      <c r="I396" s="28"/>
      <c r="J396" s="28"/>
      <c r="K396" s="28"/>
    </row>
    <row r="397" spans="2:11" x14ac:dyDescent="0.25">
      <c r="B397" s="137">
        <v>0.39200000000000002</v>
      </c>
      <c r="C397" s="138" cm="1">
        <f t="array" ref="C397">ad(B397)</f>
        <v>0.36356701674845876</v>
      </c>
      <c r="D397" s="7"/>
      <c r="E397" s="27"/>
      <c r="F397" s="27"/>
      <c r="G397" s="7"/>
      <c r="H397" s="28"/>
      <c r="I397" s="28"/>
      <c r="J397" s="28"/>
      <c r="K397" s="28"/>
    </row>
    <row r="398" spans="2:11" x14ac:dyDescent="0.25">
      <c r="B398" s="137">
        <v>0.39300000000000002</v>
      </c>
      <c r="C398" s="138" cm="1">
        <f t="array" ref="C398">ad(B398)</f>
        <v>0.36481048014731143</v>
      </c>
      <c r="D398" s="7"/>
      <c r="E398" s="27"/>
      <c r="F398" s="27"/>
      <c r="G398" s="7"/>
      <c r="H398" s="28"/>
      <c r="I398" s="28"/>
      <c r="J398" s="28"/>
      <c r="K398" s="28"/>
    </row>
    <row r="399" spans="2:11" x14ac:dyDescent="0.25">
      <c r="B399" s="137">
        <v>0.39400000000000002</v>
      </c>
      <c r="C399" s="138" cm="1">
        <f t="array" ref="C399">ad(B399)</f>
        <v>0.36605450141711565</v>
      </c>
      <c r="D399" s="7"/>
      <c r="E399" s="27"/>
      <c r="F399" s="27"/>
      <c r="G399" s="7"/>
      <c r="H399" s="28"/>
      <c r="I399" s="28"/>
      <c r="J399" s="28"/>
      <c r="K399" s="28"/>
    </row>
    <row r="400" spans="2:11" x14ac:dyDescent="0.25">
      <c r="B400" s="137">
        <v>0.39500000000000002</v>
      </c>
      <c r="C400" s="138" cm="1">
        <f t="array" ref="C400">ad(B400)</f>
        <v>0.36729907509755705</v>
      </c>
      <c r="D400" s="7"/>
      <c r="E400" s="27"/>
      <c r="F400" s="27"/>
      <c r="G400" s="7"/>
      <c r="H400" s="28"/>
      <c r="I400" s="28"/>
      <c r="J400" s="28"/>
      <c r="K400" s="28"/>
    </row>
    <row r="401" spans="2:11" x14ac:dyDescent="0.25">
      <c r="B401" s="137">
        <v>0.39600000000000002</v>
      </c>
      <c r="C401" s="138" cm="1">
        <f t="array" ref="C401">ad(B401)</f>
        <v>0.36854419573558872</v>
      </c>
      <c r="D401" s="7"/>
      <c r="E401" s="27"/>
      <c r="F401" s="27"/>
      <c r="G401" s="7"/>
      <c r="H401" s="28"/>
      <c r="I401" s="28"/>
      <c r="J401" s="28"/>
      <c r="K401" s="28"/>
    </row>
    <row r="402" spans="2:11" x14ac:dyDescent="0.25">
      <c r="B402" s="137">
        <v>0.39700000000000002</v>
      </c>
      <c r="C402" s="138" cm="1">
        <f t="array" ref="C402">ad(B402)</f>
        <v>0.36978985788534685</v>
      </c>
      <c r="D402" s="7"/>
      <c r="E402" s="27"/>
      <c r="F402" s="27"/>
      <c r="G402" s="7"/>
      <c r="H402" s="28"/>
      <c r="I402" s="28"/>
      <c r="J402" s="28"/>
      <c r="K402" s="28"/>
    </row>
    <row r="403" spans="2:11" x14ac:dyDescent="0.25">
      <c r="B403" s="137">
        <v>0.39800000000000002</v>
      </c>
      <c r="C403" s="138" cm="1">
        <f t="array" ref="C403">ad(B403)</f>
        <v>0.371036056108067</v>
      </c>
      <c r="D403" s="7"/>
      <c r="E403" s="27"/>
      <c r="F403" s="27"/>
      <c r="G403" s="7"/>
      <c r="H403" s="28"/>
      <c r="I403" s="28"/>
      <c r="J403" s="28"/>
      <c r="K403" s="28"/>
    </row>
    <row r="404" spans="2:11" x14ac:dyDescent="0.25">
      <c r="B404" s="137">
        <v>0.39900000000000002</v>
      </c>
      <c r="C404" s="138" cm="1">
        <f t="array" ref="C404">ad(B404)</f>
        <v>0.3722827849720004</v>
      </c>
      <c r="D404" s="7"/>
      <c r="E404" s="27"/>
      <c r="F404" s="27"/>
      <c r="G404" s="7"/>
      <c r="H404" s="28"/>
      <c r="I404" s="28"/>
      <c r="J404" s="28"/>
      <c r="K404" s="28"/>
    </row>
    <row r="405" spans="2:11" x14ac:dyDescent="0.25">
      <c r="B405" s="137">
        <v>0.4</v>
      </c>
      <c r="C405" s="138" cm="1">
        <f t="array" ref="C405">ad(B405)</f>
        <v>0.37353003905233101</v>
      </c>
      <c r="D405" s="7"/>
      <c r="E405" s="27"/>
      <c r="F405" s="27"/>
      <c r="G405" s="7"/>
      <c r="H405" s="28"/>
      <c r="I405" s="28"/>
      <c r="J405" s="28"/>
      <c r="K405" s="28"/>
    </row>
    <row r="406" spans="2:11" x14ac:dyDescent="0.25">
      <c r="B406" s="137">
        <v>0.40100000000000002</v>
      </c>
      <c r="C406" s="138" cm="1">
        <f t="array" ref="C406">ad(B406)</f>
        <v>0.37477781293109313</v>
      </c>
      <c r="D406" s="7"/>
      <c r="E406" s="27"/>
      <c r="F406" s="27"/>
      <c r="G406" s="7"/>
      <c r="H406" s="28"/>
      <c r="I406" s="28"/>
      <c r="J406" s="28"/>
      <c r="K406" s="28"/>
    </row>
    <row r="407" spans="2:11" x14ac:dyDescent="0.25">
      <c r="B407" s="137">
        <v>0.40200000000000002</v>
      </c>
      <c r="C407" s="138" cm="1">
        <f t="array" ref="C407">ad(B407)</f>
        <v>0.37602610119708929</v>
      </c>
      <c r="D407" s="7"/>
      <c r="E407" s="27"/>
      <c r="F407" s="27"/>
      <c r="G407" s="7"/>
      <c r="H407" s="28"/>
      <c r="I407" s="28"/>
      <c r="J407" s="28"/>
      <c r="K407" s="28"/>
    </row>
    <row r="408" spans="2:11" x14ac:dyDescent="0.25">
      <c r="B408" s="137">
        <v>0.40300000000000002</v>
      </c>
      <c r="C408" s="138" cm="1">
        <f t="array" ref="C408">ad(B408)</f>
        <v>0.37727489844580886</v>
      </c>
      <c r="D408" s="7"/>
      <c r="E408" s="27"/>
      <c r="F408" s="27"/>
      <c r="G408" s="7"/>
      <c r="H408" s="28"/>
      <c r="I408" s="28"/>
      <c r="J408" s="28"/>
      <c r="K408" s="28"/>
    </row>
    <row r="409" spans="2:11" x14ac:dyDescent="0.25">
      <c r="B409" s="137">
        <v>0.40400000000000003</v>
      </c>
      <c r="C409" s="138" cm="1">
        <f t="array" ref="C409">ad(B409)</f>
        <v>0.37852419927934672</v>
      </c>
      <c r="D409" s="7"/>
      <c r="E409" s="27"/>
      <c r="F409" s="27"/>
      <c r="G409" s="7"/>
      <c r="H409" s="28"/>
      <c r="I409" s="28"/>
      <c r="J409" s="28"/>
      <c r="K409" s="28"/>
    </row>
    <row r="410" spans="2:11" x14ac:dyDescent="0.25">
      <c r="B410" s="137">
        <v>0.40500000000000003</v>
      </c>
      <c r="C410" s="138" cm="1">
        <f t="array" ref="C410">ad(B410)</f>
        <v>0.37977399830632286</v>
      </c>
      <c r="D410" s="7"/>
      <c r="E410" s="27"/>
      <c r="F410" s="27"/>
      <c r="G410" s="7"/>
      <c r="H410" s="28"/>
      <c r="I410" s="28"/>
      <c r="J410" s="28"/>
      <c r="K410" s="28"/>
    </row>
    <row r="411" spans="2:11" x14ac:dyDescent="0.25">
      <c r="B411" s="137">
        <v>0.40600000000000003</v>
      </c>
      <c r="C411" s="138" cm="1">
        <f t="array" ref="C411">ad(B411)</f>
        <v>0.38102429014180184</v>
      </c>
      <c r="D411" s="7"/>
      <c r="E411" s="27"/>
      <c r="F411" s="27"/>
      <c r="G411" s="7"/>
      <c r="H411" s="28"/>
      <c r="I411" s="28"/>
      <c r="J411" s="28"/>
      <c r="K411" s="28"/>
    </row>
    <row r="412" spans="2:11" x14ac:dyDescent="0.25">
      <c r="B412" s="137">
        <v>0.40699999999999997</v>
      </c>
      <c r="C412" s="138" cm="1">
        <f t="array" ref="C412">ad(B412)</f>
        <v>0.38227506940721351</v>
      </c>
      <c r="D412" s="7"/>
      <c r="E412" s="27"/>
      <c r="F412" s="27"/>
      <c r="G412" s="7"/>
      <c r="H412" s="28"/>
      <c r="I412" s="28"/>
      <c r="J412" s="28"/>
      <c r="K412" s="28"/>
    </row>
    <row r="413" spans="2:11" x14ac:dyDescent="0.25">
      <c r="B413" s="137">
        <v>0.40799999999999997</v>
      </c>
      <c r="C413" s="138" cm="1">
        <f t="array" ref="C413">ad(B413)</f>
        <v>0.38352633073027326</v>
      </c>
      <c r="D413" s="7"/>
      <c r="E413" s="27"/>
      <c r="F413" s="27"/>
      <c r="G413" s="7"/>
      <c r="H413" s="28"/>
      <c r="I413" s="28"/>
      <c r="J413" s="28"/>
      <c r="K413" s="28"/>
    </row>
    <row r="414" spans="2:11" x14ac:dyDescent="0.25">
      <c r="B414" s="137">
        <v>0.40899999999999997</v>
      </c>
      <c r="C414" s="138" cm="1">
        <f t="array" ref="C414">ad(B414)</f>
        <v>0.38477806874490328</v>
      </c>
      <c r="D414" s="7"/>
      <c r="E414" s="27"/>
      <c r="F414" s="27"/>
      <c r="G414" s="7"/>
      <c r="H414" s="28"/>
      <c r="I414" s="28"/>
      <c r="J414" s="28"/>
      <c r="K414" s="28"/>
    </row>
    <row r="415" spans="2:11" x14ac:dyDescent="0.25">
      <c r="B415" s="137">
        <v>0.41</v>
      </c>
      <c r="C415" s="138" cm="1">
        <f t="array" ref="C415">ad(B415)</f>
        <v>0.38603027809115409</v>
      </c>
      <c r="D415" s="7"/>
      <c r="E415" s="27"/>
      <c r="F415" s="27"/>
      <c r="G415" s="7"/>
      <c r="H415" s="28"/>
      <c r="I415" s="28"/>
      <c r="J415" s="28"/>
      <c r="K415" s="28"/>
    </row>
    <row r="416" spans="2:11" x14ac:dyDescent="0.25">
      <c r="B416" s="137">
        <v>0.41099999999999998</v>
      </c>
      <c r="C416" s="138" cm="1">
        <f t="array" ref="C416">ad(B416)</f>
        <v>0.38728295341512631</v>
      </c>
      <c r="D416" s="7"/>
      <c r="E416" s="27"/>
      <c r="F416" s="27"/>
      <c r="G416" s="7"/>
      <c r="H416" s="28"/>
      <c r="I416" s="28"/>
      <c r="J416" s="28"/>
      <c r="K416" s="28"/>
    </row>
    <row r="417" spans="2:11" x14ac:dyDescent="0.25">
      <c r="B417" s="137">
        <v>0.41199999999999998</v>
      </c>
      <c r="C417" s="138" cm="1">
        <f t="array" ref="C417">ad(B417)</f>
        <v>0.38853608936889317</v>
      </c>
      <c r="D417" s="7"/>
      <c r="E417" s="27"/>
      <c r="F417" s="27"/>
      <c r="G417" s="7"/>
      <c r="H417" s="28"/>
      <c r="I417" s="28"/>
      <c r="J417" s="28"/>
      <c r="K417" s="28"/>
    </row>
    <row r="418" spans="2:11" x14ac:dyDescent="0.25">
      <c r="B418" s="137">
        <v>0.41299999999999998</v>
      </c>
      <c r="C418" s="138" cm="1">
        <f t="array" ref="C418">ad(B418)</f>
        <v>0.38978968061042329</v>
      </c>
      <c r="D418" s="7"/>
      <c r="E418" s="27"/>
      <c r="F418" s="27"/>
      <c r="G418" s="7"/>
      <c r="H418" s="28"/>
      <c r="I418" s="28"/>
      <c r="J418" s="28"/>
      <c r="K418" s="28"/>
    </row>
    <row r="419" spans="2:11" x14ac:dyDescent="0.25">
      <c r="B419" s="137">
        <v>0.41399999999999998</v>
      </c>
      <c r="C419" s="138" cm="1">
        <f t="array" ref="C419">ad(B419)</f>
        <v>0.39104372180350355</v>
      </c>
      <c r="D419" s="7"/>
      <c r="E419" s="27"/>
      <c r="F419" s="27"/>
      <c r="G419" s="7"/>
      <c r="H419" s="28"/>
      <c r="I419" s="28"/>
      <c r="J419" s="28"/>
      <c r="K419" s="28"/>
    </row>
    <row r="420" spans="2:11" x14ac:dyDescent="0.25">
      <c r="B420" s="137">
        <v>0.41499999999999998</v>
      </c>
      <c r="C420" s="138" cm="1">
        <f t="array" ref="C420">ad(B420)</f>
        <v>0.3922982076176626</v>
      </c>
      <c r="D420" s="7"/>
      <c r="E420" s="27"/>
      <c r="F420" s="27"/>
      <c r="G420" s="7"/>
      <c r="H420" s="28"/>
      <c r="I420" s="28"/>
      <c r="J420" s="28"/>
      <c r="K420" s="28"/>
    </row>
    <row r="421" spans="2:11" x14ac:dyDescent="0.25">
      <c r="B421" s="137">
        <v>0.41599999999999998</v>
      </c>
      <c r="C421" s="138" cm="1">
        <f t="array" ref="C421">ad(B421)</f>
        <v>0.39355313272809511</v>
      </c>
      <c r="D421" s="7"/>
      <c r="E421" s="27"/>
      <c r="F421" s="27"/>
      <c r="G421" s="7"/>
      <c r="H421" s="28"/>
      <c r="I421" s="28"/>
      <c r="J421" s="28"/>
      <c r="K421" s="28"/>
    </row>
    <row r="422" spans="2:11" x14ac:dyDescent="0.25">
      <c r="B422" s="137">
        <v>0.41699999999999998</v>
      </c>
      <c r="C422" s="138" cm="1">
        <f t="array" ref="C422">ad(B422)</f>
        <v>0.39480849181558564</v>
      </c>
      <c r="D422" s="7"/>
      <c r="E422" s="27"/>
      <c r="F422" s="27"/>
      <c r="G422" s="7"/>
      <c r="H422" s="28"/>
      <c r="I422" s="28"/>
      <c r="J422" s="28"/>
      <c r="K422" s="28"/>
    </row>
    <row r="423" spans="2:11" x14ac:dyDescent="0.25">
      <c r="B423" s="137">
        <v>0.41799999999999998</v>
      </c>
      <c r="C423" s="138" cm="1">
        <f t="array" ref="C423">ad(B423)</f>
        <v>0.39606427956643353</v>
      </c>
      <c r="D423" s="7"/>
      <c r="E423" s="27"/>
      <c r="F423" s="27"/>
      <c r="G423" s="7"/>
      <c r="H423" s="28"/>
      <c r="I423" s="28"/>
      <c r="J423" s="28"/>
      <c r="K423" s="28"/>
    </row>
    <row r="424" spans="2:11" x14ac:dyDescent="0.25">
      <c r="B424" s="137">
        <v>0.41899999999999998</v>
      </c>
      <c r="C424" s="138" cm="1">
        <f t="array" ref="C424">ad(B424)</f>
        <v>0.39732049067237762</v>
      </c>
      <c r="D424" s="7"/>
      <c r="E424" s="27"/>
      <c r="F424" s="27"/>
      <c r="G424" s="7"/>
      <c r="H424" s="28"/>
      <c r="I424" s="28"/>
      <c r="J424" s="28"/>
      <c r="K424" s="28"/>
    </row>
    <row r="425" spans="2:11" x14ac:dyDescent="0.25">
      <c r="B425" s="137">
        <v>0.42</v>
      </c>
      <c r="C425" s="138" cm="1">
        <f t="array" ref="C425">ad(B425)</f>
        <v>0.39857711983052202</v>
      </c>
      <c r="D425" s="7"/>
      <c r="E425" s="27"/>
      <c r="F425" s="27"/>
      <c r="G425" s="7"/>
      <c r="H425" s="28"/>
      <c r="I425" s="28"/>
      <c r="J425" s="28"/>
      <c r="K425" s="28"/>
    </row>
    <row r="426" spans="2:11" x14ac:dyDescent="0.25">
      <c r="B426" s="137">
        <v>0.42099999999999999</v>
      </c>
      <c r="C426" s="138" cm="1">
        <f t="array" ref="C426">ad(B426)</f>
        <v>0.39983416174326136</v>
      </c>
      <c r="D426" s="7"/>
      <c r="E426" s="27"/>
      <c r="F426" s="27"/>
      <c r="G426" s="7"/>
      <c r="H426" s="28"/>
      <c r="I426" s="28"/>
      <c r="J426" s="28"/>
      <c r="K426" s="28"/>
    </row>
    <row r="427" spans="2:11" x14ac:dyDescent="0.25">
      <c r="B427" s="137">
        <v>0.42199999999999999</v>
      </c>
      <c r="C427" s="138" cm="1">
        <f t="array" ref="C427">ad(B427)</f>
        <v>0.40109161111820724</v>
      </c>
      <c r="D427" s="7"/>
      <c r="E427" s="27"/>
      <c r="F427" s="27"/>
      <c r="G427" s="7"/>
      <c r="H427" s="28"/>
      <c r="I427" s="28"/>
      <c r="J427" s="28"/>
      <c r="K427" s="28"/>
    </row>
    <row r="428" spans="2:11" x14ac:dyDescent="0.25">
      <c r="B428" s="137">
        <v>0.42299999999999999</v>
      </c>
      <c r="C428" s="138" cm="1">
        <f t="array" ref="C428">ad(B428)</f>
        <v>0.40234946266811422</v>
      </c>
      <c r="D428" s="7"/>
      <c r="E428" s="27"/>
      <c r="F428" s="27"/>
      <c r="G428" s="7"/>
      <c r="H428" s="28"/>
      <c r="I428" s="28"/>
      <c r="J428" s="28"/>
      <c r="K428" s="28"/>
    </row>
    <row r="429" spans="2:11" x14ac:dyDescent="0.25">
      <c r="B429" s="137">
        <v>0.42399999999999999</v>
      </c>
      <c r="C429" s="138" cm="1">
        <f t="array" ref="C429">ad(B429)</f>
        <v>0.4036077111108069</v>
      </c>
      <c r="D429" s="7"/>
      <c r="E429" s="27"/>
      <c r="F429" s="27"/>
      <c r="G429" s="7"/>
      <c r="H429" s="28"/>
      <c r="I429" s="28"/>
      <c r="J429" s="28"/>
      <c r="K429" s="28"/>
    </row>
    <row r="430" spans="2:11" x14ac:dyDescent="0.25">
      <c r="B430" s="137">
        <v>0.42499999999999999</v>
      </c>
      <c r="C430" s="138" cm="1">
        <f t="array" ref="C430">ad(B430)</f>
        <v>0.40486635116910691</v>
      </c>
      <c r="D430" s="7"/>
      <c r="E430" s="27"/>
      <c r="F430" s="27"/>
      <c r="G430" s="7"/>
      <c r="H430" s="28"/>
      <c r="I430" s="28"/>
      <c r="J430" s="28"/>
      <c r="K430" s="28"/>
    </row>
    <row r="431" spans="2:11" x14ac:dyDescent="0.25">
      <c r="B431" s="137">
        <v>0.42599999999999999</v>
      </c>
      <c r="C431" s="138" cm="1">
        <f t="array" ref="C431">ad(B431)</f>
        <v>0.40612537757076006</v>
      </c>
      <c r="D431" s="7"/>
      <c r="E431" s="27"/>
      <c r="F431" s="27"/>
      <c r="G431" s="7"/>
      <c r="H431" s="28"/>
      <c r="I431" s="28"/>
      <c r="J431" s="28"/>
      <c r="K431" s="28"/>
    </row>
    <row r="432" spans="2:11" x14ac:dyDescent="0.25">
      <c r="B432" s="137">
        <v>0.42699999999999999</v>
      </c>
      <c r="C432" s="138" cm="1">
        <f t="array" ref="C432">ad(B432)</f>
        <v>0.40738478504836428</v>
      </c>
      <c r="D432" s="7"/>
      <c r="E432" s="27"/>
      <c r="F432" s="27"/>
      <c r="G432" s="7"/>
      <c r="H432" s="28"/>
      <c r="I432" s="28"/>
      <c r="J432" s="28"/>
      <c r="K432" s="28"/>
    </row>
    <row r="433" spans="2:11" x14ac:dyDescent="0.25">
      <c r="B433" s="137">
        <v>0.42799999999999999</v>
      </c>
      <c r="C433" s="138" cm="1">
        <f t="array" ref="C433">ad(B433)</f>
        <v>0.40864456833929769</v>
      </c>
      <c r="D433" s="7"/>
      <c r="E433" s="27"/>
      <c r="F433" s="27"/>
      <c r="G433" s="7"/>
      <c r="H433" s="28"/>
      <c r="I433" s="28"/>
      <c r="J433" s="28"/>
      <c r="K433" s="28"/>
    </row>
    <row r="434" spans="2:11" x14ac:dyDescent="0.25">
      <c r="B434" s="137">
        <v>0.42899999999999999</v>
      </c>
      <c r="C434" s="138" cm="1">
        <f t="array" ref="C434">ad(B434)</f>
        <v>0.40990472218564661</v>
      </c>
      <c r="D434" s="7"/>
      <c r="E434" s="27"/>
      <c r="F434" s="27"/>
      <c r="G434" s="7"/>
      <c r="H434" s="28"/>
      <c r="I434" s="28"/>
      <c r="J434" s="28"/>
      <c r="K434" s="28"/>
    </row>
    <row r="435" spans="2:11" x14ac:dyDescent="0.25">
      <c r="B435" s="137">
        <v>0.43</v>
      </c>
      <c r="C435" s="138" cm="1">
        <f t="array" ref="C435">ad(B435)</f>
        <v>0.41116524133413446</v>
      </c>
      <c r="D435" s="7"/>
      <c r="E435" s="27"/>
      <c r="F435" s="27"/>
      <c r="G435" s="7"/>
      <c r="H435" s="28"/>
      <c r="I435" s="28"/>
      <c r="J435" s="28"/>
      <c r="K435" s="28"/>
    </row>
    <row r="436" spans="2:11" x14ac:dyDescent="0.25">
      <c r="B436" s="137">
        <v>0.43099999999999999</v>
      </c>
      <c r="C436" s="138" cm="1">
        <f t="array" ref="C436">ad(B436)</f>
        <v>0.41242612053605071</v>
      </c>
      <c r="D436" s="7"/>
      <c r="E436" s="27"/>
      <c r="F436" s="27"/>
      <c r="G436" s="7"/>
      <c r="H436" s="28"/>
      <c r="I436" s="28"/>
      <c r="J436" s="28"/>
      <c r="K436" s="28"/>
    </row>
    <row r="437" spans="2:11" x14ac:dyDescent="0.25">
      <c r="B437" s="137">
        <v>0.432</v>
      </c>
      <c r="C437" s="138" cm="1">
        <f t="array" ref="C437">ad(B437)</f>
        <v>0.41368735454717981</v>
      </c>
      <c r="D437" s="7"/>
      <c r="E437" s="27"/>
      <c r="F437" s="27"/>
      <c r="G437" s="7"/>
      <c r="H437" s="28"/>
      <c r="I437" s="28"/>
      <c r="J437" s="28"/>
      <c r="K437" s="28"/>
    </row>
    <row r="438" spans="2:11" x14ac:dyDescent="0.25">
      <c r="B438" s="137">
        <v>0.433</v>
      </c>
      <c r="C438" s="138" cm="1">
        <f t="array" ref="C438">ad(B438)</f>
        <v>0.41494893812773098</v>
      </c>
      <c r="D438" s="7"/>
      <c r="E438" s="27"/>
      <c r="F438" s="27"/>
      <c r="G438" s="7"/>
      <c r="H438" s="28"/>
      <c r="I438" s="28"/>
      <c r="J438" s="28"/>
      <c r="K438" s="28"/>
    </row>
    <row r="439" spans="2:11" x14ac:dyDescent="0.25">
      <c r="B439" s="137">
        <v>0.434</v>
      </c>
      <c r="C439" s="138" cm="1">
        <f t="array" ref="C439">ad(B439)</f>
        <v>0.41621086604226798</v>
      </c>
      <c r="D439" s="7"/>
      <c r="E439" s="27"/>
      <c r="F439" s="27"/>
      <c r="G439" s="7"/>
      <c r="H439" s="28"/>
      <c r="I439" s="28"/>
      <c r="J439" s="28"/>
      <c r="K439" s="28"/>
    </row>
    <row r="440" spans="2:11" x14ac:dyDescent="0.25">
      <c r="B440" s="137">
        <v>0.435</v>
      </c>
      <c r="C440" s="138" cm="1">
        <f t="array" ref="C440">ad(B440)</f>
        <v>0.4174731330596389</v>
      </c>
      <c r="D440" s="7"/>
      <c r="E440" s="27"/>
      <c r="F440" s="27"/>
      <c r="G440" s="7"/>
      <c r="H440" s="28"/>
      <c r="I440" s="28"/>
      <c r="J440" s="28"/>
      <c r="K440" s="28"/>
    </row>
    <row r="441" spans="2:11" x14ac:dyDescent="0.25">
      <c r="B441" s="137">
        <v>0.436</v>
      </c>
      <c r="C441" s="138" cm="1">
        <f t="array" ref="C441">ad(B441)</f>
        <v>0.41873573395290692</v>
      </c>
      <c r="D441" s="7"/>
      <c r="E441" s="27"/>
      <c r="F441" s="27"/>
      <c r="G441" s="7"/>
      <c r="H441" s="28"/>
      <c r="I441" s="28"/>
      <c r="J441" s="28"/>
      <c r="K441" s="28"/>
    </row>
    <row r="442" spans="2:11" x14ac:dyDescent="0.25">
      <c r="B442" s="137">
        <v>0.437</v>
      </c>
      <c r="C442" s="138" cm="1">
        <f t="array" ref="C442">ad(B442)</f>
        <v>0.41999866349928061</v>
      </c>
      <c r="D442" s="7"/>
      <c r="E442" s="27"/>
      <c r="F442" s="27"/>
      <c r="G442" s="7"/>
      <c r="H442" s="28"/>
      <c r="I442" s="28"/>
      <c r="J442" s="28"/>
      <c r="K442" s="28"/>
    </row>
    <row r="443" spans="2:11" x14ac:dyDescent="0.25">
      <c r="B443" s="137">
        <v>0.438</v>
      </c>
      <c r="C443" s="138" cm="1">
        <f t="array" ref="C443">ad(B443)</f>
        <v>0.4212619164800448</v>
      </c>
      <c r="D443" s="7"/>
      <c r="E443" s="27"/>
      <c r="F443" s="27"/>
      <c r="G443" s="7"/>
      <c r="H443" s="28"/>
      <c r="I443" s="28"/>
      <c r="J443" s="28"/>
      <c r="K443" s="28"/>
    </row>
    <row r="444" spans="2:11" x14ac:dyDescent="0.25">
      <c r="B444" s="137">
        <v>0.439</v>
      </c>
      <c r="C444" s="138" cm="1">
        <f t="array" ref="C444">ad(B444)</f>
        <v>0.42252548768049203</v>
      </c>
      <c r="D444" s="7"/>
      <c r="E444" s="27"/>
      <c r="F444" s="27"/>
      <c r="G444" s="7"/>
      <c r="H444" s="28"/>
      <c r="I444" s="28"/>
      <c r="J444" s="28"/>
      <c r="K444" s="28"/>
    </row>
    <row r="445" spans="2:11" x14ac:dyDescent="0.25">
      <c r="B445" s="137">
        <v>0.44</v>
      </c>
      <c r="C445" s="138" cm="1">
        <f t="array" ref="C445">ad(B445)</f>
        <v>0.42378937188985344</v>
      </c>
      <c r="D445" s="7"/>
      <c r="E445" s="27"/>
      <c r="F445" s="27"/>
      <c r="G445" s="7"/>
      <c r="H445" s="28"/>
      <c r="I445" s="28"/>
      <c r="J445" s="28"/>
      <c r="K445" s="28"/>
    </row>
    <row r="446" spans="2:11" x14ac:dyDescent="0.25">
      <c r="B446" s="137">
        <v>0.441</v>
      </c>
      <c r="C446" s="138" cm="1">
        <f t="array" ref="C446">ad(B446)</f>
        <v>0.42505356390123084</v>
      </c>
      <c r="D446" s="7"/>
      <c r="E446" s="27"/>
      <c r="F446" s="27"/>
      <c r="G446" s="7"/>
      <c r="H446" s="28"/>
      <c r="I446" s="28"/>
      <c r="J446" s="28"/>
      <c r="K446" s="28"/>
    </row>
    <row r="447" spans="2:11" x14ac:dyDescent="0.25">
      <c r="B447" s="137">
        <v>0.442</v>
      </c>
      <c r="C447" s="138" cm="1">
        <f t="array" ref="C447">ad(B447)</f>
        <v>0.42631805851152849</v>
      </c>
      <c r="D447" s="7"/>
      <c r="E447" s="27"/>
      <c r="F447" s="27"/>
      <c r="G447" s="7"/>
      <c r="H447" s="28"/>
      <c r="I447" s="28"/>
      <c r="J447" s="28"/>
      <c r="K447" s="28"/>
    </row>
    <row r="448" spans="2:11" x14ac:dyDescent="0.25">
      <c r="B448" s="137">
        <v>0.443</v>
      </c>
      <c r="C448" s="138" cm="1">
        <f t="array" ref="C448">ad(B448)</f>
        <v>0.42758285052138489</v>
      </c>
      <c r="D448" s="7"/>
      <c r="E448" s="27"/>
      <c r="F448" s="27"/>
      <c r="G448" s="7"/>
      <c r="H448" s="28"/>
      <c r="I448" s="28"/>
      <c r="J448" s="28"/>
      <c r="K448" s="28"/>
    </row>
    <row r="449" spans="2:11" x14ac:dyDescent="0.25">
      <c r="B449" s="137">
        <v>0.44400000000000001</v>
      </c>
      <c r="C449" s="138" cm="1">
        <f t="array" ref="C449">ad(B449)</f>
        <v>0.42884793473510568</v>
      </c>
      <c r="D449" s="7"/>
      <c r="E449" s="27"/>
      <c r="F449" s="27"/>
      <c r="G449" s="7"/>
      <c r="H449" s="28"/>
      <c r="I449" s="28"/>
      <c r="J449" s="28"/>
      <c r="K449" s="28"/>
    </row>
    <row r="450" spans="2:11" x14ac:dyDescent="0.25">
      <c r="B450" s="137">
        <v>0.44500000000000001</v>
      </c>
      <c r="C450" s="138" cm="1">
        <f t="array" ref="C450">ad(B450)</f>
        <v>0.43011330596059572</v>
      </c>
      <c r="D450" s="7"/>
      <c r="E450" s="27"/>
      <c r="F450" s="27"/>
      <c r="G450" s="7"/>
      <c r="H450" s="28"/>
      <c r="I450" s="28"/>
      <c r="J450" s="28"/>
      <c r="K450" s="28"/>
    </row>
    <row r="451" spans="2:11" x14ac:dyDescent="0.25">
      <c r="B451" s="137">
        <v>0.44600000000000001</v>
      </c>
      <c r="C451" s="138" cm="1">
        <f t="array" ref="C451">ad(B451)</f>
        <v>0.43137895900929213</v>
      </c>
      <c r="D451" s="7"/>
      <c r="E451" s="27"/>
      <c r="F451" s="27"/>
      <c r="G451" s="7"/>
      <c r="H451" s="28"/>
      <c r="I451" s="28"/>
      <c r="J451" s="28"/>
      <c r="K451" s="28"/>
    </row>
    <row r="452" spans="2:11" x14ac:dyDescent="0.25">
      <c r="B452" s="137">
        <v>0.44700000000000001</v>
      </c>
      <c r="C452" s="138" cm="1">
        <f t="array" ref="C452">ad(B452)</f>
        <v>0.43264488869609741</v>
      </c>
      <c r="D452" s="7"/>
      <c r="E452" s="27"/>
      <c r="F452" s="27"/>
      <c r="G452" s="7"/>
      <c r="H452" s="28"/>
      <c r="I452" s="28"/>
      <c r="J452" s="28"/>
      <c r="K452" s="28"/>
    </row>
    <row r="453" spans="2:11" x14ac:dyDescent="0.25">
      <c r="B453" s="137">
        <v>0.44800000000000001</v>
      </c>
      <c r="C453" s="138" cm="1">
        <f t="array" ref="C453">ad(B453)</f>
        <v>0.43391108983931248</v>
      </c>
      <c r="D453" s="7"/>
      <c r="E453" s="27"/>
      <c r="F453" s="27"/>
      <c r="G453" s="7"/>
      <c r="H453" s="28"/>
      <c r="I453" s="28"/>
      <c r="J453" s="28"/>
      <c r="K453" s="28"/>
    </row>
    <row r="454" spans="2:11" x14ac:dyDescent="0.25">
      <c r="B454" s="137">
        <v>0.44900000000000001</v>
      </c>
      <c r="C454" s="138" cm="1">
        <f t="array" ref="C454">ad(B454)</f>
        <v>0.43517755726057017</v>
      </c>
      <c r="D454" s="7"/>
      <c r="E454" s="27"/>
      <c r="F454" s="27"/>
      <c r="G454" s="7"/>
      <c r="H454" s="28"/>
      <c r="I454" s="28"/>
      <c r="J454" s="28"/>
      <c r="K454" s="28"/>
    </row>
    <row r="455" spans="2:11" x14ac:dyDescent="0.25">
      <c r="B455" s="137">
        <v>0.45</v>
      </c>
      <c r="C455" s="138" cm="1">
        <f t="array" ref="C455">ad(B455)</f>
        <v>0.43644428578476913</v>
      </c>
      <c r="D455" s="7"/>
      <c r="E455" s="27"/>
      <c r="F455" s="27"/>
      <c r="G455" s="7"/>
      <c r="H455" s="28"/>
      <c r="I455" s="28"/>
      <c r="J455" s="28"/>
      <c r="K455" s="28"/>
    </row>
    <row r="456" spans="2:11" x14ac:dyDescent="0.25">
      <c r="B456" s="137">
        <v>0.45100000000000001</v>
      </c>
      <c r="C456" s="138" cm="1">
        <f t="array" ref="C456">ad(B456)</f>
        <v>0.43771127024000722</v>
      </c>
      <c r="D456" s="7"/>
      <c r="E456" s="27"/>
      <c r="F456" s="27"/>
      <c r="G456" s="7"/>
      <c r="H456" s="28"/>
      <c r="I456" s="28"/>
      <c r="J456" s="28"/>
      <c r="K456" s="28"/>
    </row>
    <row r="457" spans="2:11" x14ac:dyDescent="0.25">
      <c r="B457" s="137">
        <v>0.45200000000000001</v>
      </c>
      <c r="C457" s="138" cm="1">
        <f t="array" ref="C457">ad(B457)</f>
        <v>0.43897850545751604</v>
      </c>
      <c r="D457" s="7"/>
      <c r="E457" s="27"/>
      <c r="F457" s="27"/>
      <c r="G457" s="7"/>
      <c r="H457" s="28"/>
      <c r="I457" s="28"/>
      <c r="J457" s="28"/>
      <c r="K457" s="28"/>
    </row>
    <row r="458" spans="2:11" x14ac:dyDescent="0.25">
      <c r="B458" s="137">
        <v>0.45300000000000001</v>
      </c>
      <c r="C458" s="138" cm="1">
        <f t="array" ref="C458">ad(B458)</f>
        <v>0.44024598627159511</v>
      </c>
      <c r="D458" s="7"/>
      <c r="E458" s="27"/>
      <c r="F458" s="27"/>
      <c r="G458" s="7"/>
      <c r="H458" s="28"/>
      <c r="I458" s="28"/>
      <c r="J458" s="28"/>
      <c r="K458" s="28"/>
    </row>
    <row r="459" spans="2:11" x14ac:dyDescent="0.25">
      <c r="B459" s="137">
        <v>0.45400000000000001</v>
      </c>
      <c r="C459" s="138" cm="1">
        <f t="array" ref="C459">ad(B459)</f>
        <v>0.44151370751954594</v>
      </c>
      <c r="D459" s="7"/>
      <c r="E459" s="27"/>
      <c r="F459" s="27"/>
      <c r="G459" s="7"/>
      <c r="H459" s="28"/>
      <c r="I459" s="28"/>
      <c r="J459" s="28"/>
      <c r="K459" s="28"/>
    </row>
    <row r="460" spans="2:11" x14ac:dyDescent="0.25">
      <c r="B460" s="137">
        <v>0.45500000000000002</v>
      </c>
      <c r="C460" s="138" cm="1">
        <f t="array" ref="C460">ad(B460)</f>
        <v>0.44278166404160718</v>
      </c>
      <c r="D460" s="7"/>
      <c r="E460" s="27"/>
      <c r="F460" s="27"/>
      <c r="G460" s="7"/>
      <c r="H460" s="28"/>
      <c r="I460" s="28"/>
      <c r="J460" s="28"/>
      <c r="K460" s="28"/>
    </row>
    <row r="461" spans="2:11" x14ac:dyDescent="0.25">
      <c r="B461" s="137">
        <v>0.45600000000000002</v>
      </c>
      <c r="C461" s="138" cm="1">
        <f t="array" ref="C461">ad(B461)</f>
        <v>0.44404985068088909</v>
      </c>
      <c r="D461" s="7"/>
      <c r="E461" s="27"/>
      <c r="F461" s="27"/>
      <c r="G461" s="7"/>
      <c r="H461" s="28"/>
      <c r="I461" s="28"/>
      <c r="J461" s="28"/>
      <c r="K461" s="28"/>
    </row>
    <row r="462" spans="2:11" x14ac:dyDescent="0.25">
      <c r="B462" s="137">
        <v>0.45700000000000002</v>
      </c>
      <c r="C462" s="138" cm="1">
        <f t="array" ref="C462">ad(B462)</f>
        <v>0.44531826228330862</v>
      </c>
      <c r="D462" s="7"/>
      <c r="E462" s="27"/>
      <c r="F462" s="27"/>
      <c r="G462" s="7"/>
      <c r="H462" s="28"/>
      <c r="I462" s="28"/>
      <c r="J462" s="28"/>
      <c r="K462" s="28"/>
    </row>
    <row r="463" spans="2:11" x14ac:dyDescent="0.25">
      <c r="B463" s="137">
        <v>0.45800000000000002</v>
      </c>
      <c r="C463" s="138" cm="1">
        <f t="array" ref="C463">ad(B463)</f>
        <v>0.44658689369752474</v>
      </c>
      <c r="D463" s="7"/>
      <c r="E463" s="27"/>
      <c r="F463" s="27"/>
      <c r="G463" s="7"/>
      <c r="H463" s="28"/>
      <c r="I463" s="28"/>
      <c r="J463" s="28"/>
      <c r="K463" s="28"/>
    </row>
    <row r="464" spans="2:11" x14ac:dyDescent="0.25">
      <c r="B464" s="137">
        <v>0.45900000000000002</v>
      </c>
      <c r="C464" s="138" cm="1">
        <f t="array" ref="C464">ad(B464)</f>
        <v>0.44785573977487353</v>
      </c>
      <c r="D464" s="7"/>
      <c r="E464" s="27"/>
      <c r="F464" s="27"/>
      <c r="G464" s="7"/>
      <c r="H464" s="28"/>
      <c r="I464" s="28"/>
      <c r="J464" s="28"/>
      <c r="K464" s="28"/>
    </row>
    <row r="465" spans="2:11" x14ac:dyDescent="0.25">
      <c r="B465" s="137">
        <v>0.46</v>
      </c>
      <c r="C465" s="138" cm="1">
        <f t="array" ref="C465">ad(B465)</f>
        <v>0.44912479536930383</v>
      </c>
      <c r="D465" s="7"/>
      <c r="E465" s="27"/>
      <c r="F465" s="27"/>
      <c r="G465" s="7"/>
      <c r="H465" s="28"/>
      <c r="I465" s="28"/>
      <c r="J465" s="28"/>
      <c r="K465" s="28"/>
    </row>
    <row r="466" spans="2:11" x14ac:dyDescent="0.25">
      <c r="B466" s="137">
        <v>0.46100000000000002</v>
      </c>
      <c r="C466" s="138" cm="1">
        <f t="array" ref="C466">ad(B466)</f>
        <v>0.45039405533731286</v>
      </c>
      <c r="D466" s="7"/>
      <c r="E466" s="27"/>
      <c r="F466" s="27"/>
      <c r="G466" s="7"/>
      <c r="H466" s="28"/>
      <c r="I466" s="28"/>
      <c r="J466" s="28"/>
      <c r="K466" s="28"/>
    </row>
    <row r="467" spans="2:11" x14ac:dyDescent="0.25">
      <c r="B467" s="137">
        <v>0.46200000000000002</v>
      </c>
      <c r="C467" s="138" cm="1">
        <f t="array" ref="C467">ad(B467)</f>
        <v>0.451663514537882</v>
      </c>
      <c r="D467" s="7"/>
      <c r="E467" s="27"/>
      <c r="F467" s="27"/>
      <c r="G467" s="7"/>
      <c r="H467" s="28"/>
      <c r="I467" s="28"/>
      <c r="J467" s="28"/>
      <c r="K467" s="28"/>
    </row>
    <row r="468" spans="2:11" x14ac:dyDescent="0.25">
      <c r="B468" s="137">
        <v>0.46300000000000002</v>
      </c>
      <c r="C468" s="138" cm="1">
        <f t="array" ref="C468">ad(B468)</f>
        <v>0.45293316783241289</v>
      </c>
      <c r="D468" s="7"/>
      <c r="E468" s="27"/>
      <c r="F468" s="27"/>
      <c r="G468" s="7"/>
      <c r="H468" s="28"/>
      <c r="I468" s="28"/>
      <c r="J468" s="28"/>
      <c r="K468" s="28"/>
    </row>
    <row r="469" spans="2:11" x14ac:dyDescent="0.25">
      <c r="B469" s="137">
        <v>0.46400000000000002</v>
      </c>
      <c r="C469" s="138" cm="1">
        <f t="array" ref="C469">ad(B469)</f>
        <v>0.45420301008466335</v>
      </c>
      <c r="D469" s="7"/>
      <c r="E469" s="27"/>
      <c r="F469" s="27"/>
      <c r="G469" s="7"/>
      <c r="H469" s="28"/>
      <c r="I469" s="28"/>
      <c r="J469" s="28"/>
      <c r="K469" s="28"/>
    </row>
    <row r="470" spans="2:11" x14ac:dyDescent="0.25">
      <c r="B470" s="137">
        <v>0.46500000000000002</v>
      </c>
      <c r="C470" s="138" cm="1">
        <f t="array" ref="C470">ad(B470)</f>
        <v>0.4554730361606838</v>
      </c>
      <c r="D470" s="7"/>
      <c r="E470" s="27"/>
      <c r="F470" s="27"/>
      <c r="G470" s="7"/>
      <c r="H470" s="28"/>
      <c r="I470" s="28"/>
      <c r="J470" s="28"/>
      <c r="K470" s="28"/>
    </row>
    <row r="471" spans="2:11" x14ac:dyDescent="0.25">
      <c r="B471" s="137">
        <v>0.46600000000000003</v>
      </c>
      <c r="C471" s="138" cm="1">
        <f t="array" ref="C471">ad(B471)</f>
        <v>0.45674324092875374</v>
      </c>
      <c r="D471" s="7"/>
      <c r="E471" s="27"/>
      <c r="F471" s="27"/>
      <c r="G471" s="7"/>
      <c r="H471" s="28"/>
      <c r="I471" s="28"/>
      <c r="J471" s="28"/>
      <c r="K471" s="28"/>
    </row>
    <row r="472" spans="2:11" x14ac:dyDescent="0.25">
      <c r="B472" s="137">
        <v>0.46700000000000003</v>
      </c>
      <c r="C472" s="138" cm="1">
        <f t="array" ref="C472">ad(B472)</f>
        <v>0.45801361925931794</v>
      </c>
      <c r="D472" s="7"/>
      <c r="E472" s="27"/>
      <c r="F472" s="27"/>
      <c r="G472" s="7"/>
      <c r="H472" s="28"/>
      <c r="I472" s="28"/>
      <c r="J472" s="28"/>
      <c r="K472" s="28"/>
    </row>
    <row r="473" spans="2:11" x14ac:dyDescent="0.25">
      <c r="B473" s="137">
        <v>0.46800000000000003</v>
      </c>
      <c r="C473" s="138" cm="1">
        <f t="array" ref="C473">ad(B473)</f>
        <v>0.4592841660249235</v>
      </c>
      <c r="D473" s="7"/>
      <c r="E473" s="27"/>
      <c r="F473" s="27"/>
      <c r="G473" s="7"/>
      <c r="H473" s="28"/>
      <c r="I473" s="28"/>
      <c r="J473" s="28"/>
      <c r="K473" s="28"/>
    </row>
    <row r="474" spans="2:11" x14ac:dyDescent="0.25">
      <c r="B474" s="137">
        <v>0.46899999999999997</v>
      </c>
      <c r="C474" s="138" cm="1">
        <f t="array" ref="C474">ad(B474)</f>
        <v>0.46055487610015633</v>
      </c>
      <c r="D474" s="7"/>
      <c r="E474" s="27"/>
      <c r="F474" s="27"/>
      <c r="G474" s="7"/>
      <c r="H474" s="28"/>
      <c r="I474" s="28"/>
      <c r="J474" s="28"/>
      <c r="K474" s="28"/>
    </row>
    <row r="475" spans="2:11" x14ac:dyDescent="0.25">
      <c r="B475" s="137">
        <v>0.47</v>
      </c>
      <c r="C475" s="138" cm="1">
        <f t="array" ref="C475">ad(B475)</f>
        <v>0.46182574436157847</v>
      </c>
      <c r="D475" s="7"/>
      <c r="E475" s="27"/>
      <c r="F475" s="27"/>
      <c r="G475" s="7"/>
      <c r="H475" s="28"/>
      <c r="I475" s="28"/>
      <c r="J475" s="28"/>
      <c r="K475" s="28"/>
    </row>
    <row r="476" spans="2:11" x14ac:dyDescent="0.25">
      <c r="B476" s="137">
        <v>0.47099999999999997</v>
      </c>
      <c r="C476" s="138" cm="1">
        <f t="array" ref="C476">ad(B476)</f>
        <v>0.46309676568766467</v>
      </c>
      <c r="D476" s="7"/>
      <c r="E476" s="27"/>
      <c r="F476" s="27"/>
      <c r="G476" s="7"/>
      <c r="H476" s="28"/>
      <c r="I476" s="28"/>
      <c r="J476" s="28"/>
      <c r="K476" s="28"/>
    </row>
    <row r="477" spans="2:11" x14ac:dyDescent="0.25">
      <c r="B477" s="137">
        <v>0.47199999999999998</v>
      </c>
      <c r="C477" s="138" cm="1">
        <f t="array" ref="C477">ad(B477)</f>
        <v>0.46436793495873985</v>
      </c>
      <c r="D477" s="7"/>
      <c r="E477" s="27"/>
      <c r="F477" s="27"/>
      <c r="G477" s="7"/>
      <c r="H477" s="28"/>
      <c r="I477" s="28"/>
      <c r="J477" s="28"/>
      <c r="K477" s="28"/>
    </row>
    <row r="478" spans="2:11" x14ac:dyDescent="0.25">
      <c r="B478" s="137">
        <v>0.47299999999999998</v>
      </c>
      <c r="C478" s="138" cm="1">
        <f t="array" ref="C478">ad(B478)</f>
        <v>0.46563924705691628</v>
      </c>
      <c r="D478" s="7"/>
      <c r="E478" s="27"/>
      <c r="F478" s="27"/>
      <c r="G478" s="7"/>
      <c r="H478" s="28"/>
      <c r="I478" s="28"/>
      <c r="J478" s="28"/>
      <c r="K478" s="28"/>
    </row>
    <row r="479" spans="2:11" x14ac:dyDescent="0.25">
      <c r="B479" s="137">
        <v>0.47399999999999998</v>
      </c>
      <c r="C479" s="138" cm="1">
        <f t="array" ref="C479">ad(B479)</f>
        <v>0.46691069686603104</v>
      </c>
      <c r="D479" s="7"/>
      <c r="E479" s="27"/>
      <c r="F479" s="27"/>
      <c r="G479" s="7"/>
      <c r="H479" s="28"/>
      <c r="I479" s="28"/>
      <c r="J479" s="28"/>
      <c r="K479" s="28"/>
    </row>
    <row r="480" spans="2:11" x14ac:dyDescent="0.25">
      <c r="B480" s="137">
        <v>0.47499999999999998</v>
      </c>
      <c r="C480" s="138" cm="1">
        <f t="array" ref="C480">ad(B480)</f>
        <v>0.46818227927158329</v>
      </c>
      <c r="D480" s="7"/>
      <c r="E480" s="27"/>
      <c r="F480" s="27"/>
      <c r="G480" s="7"/>
      <c r="H480" s="28"/>
      <c r="I480" s="28"/>
      <c r="J480" s="28"/>
      <c r="K480" s="28"/>
    </row>
    <row r="481" spans="2:11" x14ac:dyDescent="0.25">
      <c r="B481" s="137">
        <v>0.47599999999999998</v>
      </c>
      <c r="C481" s="138" cm="1">
        <f t="array" ref="C481">ad(B481)</f>
        <v>0.46945398916067216</v>
      </c>
      <c r="D481" s="7"/>
      <c r="E481" s="27"/>
      <c r="F481" s="27"/>
      <c r="G481" s="7"/>
      <c r="H481" s="28"/>
      <c r="I481" s="28"/>
      <c r="J481" s="28"/>
      <c r="K481" s="28"/>
    </row>
    <row r="482" spans="2:11" x14ac:dyDescent="0.25">
      <c r="B482" s="137">
        <v>0.47699999999999998</v>
      </c>
      <c r="C482" s="138" cm="1">
        <f t="array" ref="C482">ad(B482)</f>
        <v>0.47072582142193409</v>
      </c>
      <c r="D482" s="7"/>
      <c r="E482" s="27"/>
      <c r="F482" s="27"/>
      <c r="G482" s="7"/>
      <c r="H482" s="28"/>
      <c r="I482" s="28"/>
      <c r="J482" s="28"/>
      <c r="K482" s="28"/>
    </row>
    <row r="483" spans="2:11" x14ac:dyDescent="0.25">
      <c r="B483" s="137">
        <v>0.47799999999999998</v>
      </c>
      <c r="C483" s="138" cm="1">
        <f t="array" ref="C483">ad(B483)</f>
        <v>0.47199777094548101</v>
      </c>
      <c r="D483" s="7"/>
      <c r="E483" s="27"/>
      <c r="F483" s="27"/>
      <c r="G483" s="7"/>
      <c r="H483" s="28"/>
      <c r="I483" s="28"/>
      <c r="J483" s="28"/>
      <c r="K483" s="28"/>
    </row>
    <row r="484" spans="2:11" x14ac:dyDescent="0.25">
      <c r="B484" s="137">
        <v>0.47899999999999998</v>
      </c>
      <c r="C484" s="138" cm="1">
        <f t="array" ref="C484">ad(B484)</f>
        <v>0.47326983262283784</v>
      </c>
      <c r="D484" s="7"/>
      <c r="E484" s="27"/>
      <c r="F484" s="27"/>
      <c r="G484" s="7"/>
      <c r="H484" s="28"/>
      <c r="I484" s="28"/>
      <c r="J484" s="28"/>
      <c r="K484" s="28"/>
    </row>
    <row r="485" spans="2:11" x14ac:dyDescent="0.25">
      <c r="B485" s="137">
        <v>0.48</v>
      </c>
      <c r="C485" s="138" cm="1">
        <f t="array" ref="C485">ad(B485)</f>
        <v>0.47454200134688063</v>
      </c>
      <c r="D485" s="7"/>
      <c r="E485" s="27"/>
      <c r="F485" s="27"/>
      <c r="G485" s="7"/>
      <c r="H485" s="28"/>
      <c r="I485" s="28"/>
      <c r="J485" s="28"/>
      <c r="K485" s="28"/>
    </row>
    <row r="486" spans="2:11" x14ac:dyDescent="0.25">
      <c r="B486" s="137">
        <v>0.48099999999999998</v>
      </c>
      <c r="C486" s="138" cm="1">
        <f t="array" ref="C486">ad(B486)</f>
        <v>0.47581427201177445</v>
      </c>
      <c r="D486" s="7"/>
      <c r="E486" s="27"/>
      <c r="F486" s="27"/>
      <c r="G486" s="7"/>
      <c r="H486" s="28"/>
      <c r="I486" s="28"/>
      <c r="J486" s="28"/>
      <c r="K486" s="28"/>
    </row>
    <row r="487" spans="2:11" x14ac:dyDescent="0.25">
      <c r="B487" s="137">
        <v>0.48199999999999998</v>
      </c>
      <c r="C487" s="138" cm="1">
        <f t="array" ref="C487">ad(B487)</f>
        <v>0.47708663951291175</v>
      </c>
      <c r="D487" s="7"/>
      <c r="E487" s="27"/>
      <c r="F487" s="27"/>
      <c r="G487" s="7"/>
      <c r="H487" s="28"/>
      <c r="I487" s="28"/>
      <c r="J487" s="28"/>
      <c r="K487" s="28"/>
    </row>
    <row r="488" spans="2:11" x14ac:dyDescent="0.25">
      <c r="B488" s="137">
        <v>0.48299999999999998</v>
      </c>
      <c r="C488" s="138" cm="1">
        <f t="array" ref="C488">ad(B488)</f>
        <v>0.47835909874685034</v>
      </c>
      <c r="D488" s="7"/>
      <c r="E488" s="27"/>
      <c r="F488" s="27"/>
      <c r="G488" s="7"/>
      <c r="H488" s="28"/>
      <c r="I488" s="28"/>
      <c r="J488" s="28"/>
      <c r="K488" s="28"/>
    </row>
    <row r="489" spans="2:11" x14ac:dyDescent="0.25">
      <c r="B489" s="137">
        <v>0.48399999999999999</v>
      </c>
      <c r="C489" s="138" cm="1">
        <f t="array" ref="C489">ad(B489)</f>
        <v>0.47963164461125163</v>
      </c>
      <c r="D489" s="7"/>
      <c r="E489" s="27"/>
      <c r="F489" s="27"/>
      <c r="G489" s="7"/>
      <c r="H489" s="28"/>
      <c r="I489" s="28"/>
      <c r="J489" s="28"/>
      <c r="K489" s="28"/>
    </row>
    <row r="490" spans="2:11" x14ac:dyDescent="0.25">
      <c r="B490" s="137">
        <v>0.48499999999999999</v>
      </c>
      <c r="C490" s="138" cm="1">
        <f t="array" ref="C490">ad(B490)</f>
        <v>0.48090427200481906</v>
      </c>
      <c r="D490" s="7"/>
      <c r="E490" s="27"/>
      <c r="F490" s="27"/>
      <c r="G490" s="7"/>
      <c r="H490" s="28"/>
      <c r="I490" s="28"/>
      <c r="J490" s="28"/>
      <c r="K490" s="28"/>
    </row>
    <row r="491" spans="2:11" x14ac:dyDescent="0.25">
      <c r="B491" s="137">
        <v>0.48599999999999999</v>
      </c>
      <c r="C491" s="138" cm="1">
        <f t="array" ref="C491">ad(B491)</f>
        <v>0.48217697582723645</v>
      </c>
      <c r="D491" s="7"/>
      <c r="E491" s="27"/>
      <c r="F491" s="27"/>
      <c r="G491" s="7"/>
      <c r="H491" s="28"/>
      <c r="I491" s="28"/>
      <c r="J491" s="28"/>
      <c r="K491" s="28"/>
    </row>
    <row r="492" spans="2:11" x14ac:dyDescent="0.25">
      <c r="B492" s="137">
        <v>0.48699999999999999</v>
      </c>
      <c r="C492" s="138" cm="1">
        <f t="array" ref="C492">ad(B492)</f>
        <v>0.48344975097910636</v>
      </c>
      <c r="D492" s="7"/>
      <c r="E492" s="27"/>
      <c r="F492" s="27"/>
      <c r="G492" s="7"/>
      <c r="H492" s="28"/>
      <c r="I492" s="28"/>
      <c r="J492" s="28"/>
      <c r="K492" s="28"/>
    </row>
    <row r="493" spans="2:11" x14ac:dyDescent="0.25">
      <c r="B493" s="137">
        <v>0.48799999999999999</v>
      </c>
      <c r="C493" s="138" cm="1">
        <f t="array" ref="C493">ad(B493)</f>
        <v>0.48472259236188875</v>
      </c>
      <c r="D493" s="7"/>
      <c r="E493" s="27"/>
      <c r="F493" s="27"/>
      <c r="G493" s="7"/>
      <c r="H493" s="28"/>
      <c r="I493" s="28"/>
      <c r="J493" s="28"/>
      <c r="K493" s="28"/>
    </row>
    <row r="494" spans="2:11" x14ac:dyDescent="0.25">
      <c r="B494" s="137">
        <v>0.48899999999999999</v>
      </c>
      <c r="C494" s="138" cm="1">
        <f t="array" ref="C494">ad(B494)</f>
        <v>0.48599549487783933</v>
      </c>
      <c r="D494" s="7"/>
      <c r="E494" s="27"/>
      <c r="F494" s="27"/>
      <c r="G494" s="7"/>
      <c r="H494" s="28"/>
      <c r="I494" s="28"/>
      <c r="J494" s="28"/>
      <c r="K494" s="28"/>
    </row>
    <row r="495" spans="2:11" x14ac:dyDescent="0.25">
      <c r="B495" s="137">
        <v>0.49</v>
      </c>
      <c r="C495" s="138" cm="1">
        <f t="array" ref="C495">ad(B495)</f>
        <v>0.4872684534299484</v>
      </c>
      <c r="D495" s="7"/>
      <c r="E495" s="27"/>
      <c r="F495" s="27"/>
      <c r="G495" s="7"/>
      <c r="H495" s="28"/>
      <c r="I495" s="28"/>
      <c r="J495" s="28"/>
      <c r="K495" s="28"/>
    </row>
    <row r="496" spans="2:11" x14ac:dyDescent="0.25">
      <c r="B496" s="137">
        <v>0.49099999999999999</v>
      </c>
      <c r="C496" s="138" cm="1">
        <f t="array" ref="C496">ad(B496)</f>
        <v>0.48854146292187917</v>
      </c>
      <c r="D496" s="7"/>
      <c r="E496" s="27"/>
      <c r="F496" s="27"/>
      <c r="G496" s="7"/>
      <c r="H496" s="28"/>
      <c r="I496" s="28"/>
      <c r="J496" s="28"/>
      <c r="K496" s="28"/>
    </row>
    <row r="497" spans="2:11" x14ac:dyDescent="0.25">
      <c r="B497" s="137">
        <v>0.49199999999999999</v>
      </c>
      <c r="C497" s="138" cm="1">
        <f t="array" ref="C497">ad(B497)</f>
        <v>0.48981451825790678</v>
      </c>
      <c r="D497" s="7"/>
      <c r="E497" s="27"/>
      <c r="F497" s="27"/>
      <c r="G497" s="7"/>
      <c r="H497" s="28"/>
      <c r="I497" s="28"/>
      <c r="J497" s="28"/>
      <c r="K497" s="28"/>
    </row>
    <row r="498" spans="2:11" x14ac:dyDescent="0.25">
      <c r="B498" s="137">
        <v>0.49299999999999999</v>
      </c>
      <c r="C498" s="138" cm="1">
        <f t="array" ref="C498">ad(B498)</f>
        <v>0.49108761434285675</v>
      </c>
      <c r="D498" s="7"/>
      <c r="E498" s="27"/>
      <c r="F498" s="27"/>
      <c r="G498" s="7"/>
      <c r="H498" s="28"/>
      <c r="I498" s="28"/>
      <c r="J498" s="28"/>
      <c r="K498" s="28"/>
    </row>
    <row r="499" spans="2:11" x14ac:dyDescent="0.25">
      <c r="B499" s="137">
        <v>0.49399999999999999</v>
      </c>
      <c r="C499" s="138" cm="1">
        <f t="array" ref="C499">ad(B499)</f>
        <v>0.49236074608204394</v>
      </c>
      <c r="D499" s="7"/>
      <c r="E499" s="27"/>
      <c r="F499" s="27"/>
      <c r="G499" s="7"/>
      <c r="H499" s="28"/>
      <c r="I499" s="28"/>
      <c r="J499" s="28"/>
      <c r="K499" s="28"/>
    </row>
    <row r="500" spans="2:11" x14ac:dyDescent="0.25">
      <c r="B500" s="137">
        <v>0.495</v>
      </c>
      <c r="C500" s="138" cm="1">
        <f t="array" ref="C500">ad(B500)</f>
        <v>0.49363390838121118</v>
      </c>
      <c r="D500" s="7"/>
      <c r="E500" s="27"/>
      <c r="F500" s="27"/>
      <c r="G500" s="7"/>
      <c r="H500" s="28"/>
      <c r="I500" s="28"/>
      <c r="J500" s="28"/>
      <c r="K500" s="28"/>
    </row>
    <row r="501" spans="2:11" x14ac:dyDescent="0.25">
      <c r="B501" s="137">
        <v>0.496</v>
      </c>
      <c r="C501" s="138" cm="1">
        <f t="array" ref="C501">ad(B501)</f>
        <v>0.49490709614646811</v>
      </c>
      <c r="D501" s="7"/>
      <c r="E501" s="27"/>
      <c r="F501" s="27"/>
      <c r="G501" s="7"/>
      <c r="H501" s="28"/>
      <c r="I501" s="28"/>
      <c r="J501" s="28"/>
      <c r="K501" s="28"/>
    </row>
    <row r="502" spans="2:11" x14ac:dyDescent="0.25">
      <c r="B502" s="137">
        <v>0.497</v>
      </c>
      <c r="C502" s="138" cm="1">
        <f t="array" ref="C502">ad(B502)</f>
        <v>0.4961803042842301</v>
      </c>
      <c r="D502" s="7"/>
      <c r="E502" s="27"/>
      <c r="F502" s="27"/>
      <c r="G502" s="7"/>
      <c r="H502" s="28"/>
      <c r="I502" s="28"/>
      <c r="J502" s="28"/>
      <c r="K502" s="28"/>
    </row>
    <row r="503" spans="2:11" x14ac:dyDescent="0.25">
      <c r="B503" s="137">
        <v>0.498</v>
      </c>
      <c r="C503" s="138" cm="1">
        <f t="array" ref="C503">ad(B503)</f>
        <v>0.49745352770115686</v>
      </c>
      <c r="D503" s="7"/>
      <c r="E503" s="27"/>
      <c r="F503" s="27"/>
      <c r="G503" s="7"/>
      <c r="H503" s="28"/>
      <c r="I503" s="28"/>
      <c r="J503" s="28"/>
      <c r="K503" s="28"/>
    </row>
    <row r="504" spans="2:11" x14ac:dyDescent="0.25">
      <c r="B504" s="137">
        <v>0.499</v>
      </c>
      <c r="C504" s="138" cm="1">
        <f t="array" ref="C504">ad(B504)</f>
        <v>0.49872676130409171</v>
      </c>
      <c r="D504" s="7"/>
      <c r="E504" s="27"/>
      <c r="F504" s="27"/>
      <c r="G504" s="7"/>
      <c r="H504" s="28"/>
      <c r="I504" s="28"/>
      <c r="J504" s="28"/>
      <c r="K504" s="28"/>
    </row>
    <row r="505" spans="2:11" x14ac:dyDescent="0.25">
      <c r="B505" s="137">
        <v>0.5</v>
      </c>
      <c r="C505" s="138" cm="1">
        <f t="array" ref="C505">ad(B505)</f>
        <v>0.5</v>
      </c>
      <c r="D505" s="7"/>
      <c r="E505" s="27"/>
      <c r="F505" s="27"/>
      <c r="G505" s="7"/>
      <c r="H505" s="28"/>
      <c r="I505" s="28"/>
      <c r="J505" s="28"/>
      <c r="K505" s="28"/>
    </row>
    <row r="506" spans="2:11" x14ac:dyDescent="0.25">
      <c r="B506" s="137">
        <v>0.501</v>
      </c>
      <c r="C506" s="138" cm="1">
        <f t="array" ref="C506">ad(B506)</f>
        <v>0.50127323869590834</v>
      </c>
      <c r="D506" s="7"/>
      <c r="E506" s="27"/>
      <c r="F506" s="27"/>
      <c r="G506" s="7"/>
      <c r="H506" s="28"/>
      <c r="I506" s="28"/>
      <c r="J506" s="28"/>
      <c r="K506" s="28"/>
    </row>
    <row r="507" spans="2:11" x14ac:dyDescent="0.25">
      <c r="B507" s="137">
        <v>0.502</v>
      </c>
      <c r="C507" s="138" cm="1">
        <f t="array" ref="C507">ad(B507)</f>
        <v>0.50254647229884308</v>
      </c>
      <c r="D507" s="7"/>
      <c r="E507" s="27"/>
      <c r="F507" s="27"/>
      <c r="G507" s="7"/>
      <c r="H507" s="28"/>
      <c r="I507" s="28"/>
      <c r="J507" s="28"/>
      <c r="K507" s="28"/>
    </row>
    <row r="508" spans="2:11" x14ac:dyDescent="0.25">
      <c r="B508" s="137">
        <v>0.503</v>
      </c>
      <c r="C508" s="138" cm="1">
        <f t="array" ref="C508">ad(B508)</f>
        <v>0.5038196957157699</v>
      </c>
      <c r="D508" s="7"/>
      <c r="E508" s="27"/>
      <c r="F508" s="27"/>
      <c r="G508" s="7"/>
      <c r="H508" s="28"/>
      <c r="I508" s="28"/>
      <c r="J508" s="28"/>
      <c r="K508" s="28"/>
    </row>
    <row r="509" spans="2:11" x14ac:dyDescent="0.25">
      <c r="B509" s="137">
        <v>0.504</v>
      </c>
      <c r="C509" s="138" cm="1">
        <f t="array" ref="C509">ad(B509)</f>
        <v>0.50509290385353189</v>
      </c>
      <c r="D509" s="7"/>
      <c r="E509" s="27"/>
      <c r="F509" s="27"/>
      <c r="G509" s="7"/>
      <c r="H509" s="28"/>
      <c r="I509" s="28"/>
      <c r="J509" s="28"/>
      <c r="K509" s="28"/>
    </row>
    <row r="510" spans="2:11" x14ac:dyDescent="0.25">
      <c r="B510" s="137">
        <v>0.505</v>
      </c>
      <c r="C510" s="138" cm="1">
        <f t="array" ref="C510">ad(B510)</f>
        <v>0.50636609161878887</v>
      </c>
      <c r="D510" s="7"/>
      <c r="E510" s="27"/>
      <c r="F510" s="27"/>
      <c r="G510" s="7"/>
      <c r="H510" s="28"/>
      <c r="I510" s="28"/>
      <c r="J510" s="28"/>
      <c r="K510" s="28"/>
    </row>
    <row r="511" spans="2:11" x14ac:dyDescent="0.25">
      <c r="B511" s="137">
        <v>0.50600000000000001</v>
      </c>
      <c r="C511" s="138" cm="1">
        <f t="array" ref="C511">ad(B511)</f>
        <v>0.50763925391795606</v>
      </c>
      <c r="D511" s="7"/>
      <c r="E511" s="27"/>
      <c r="F511" s="27"/>
      <c r="G511" s="7"/>
      <c r="H511" s="28"/>
      <c r="I511" s="28"/>
      <c r="J511" s="28"/>
      <c r="K511" s="28"/>
    </row>
    <row r="512" spans="2:11" x14ac:dyDescent="0.25">
      <c r="B512" s="137">
        <v>0.50700000000000001</v>
      </c>
      <c r="C512" s="138" cm="1">
        <f t="array" ref="C512">ad(B512)</f>
        <v>0.50891238565714325</v>
      </c>
      <c r="D512" s="7"/>
      <c r="E512" s="27"/>
      <c r="F512" s="27"/>
      <c r="G512" s="7"/>
      <c r="H512" s="28"/>
      <c r="I512" s="28"/>
      <c r="J512" s="28"/>
      <c r="K512" s="28"/>
    </row>
    <row r="513" spans="2:11" x14ac:dyDescent="0.25">
      <c r="B513" s="137">
        <v>0.50800000000000001</v>
      </c>
      <c r="C513" s="138" cm="1">
        <f t="array" ref="C513">ad(B513)</f>
        <v>0.51018548174209322</v>
      </c>
      <c r="D513" s="7"/>
      <c r="E513" s="27"/>
      <c r="F513" s="27"/>
      <c r="G513" s="7"/>
      <c r="H513" s="28"/>
      <c r="I513" s="28"/>
      <c r="J513" s="28"/>
      <c r="K513" s="28"/>
    </row>
    <row r="514" spans="2:11" x14ac:dyDescent="0.25">
      <c r="B514" s="137">
        <v>0.50900000000000001</v>
      </c>
      <c r="C514" s="138" cm="1">
        <f t="array" ref="C514">ad(B514)</f>
        <v>0.51145853707812083</v>
      </c>
      <c r="D514" s="7"/>
      <c r="E514" s="27"/>
      <c r="F514" s="27"/>
      <c r="G514" s="7"/>
      <c r="H514" s="28"/>
      <c r="I514" s="28"/>
      <c r="J514" s="28"/>
      <c r="K514" s="28"/>
    </row>
    <row r="515" spans="2:11" x14ac:dyDescent="0.25">
      <c r="B515" s="137">
        <v>0.51</v>
      </c>
      <c r="C515" s="138" cm="1">
        <f t="array" ref="C515">ad(B515)</f>
        <v>0.5127315465700516</v>
      </c>
      <c r="D515" s="7"/>
      <c r="E515" s="27"/>
      <c r="F515" s="27"/>
      <c r="G515" s="7"/>
      <c r="H515" s="28"/>
      <c r="I515" s="28"/>
      <c r="J515" s="28"/>
      <c r="K515" s="28"/>
    </row>
    <row r="516" spans="2:11" x14ac:dyDescent="0.25">
      <c r="B516" s="137">
        <v>0.51100000000000001</v>
      </c>
      <c r="C516" s="138" cm="1">
        <f t="array" ref="C516">ad(B516)</f>
        <v>0.51400450512216067</v>
      </c>
      <c r="D516" s="7"/>
      <c r="E516" s="27"/>
      <c r="F516" s="27"/>
      <c r="G516" s="7"/>
      <c r="H516" s="28"/>
      <c r="I516" s="28"/>
      <c r="J516" s="28"/>
      <c r="K516" s="28"/>
    </row>
    <row r="517" spans="2:11" x14ac:dyDescent="0.25">
      <c r="B517" s="137">
        <v>0.51200000000000001</v>
      </c>
      <c r="C517" s="138" cm="1">
        <f t="array" ref="C517">ad(B517)</f>
        <v>0.51527740763811125</v>
      </c>
      <c r="D517" s="7"/>
      <c r="E517" s="27"/>
      <c r="F517" s="27"/>
      <c r="G517" s="7"/>
      <c r="H517" s="28"/>
      <c r="I517" s="28"/>
      <c r="J517" s="28"/>
      <c r="K517" s="28"/>
    </row>
    <row r="518" spans="2:11" x14ac:dyDescent="0.25">
      <c r="B518" s="137">
        <v>0.51300000000000001</v>
      </c>
      <c r="C518" s="138" cm="1">
        <f t="array" ref="C518">ad(B518)</f>
        <v>0.51655024902089364</v>
      </c>
      <c r="D518" s="7"/>
      <c r="E518" s="27"/>
      <c r="F518" s="27"/>
      <c r="G518" s="7"/>
      <c r="H518" s="28"/>
      <c r="I518" s="28"/>
      <c r="J518" s="28"/>
      <c r="K518" s="28"/>
    </row>
    <row r="519" spans="2:11" x14ac:dyDescent="0.25">
      <c r="B519" s="137">
        <v>0.51400000000000001</v>
      </c>
      <c r="C519" s="138" cm="1">
        <f t="array" ref="C519">ad(B519)</f>
        <v>0.5178230241727636</v>
      </c>
      <c r="D519" s="7"/>
      <c r="E519" s="27"/>
      <c r="F519" s="27"/>
      <c r="G519" s="7"/>
      <c r="H519" s="28"/>
      <c r="I519" s="28"/>
      <c r="J519" s="28"/>
      <c r="K519" s="28"/>
    </row>
    <row r="520" spans="2:11" x14ac:dyDescent="0.25">
      <c r="B520" s="137">
        <v>0.51500000000000001</v>
      </c>
      <c r="C520" s="138" cm="1">
        <f t="array" ref="C520">ad(B520)</f>
        <v>0.51909572799518089</v>
      </c>
      <c r="D520" s="7"/>
      <c r="E520" s="27"/>
      <c r="F520" s="27"/>
      <c r="G520" s="7"/>
      <c r="H520" s="28"/>
      <c r="I520" s="28"/>
      <c r="J520" s="28"/>
      <c r="K520" s="28"/>
    </row>
    <row r="521" spans="2:11" x14ac:dyDescent="0.25">
      <c r="B521" s="137">
        <v>0.51600000000000001</v>
      </c>
      <c r="C521" s="138" cm="1">
        <f t="array" ref="C521">ad(B521)</f>
        <v>0.52036835538874837</v>
      </c>
      <c r="D521" s="7"/>
      <c r="E521" s="27"/>
      <c r="F521" s="27"/>
      <c r="G521" s="7"/>
      <c r="H521" s="28"/>
      <c r="I521" s="28"/>
      <c r="J521" s="28"/>
      <c r="K521" s="28"/>
    </row>
    <row r="522" spans="2:11" x14ac:dyDescent="0.25">
      <c r="B522" s="137">
        <v>0.51700000000000002</v>
      </c>
      <c r="C522" s="138" cm="1">
        <f t="array" ref="C522">ad(B522)</f>
        <v>0.52164090125314966</v>
      </c>
      <c r="D522" s="7"/>
      <c r="E522" s="27"/>
      <c r="F522" s="27"/>
      <c r="G522" s="7"/>
      <c r="H522" s="28"/>
      <c r="I522" s="28"/>
      <c r="J522" s="28"/>
      <c r="K522" s="28"/>
    </row>
    <row r="523" spans="2:11" x14ac:dyDescent="0.25">
      <c r="B523" s="137">
        <v>0.51800000000000002</v>
      </c>
      <c r="C523" s="138" cm="1">
        <f t="array" ref="C523">ad(B523)</f>
        <v>0.52291336048708825</v>
      </c>
      <c r="D523" s="7"/>
      <c r="E523" s="27"/>
      <c r="F523" s="27"/>
      <c r="G523" s="7"/>
      <c r="H523" s="28"/>
      <c r="I523" s="28"/>
      <c r="J523" s="28"/>
      <c r="K523" s="28"/>
    </row>
    <row r="524" spans="2:11" x14ac:dyDescent="0.25">
      <c r="B524" s="137">
        <v>0.51900000000000002</v>
      </c>
      <c r="C524" s="138" cm="1">
        <f t="array" ref="C524">ad(B524)</f>
        <v>0.5241857279882256</v>
      </c>
      <c r="D524" s="7"/>
      <c r="E524" s="27"/>
      <c r="F524" s="27"/>
      <c r="G524" s="7"/>
      <c r="H524" s="28"/>
      <c r="I524" s="28"/>
      <c r="J524" s="28"/>
      <c r="K524" s="28"/>
    </row>
    <row r="525" spans="2:11" x14ac:dyDescent="0.25">
      <c r="B525" s="137">
        <v>0.52</v>
      </c>
      <c r="C525" s="138" cm="1">
        <f t="array" ref="C525">ad(B525)</f>
        <v>0.52545799865311937</v>
      </c>
      <c r="D525" s="7"/>
      <c r="E525" s="27"/>
      <c r="F525" s="27"/>
      <c r="G525" s="7"/>
      <c r="H525" s="28"/>
      <c r="I525" s="28"/>
      <c r="J525" s="28"/>
      <c r="K525" s="28"/>
    </row>
    <row r="526" spans="2:11" x14ac:dyDescent="0.25">
      <c r="B526" s="137">
        <v>0.52100000000000002</v>
      </c>
      <c r="C526" s="138" cm="1">
        <f t="array" ref="C526">ad(B526)</f>
        <v>0.52673016737716216</v>
      </c>
      <c r="D526" s="7"/>
      <c r="E526" s="27"/>
      <c r="F526" s="27"/>
      <c r="G526" s="7"/>
      <c r="H526" s="28"/>
      <c r="I526" s="28"/>
      <c r="J526" s="28"/>
      <c r="K526" s="28"/>
    </row>
    <row r="527" spans="2:11" x14ac:dyDescent="0.25">
      <c r="B527" s="137">
        <v>0.52200000000000002</v>
      </c>
      <c r="C527" s="138" cm="1">
        <f t="array" ref="C527">ad(B527)</f>
        <v>0.52800222905451899</v>
      </c>
      <c r="D527" s="7"/>
      <c r="E527" s="27"/>
      <c r="F527" s="27"/>
      <c r="G527" s="7"/>
      <c r="H527" s="28"/>
      <c r="I527" s="28"/>
      <c r="J527" s="28"/>
      <c r="K527" s="28"/>
    </row>
    <row r="528" spans="2:11" x14ac:dyDescent="0.25">
      <c r="B528" s="137">
        <v>0.52300000000000002</v>
      </c>
      <c r="C528" s="138" cm="1">
        <f t="array" ref="C528">ad(B528)</f>
        <v>0.52927417857806591</v>
      </c>
      <c r="D528" s="7"/>
      <c r="E528" s="27"/>
      <c r="F528" s="27"/>
      <c r="G528" s="7"/>
      <c r="H528" s="28"/>
      <c r="I528" s="28"/>
      <c r="J528" s="28"/>
      <c r="K528" s="28"/>
    </row>
    <row r="529" spans="1:11" x14ac:dyDescent="0.25">
      <c r="A529" s="5">
        <v>1</v>
      </c>
      <c r="B529" s="137">
        <v>0.52400000000000002</v>
      </c>
      <c r="C529" s="138" cm="1">
        <f t="array" ref="C529">ad(B529)</f>
        <v>0.53054601083932784</v>
      </c>
      <c r="D529" s="7"/>
      <c r="E529" s="27"/>
      <c r="F529" s="27"/>
      <c r="G529" s="7"/>
      <c r="H529" s="28"/>
      <c r="I529" s="28"/>
      <c r="J529" s="28"/>
      <c r="K529" s="28"/>
    </row>
    <row r="530" spans="1:11" x14ac:dyDescent="0.25">
      <c r="B530" s="137">
        <v>0.52500000000000002</v>
      </c>
      <c r="C530" s="138" cm="1">
        <f t="array" ref="C530">ad(B530)</f>
        <v>0.53181772072841671</v>
      </c>
      <c r="D530" s="7"/>
      <c r="E530" s="27"/>
      <c r="F530" s="27"/>
      <c r="G530" s="7"/>
      <c r="H530" s="28"/>
      <c r="I530" s="28"/>
      <c r="J530" s="28"/>
      <c r="K530" s="28"/>
    </row>
    <row r="531" spans="1:11" x14ac:dyDescent="0.25">
      <c r="B531" s="137">
        <v>0.52600000000000002</v>
      </c>
      <c r="C531" s="138" cm="1">
        <f t="array" ref="C531">ad(B531)</f>
        <v>0.53308930313396896</v>
      </c>
      <c r="D531" s="7"/>
      <c r="E531" s="27"/>
      <c r="F531" s="27"/>
      <c r="G531" s="7"/>
      <c r="H531" s="28"/>
      <c r="I531" s="28"/>
      <c r="J531" s="28"/>
      <c r="K531" s="28"/>
    </row>
    <row r="532" spans="1:11" x14ac:dyDescent="0.25">
      <c r="B532" s="137">
        <v>0.52700000000000002</v>
      </c>
      <c r="C532" s="138" cm="1">
        <f t="array" ref="C532">ad(B532)</f>
        <v>0.53436075294308372</v>
      </c>
      <c r="D532" s="7"/>
      <c r="E532" s="27"/>
      <c r="F532" s="27"/>
      <c r="G532" s="7"/>
      <c r="H532" s="28"/>
      <c r="I532" s="28"/>
      <c r="J532" s="28"/>
      <c r="K532" s="28"/>
    </row>
    <row r="533" spans="1:11" x14ac:dyDescent="0.25">
      <c r="B533" s="137">
        <v>0.52800000000000002</v>
      </c>
      <c r="C533" s="138" cm="1">
        <f t="array" ref="C533">ad(B533)</f>
        <v>0.53563206504126015</v>
      </c>
      <c r="D533" s="7"/>
      <c r="E533" s="27"/>
      <c r="F533" s="27"/>
      <c r="G533" s="7"/>
      <c r="H533" s="28"/>
      <c r="I533" s="28"/>
      <c r="J533" s="28"/>
      <c r="K533" s="28"/>
    </row>
    <row r="534" spans="1:11" x14ac:dyDescent="0.25">
      <c r="B534" s="137">
        <v>0.52900000000000003</v>
      </c>
      <c r="C534" s="138" cm="1">
        <f t="array" ref="C534">ad(B534)</f>
        <v>0.53690323431233533</v>
      </c>
      <c r="D534" s="7"/>
      <c r="E534" s="27"/>
      <c r="F534" s="27"/>
      <c r="G534" s="7"/>
      <c r="H534" s="28"/>
      <c r="I534" s="28"/>
      <c r="J534" s="28"/>
      <c r="K534" s="28"/>
    </row>
    <row r="535" spans="1:11" x14ac:dyDescent="0.25">
      <c r="B535" s="137">
        <v>0.53</v>
      </c>
      <c r="C535" s="138" cm="1">
        <f t="array" ref="C535">ad(B535)</f>
        <v>0.53817425563842158</v>
      </c>
      <c r="D535" s="7"/>
      <c r="E535" s="27"/>
      <c r="F535" s="27"/>
      <c r="G535" s="7"/>
      <c r="H535" s="28"/>
      <c r="I535" s="28"/>
      <c r="J535" s="28"/>
      <c r="K535" s="28"/>
    </row>
    <row r="536" spans="1:11" x14ac:dyDescent="0.25">
      <c r="B536" s="137">
        <v>0.53100000000000003</v>
      </c>
      <c r="C536" s="138" cm="1">
        <f t="array" ref="C536">ad(B536)</f>
        <v>0.53944512389984367</v>
      </c>
      <c r="D536" s="7"/>
      <c r="E536" s="27"/>
      <c r="F536" s="27"/>
      <c r="G536" s="7"/>
      <c r="H536" s="28"/>
      <c r="I536" s="28"/>
      <c r="J536" s="28"/>
      <c r="K536" s="28"/>
    </row>
    <row r="537" spans="1:11" x14ac:dyDescent="0.25">
      <c r="B537" s="137">
        <v>0.53200000000000003</v>
      </c>
      <c r="C537" s="138" cm="1">
        <f t="array" ref="C537">ad(B537)</f>
        <v>0.54071583397507661</v>
      </c>
      <c r="D537" s="7"/>
      <c r="E537" s="27"/>
      <c r="F537" s="27"/>
      <c r="G537" s="7"/>
      <c r="H537" s="28"/>
      <c r="I537" s="28"/>
      <c r="J537" s="28"/>
      <c r="K537" s="28"/>
    </row>
    <row r="538" spans="1:11" x14ac:dyDescent="0.25">
      <c r="B538" s="137">
        <v>0.53300000000000003</v>
      </c>
      <c r="C538" s="138" cm="1">
        <f t="array" ref="C538">ad(B538)</f>
        <v>0.54198638074068217</v>
      </c>
      <c r="D538" s="7"/>
      <c r="E538" s="27"/>
      <c r="F538" s="27"/>
      <c r="G538" s="7"/>
      <c r="H538" s="28"/>
      <c r="I538" s="28"/>
      <c r="J538" s="28"/>
      <c r="K538" s="28"/>
    </row>
    <row r="539" spans="1:11" x14ac:dyDescent="0.25">
      <c r="B539" s="137">
        <v>0.53400000000000003</v>
      </c>
      <c r="C539" s="138" cm="1">
        <f t="array" ref="C539">ad(B539)</f>
        <v>0.54325675907124638</v>
      </c>
      <c r="D539" s="7"/>
      <c r="E539" s="27"/>
      <c r="F539" s="27"/>
      <c r="G539" s="7"/>
      <c r="H539" s="28"/>
      <c r="I539" s="28"/>
      <c r="J539" s="28"/>
      <c r="K539" s="28"/>
    </row>
    <row r="540" spans="1:11" x14ac:dyDescent="0.25">
      <c r="B540" s="137">
        <v>0.53500000000000003</v>
      </c>
      <c r="C540" s="138" cm="1">
        <f t="array" ref="C540">ad(B540)</f>
        <v>0.5445269638393162</v>
      </c>
      <c r="D540" s="7"/>
      <c r="E540" s="27"/>
      <c r="F540" s="27"/>
      <c r="G540" s="7"/>
      <c r="H540" s="28"/>
      <c r="I540" s="28"/>
      <c r="J540" s="28"/>
      <c r="K540" s="28"/>
    </row>
    <row r="541" spans="1:11" x14ac:dyDescent="0.25">
      <c r="B541" s="137">
        <v>0.53600000000000003</v>
      </c>
      <c r="C541" s="138" cm="1">
        <f t="array" ref="C541">ad(B541)</f>
        <v>0.54579698991533676</v>
      </c>
      <c r="D541" s="7"/>
      <c r="E541" s="27"/>
      <c r="F541" s="27"/>
      <c r="G541" s="7"/>
      <c r="H541" s="28"/>
      <c r="I541" s="28"/>
      <c r="J541" s="28"/>
      <c r="K541" s="28"/>
    </row>
    <row r="542" spans="1:11" x14ac:dyDescent="0.25">
      <c r="B542" s="137">
        <v>0.53700000000000003</v>
      </c>
      <c r="C542" s="138" cm="1">
        <f t="array" ref="C542">ad(B542)</f>
        <v>0.54706683216758722</v>
      </c>
      <c r="D542" s="7"/>
      <c r="E542" s="27"/>
      <c r="F542" s="27"/>
      <c r="G542" s="7"/>
      <c r="H542" s="28"/>
      <c r="I542" s="28"/>
      <c r="J542" s="28"/>
      <c r="K542" s="28"/>
    </row>
    <row r="543" spans="1:11" x14ac:dyDescent="0.25">
      <c r="B543" s="137">
        <v>0.53800000000000003</v>
      </c>
      <c r="C543" s="138" cm="1">
        <f t="array" ref="C543">ad(B543)</f>
        <v>0.54833648546211811</v>
      </c>
      <c r="D543" s="7"/>
      <c r="E543" s="27"/>
      <c r="F543" s="27"/>
      <c r="G543" s="7"/>
      <c r="H543" s="28"/>
      <c r="I543" s="28"/>
      <c r="J543" s="28"/>
      <c r="K543" s="28"/>
    </row>
    <row r="544" spans="1:11" x14ac:dyDescent="0.25">
      <c r="B544" s="137">
        <v>0.53900000000000003</v>
      </c>
      <c r="C544" s="138" cm="1">
        <f t="array" ref="C544">ad(B544)</f>
        <v>0.5496059446626872</v>
      </c>
      <c r="D544" s="7"/>
      <c r="E544" s="27"/>
      <c r="F544" s="27"/>
      <c r="G544" s="7"/>
      <c r="H544" s="28"/>
      <c r="I544" s="28"/>
      <c r="J544" s="28"/>
      <c r="K544" s="28"/>
    </row>
    <row r="545" spans="2:11" x14ac:dyDescent="0.25">
      <c r="B545" s="137">
        <v>0.54</v>
      </c>
      <c r="C545" s="138" cm="1">
        <f t="array" ref="C545">ad(B545)</f>
        <v>0.55087520463069617</v>
      </c>
      <c r="D545" s="7"/>
      <c r="E545" s="27"/>
      <c r="F545" s="27"/>
      <c r="G545" s="7"/>
      <c r="H545" s="28"/>
      <c r="I545" s="28"/>
      <c r="J545" s="28"/>
      <c r="K545" s="28"/>
    </row>
    <row r="546" spans="2:11" x14ac:dyDescent="0.25">
      <c r="B546" s="137">
        <v>0.54100000000000004</v>
      </c>
      <c r="C546" s="138" cm="1">
        <f t="array" ref="C546">ad(B546)</f>
        <v>0.55214426022512653</v>
      </c>
      <c r="D546" s="7"/>
      <c r="E546" s="27"/>
      <c r="F546" s="27"/>
      <c r="G546" s="7"/>
      <c r="H546" s="28"/>
      <c r="I546" s="28"/>
      <c r="J546" s="28"/>
      <c r="K546" s="28"/>
    </row>
    <row r="547" spans="2:11" x14ac:dyDescent="0.25">
      <c r="B547" s="137">
        <v>0.54200000000000004</v>
      </c>
      <c r="C547" s="138" cm="1">
        <f t="array" ref="C547">ad(B547)</f>
        <v>0.55341310630247531</v>
      </c>
      <c r="D547" s="7"/>
      <c r="E547" s="27"/>
      <c r="F547" s="27"/>
      <c r="G547" s="7"/>
      <c r="H547" s="28"/>
      <c r="I547" s="28"/>
      <c r="J547" s="28"/>
      <c r="K547" s="28"/>
    </row>
    <row r="548" spans="2:11" x14ac:dyDescent="0.25">
      <c r="B548" s="137">
        <v>0.54300000000000004</v>
      </c>
      <c r="C548" s="138" cm="1">
        <f t="array" ref="C548">ad(B548)</f>
        <v>0.55468173771669149</v>
      </c>
      <c r="D548" s="7"/>
      <c r="E548" s="27"/>
      <c r="F548" s="27"/>
      <c r="G548" s="7"/>
      <c r="H548" s="28"/>
      <c r="I548" s="28"/>
      <c r="J548" s="28"/>
      <c r="K548" s="28"/>
    </row>
    <row r="549" spans="2:11" x14ac:dyDescent="0.25">
      <c r="B549" s="137">
        <v>0.54400000000000004</v>
      </c>
      <c r="C549" s="138" cm="1">
        <f t="array" ref="C549">ad(B549)</f>
        <v>0.55595014931911102</v>
      </c>
      <c r="D549" s="7"/>
      <c r="E549" s="27"/>
      <c r="F549" s="27"/>
      <c r="G549" s="7"/>
      <c r="H549" s="28"/>
      <c r="I549" s="28"/>
      <c r="J549" s="28"/>
      <c r="K549" s="28"/>
    </row>
    <row r="550" spans="2:11" x14ac:dyDescent="0.25">
      <c r="B550" s="137">
        <v>0.54500000000000004</v>
      </c>
      <c r="C550" s="138" cm="1">
        <f t="array" ref="C550">ad(B550)</f>
        <v>0.55721833595839287</v>
      </c>
      <c r="D550" s="7"/>
      <c r="E550" s="27"/>
      <c r="F550" s="27"/>
      <c r="G550" s="7"/>
      <c r="H550" s="28"/>
      <c r="I550" s="28"/>
      <c r="J550" s="28"/>
      <c r="K550" s="28"/>
    </row>
    <row r="551" spans="2:11" x14ac:dyDescent="0.25">
      <c r="B551" s="137">
        <v>0.54600000000000004</v>
      </c>
      <c r="C551" s="138" cm="1">
        <f t="array" ref="C551">ad(B551)</f>
        <v>0.55848629248045412</v>
      </c>
      <c r="D551" s="7"/>
      <c r="E551" s="27"/>
      <c r="F551" s="27"/>
      <c r="G551" s="7"/>
      <c r="H551" s="28"/>
      <c r="I551" s="28"/>
      <c r="J551" s="28"/>
      <c r="K551" s="28"/>
    </row>
    <row r="552" spans="2:11" x14ac:dyDescent="0.25">
      <c r="B552" s="137">
        <v>0.54700000000000004</v>
      </c>
      <c r="C552" s="138" cm="1">
        <f t="array" ref="C552">ad(B552)</f>
        <v>0.55975401372840494</v>
      </c>
      <c r="D552" s="7"/>
      <c r="E552" s="27"/>
      <c r="F552" s="27"/>
      <c r="G552" s="7"/>
      <c r="H552" s="28"/>
      <c r="I552" s="28"/>
      <c r="J552" s="28"/>
      <c r="K552" s="28"/>
    </row>
    <row r="553" spans="2:11" x14ac:dyDescent="0.25">
      <c r="B553" s="137">
        <v>0.54800000000000004</v>
      </c>
      <c r="C553" s="138" cm="1">
        <f t="array" ref="C553">ad(B553)</f>
        <v>0.56102149454248396</v>
      </c>
      <c r="D553" s="7"/>
      <c r="E553" s="27"/>
      <c r="F553" s="27"/>
      <c r="G553" s="7"/>
      <c r="H553" s="28"/>
      <c r="I553" s="28"/>
      <c r="J553" s="28"/>
      <c r="K553" s="28"/>
    </row>
    <row r="554" spans="2:11" x14ac:dyDescent="0.25">
      <c r="B554" s="137">
        <v>0.54900000000000004</v>
      </c>
      <c r="C554" s="138" cm="1">
        <f t="array" ref="C554">ad(B554)</f>
        <v>0.56228872975999289</v>
      </c>
      <c r="D554" s="7"/>
      <c r="E554" s="27"/>
      <c r="F554" s="27"/>
      <c r="G554" s="7"/>
      <c r="H554" s="28"/>
      <c r="I554" s="28"/>
      <c r="J554" s="28"/>
      <c r="K554" s="28"/>
    </row>
    <row r="555" spans="2:11" x14ac:dyDescent="0.25">
      <c r="B555" s="137">
        <v>0.55000000000000004</v>
      </c>
      <c r="C555" s="138" cm="1">
        <f t="array" ref="C555">ad(B555)</f>
        <v>0.56355571421523099</v>
      </c>
      <c r="D555" s="7"/>
      <c r="E555" s="27"/>
      <c r="F555" s="27"/>
      <c r="G555" s="7"/>
      <c r="H555" s="28"/>
      <c r="I555" s="28"/>
      <c r="J555" s="28"/>
      <c r="K555" s="28"/>
    </row>
    <row r="556" spans="2:11" x14ac:dyDescent="0.25">
      <c r="B556" s="137">
        <v>0.55100000000000005</v>
      </c>
      <c r="C556" s="138" cm="1">
        <f t="array" ref="C556">ad(B556)</f>
        <v>0.56482244273942983</v>
      </c>
      <c r="D556" s="7"/>
      <c r="E556" s="27"/>
      <c r="F556" s="27"/>
      <c r="G556" s="7"/>
      <c r="H556" s="28"/>
      <c r="I556" s="28"/>
      <c r="J556" s="28"/>
      <c r="K556" s="28"/>
    </row>
    <row r="557" spans="2:11" x14ac:dyDescent="0.25">
      <c r="B557" s="137">
        <v>0.55200000000000005</v>
      </c>
      <c r="C557" s="138" cm="1">
        <f t="array" ref="C557">ad(B557)</f>
        <v>0.56608891016068763</v>
      </c>
      <c r="D557" s="7"/>
      <c r="E557" s="27"/>
      <c r="F557" s="27"/>
      <c r="G557" s="7"/>
      <c r="H557" s="28"/>
      <c r="I557" s="28"/>
      <c r="J557" s="28"/>
      <c r="K557" s="28"/>
    </row>
    <row r="558" spans="2:11" x14ac:dyDescent="0.25">
      <c r="B558" s="137">
        <v>0.55300000000000005</v>
      </c>
      <c r="C558" s="138" cm="1">
        <f t="array" ref="C558">ad(B558)</f>
        <v>0.56735511130390259</v>
      </c>
      <c r="D558" s="7"/>
      <c r="E558" s="27"/>
      <c r="F558" s="27"/>
      <c r="G558" s="7"/>
      <c r="H558" s="28"/>
      <c r="I558" s="28"/>
      <c r="J558" s="28"/>
      <c r="K558" s="28"/>
    </row>
    <row r="559" spans="2:11" x14ac:dyDescent="0.25">
      <c r="B559" s="137">
        <v>0.55400000000000005</v>
      </c>
      <c r="C559" s="138" cm="1">
        <f t="array" ref="C559">ad(B559)</f>
        <v>0.56862104099070798</v>
      </c>
      <c r="D559" s="7"/>
      <c r="E559" s="27"/>
      <c r="F559" s="27"/>
      <c r="G559" s="7"/>
      <c r="H559" s="28"/>
      <c r="I559" s="28"/>
      <c r="J559" s="28"/>
      <c r="K559" s="28"/>
    </row>
    <row r="560" spans="2:11" x14ac:dyDescent="0.25">
      <c r="B560" s="137">
        <v>0.55500000000000005</v>
      </c>
      <c r="C560" s="138" cm="1">
        <f t="array" ref="C560">ad(B560)</f>
        <v>0.5698866940394044</v>
      </c>
      <c r="D560" s="7"/>
      <c r="E560" s="27"/>
      <c r="F560" s="27"/>
      <c r="G560" s="7"/>
      <c r="H560" s="28"/>
      <c r="I560" s="28"/>
      <c r="J560" s="28"/>
      <c r="K560" s="28"/>
    </row>
    <row r="561" spans="2:11" x14ac:dyDescent="0.25">
      <c r="B561" s="137">
        <v>0.55600000000000005</v>
      </c>
      <c r="C561" s="138" cm="1">
        <f t="array" ref="C561">ad(B561)</f>
        <v>0.57115206526489437</v>
      </c>
      <c r="D561" s="7"/>
      <c r="E561" s="27"/>
      <c r="F561" s="27"/>
      <c r="G561" s="7"/>
      <c r="H561" s="28"/>
      <c r="I561" s="28"/>
      <c r="J561" s="28"/>
      <c r="K561" s="28"/>
    </row>
    <row r="562" spans="2:11" x14ac:dyDescent="0.25">
      <c r="B562" s="137">
        <v>0.55700000000000005</v>
      </c>
      <c r="C562" s="138" cm="1">
        <f t="array" ref="C562">ad(B562)</f>
        <v>0.57241714947861522</v>
      </c>
      <c r="D562" s="7"/>
      <c r="E562" s="27"/>
      <c r="F562" s="27"/>
      <c r="G562" s="7"/>
      <c r="H562" s="28"/>
      <c r="I562" s="28"/>
      <c r="J562" s="28"/>
      <c r="K562" s="28"/>
    </row>
    <row r="563" spans="2:11" x14ac:dyDescent="0.25">
      <c r="B563" s="137">
        <v>0.55800000000000005</v>
      </c>
      <c r="C563" s="138" cm="1">
        <f t="array" ref="C563">ad(B563)</f>
        <v>0.57368194148847163</v>
      </c>
      <c r="D563" s="7"/>
      <c r="E563" s="27"/>
      <c r="F563" s="27"/>
      <c r="G563" s="7"/>
      <c r="H563" s="28"/>
      <c r="I563" s="28"/>
      <c r="J563" s="28"/>
      <c r="K563" s="28"/>
    </row>
    <row r="564" spans="2:11" x14ac:dyDescent="0.25">
      <c r="B564" s="137">
        <v>0.55900000000000005</v>
      </c>
      <c r="C564" s="138" cm="1">
        <f t="array" ref="C564">ad(B564)</f>
        <v>0.57494643609876928</v>
      </c>
      <c r="D564" s="7"/>
      <c r="E564" s="27"/>
      <c r="F564" s="27"/>
      <c r="G564" s="7"/>
      <c r="H564" s="28"/>
      <c r="I564" s="28"/>
      <c r="J564" s="28"/>
      <c r="K564" s="28"/>
    </row>
    <row r="565" spans="2:11" x14ac:dyDescent="0.25">
      <c r="B565" s="137">
        <v>0.56000000000000005</v>
      </c>
      <c r="C565" s="138" cm="1">
        <f t="array" ref="C565">ad(B565)</f>
        <v>0.57621062811014667</v>
      </c>
      <c r="D565" s="7"/>
      <c r="E565" s="27"/>
      <c r="F565" s="27"/>
      <c r="G565" s="7"/>
      <c r="H565" s="28"/>
      <c r="I565" s="28"/>
      <c r="J565" s="28"/>
      <c r="K565" s="28"/>
    </row>
    <row r="566" spans="2:11" x14ac:dyDescent="0.25">
      <c r="B566" s="137">
        <v>0.56100000000000005</v>
      </c>
      <c r="C566" s="138" cm="1">
        <f t="array" ref="C566">ad(B566)</f>
        <v>0.57747451231950808</v>
      </c>
      <c r="D566" s="7"/>
      <c r="E566" s="27"/>
      <c r="F566" s="27"/>
      <c r="G566" s="7"/>
      <c r="H566" s="28"/>
      <c r="I566" s="28"/>
      <c r="J566" s="28"/>
      <c r="K566" s="28"/>
    </row>
    <row r="567" spans="2:11" x14ac:dyDescent="0.25">
      <c r="B567" s="137">
        <v>0.56200000000000006</v>
      </c>
      <c r="C567" s="138" cm="1">
        <f t="array" ref="C567">ad(B567)</f>
        <v>0.57873808351995526</v>
      </c>
      <c r="D567" s="7"/>
      <c r="E567" s="27"/>
      <c r="F567" s="27"/>
      <c r="G567" s="7"/>
      <c r="H567" s="28"/>
      <c r="I567" s="28"/>
      <c r="J567" s="28"/>
      <c r="K567" s="28"/>
    </row>
    <row r="568" spans="2:11" x14ac:dyDescent="0.25">
      <c r="B568" s="137">
        <v>0.56299999999999994</v>
      </c>
      <c r="C568" s="138" cm="1">
        <f t="array" ref="C568">ad(B568)</f>
        <v>0.58000133650071928</v>
      </c>
      <c r="D568" s="7"/>
      <c r="E568" s="27"/>
      <c r="F568" s="27"/>
      <c r="G568" s="7"/>
      <c r="H568" s="28"/>
      <c r="I568" s="28"/>
      <c r="J568" s="28"/>
      <c r="K568" s="28"/>
    </row>
    <row r="569" spans="2:11" x14ac:dyDescent="0.25">
      <c r="B569" s="137">
        <v>0.56399999999999995</v>
      </c>
      <c r="C569" s="138" cm="1">
        <f t="array" ref="C569">ad(B569)</f>
        <v>0.58126426604709303</v>
      </c>
      <c r="D569" s="7"/>
      <c r="E569" s="27"/>
      <c r="F569" s="27"/>
      <c r="G569" s="7"/>
      <c r="H569" s="28"/>
      <c r="I569" s="28"/>
      <c r="J569" s="28"/>
      <c r="K569" s="28"/>
    </row>
    <row r="570" spans="2:11" x14ac:dyDescent="0.25">
      <c r="B570" s="137">
        <v>0.56499999999999995</v>
      </c>
      <c r="C570" s="138" cm="1">
        <f t="array" ref="C570">ad(B570)</f>
        <v>0.58252686694036104</v>
      </c>
      <c r="D570" s="7"/>
      <c r="E570" s="27"/>
      <c r="F570" s="27"/>
      <c r="G570" s="7"/>
      <c r="H570" s="28"/>
      <c r="I570" s="28"/>
      <c r="J570" s="28"/>
      <c r="K570" s="28"/>
    </row>
    <row r="571" spans="2:11" x14ac:dyDescent="0.25">
      <c r="B571" s="137">
        <v>0.56599999999999995</v>
      </c>
      <c r="C571" s="138" cm="1">
        <f t="array" ref="C571">ad(B571)</f>
        <v>0.58378913395773191</v>
      </c>
      <c r="D571" s="7"/>
      <c r="E571" s="27"/>
      <c r="F571" s="27"/>
      <c r="G571" s="7"/>
      <c r="H571" s="28"/>
      <c r="I571" s="28"/>
      <c r="J571" s="28"/>
      <c r="K571" s="28"/>
    </row>
    <row r="572" spans="2:11" x14ac:dyDescent="0.25">
      <c r="B572" s="137">
        <v>0.56699999999999995</v>
      </c>
      <c r="C572" s="138" cm="1">
        <f t="array" ref="C572">ad(B572)</f>
        <v>0.58505106187226896</v>
      </c>
      <c r="D572" s="7"/>
      <c r="E572" s="27"/>
      <c r="F572" s="27"/>
      <c r="G572" s="7"/>
      <c r="H572" s="28"/>
      <c r="I572" s="28"/>
      <c r="J572" s="28"/>
      <c r="K572" s="28"/>
    </row>
    <row r="573" spans="2:11" x14ac:dyDescent="0.25">
      <c r="B573" s="137">
        <v>0.56799999999999995</v>
      </c>
      <c r="C573" s="138" cm="1">
        <f t="array" ref="C573">ad(B573)</f>
        <v>0.58631264545282014</v>
      </c>
      <c r="D573" s="7"/>
      <c r="E573" s="27"/>
      <c r="F573" s="27"/>
      <c r="G573" s="7"/>
      <c r="H573" s="28"/>
      <c r="I573" s="28"/>
      <c r="J573" s="28"/>
      <c r="K573" s="28"/>
    </row>
    <row r="574" spans="2:11" x14ac:dyDescent="0.25">
      <c r="B574" s="137">
        <v>0.56899999999999995</v>
      </c>
      <c r="C574" s="138" cm="1">
        <f t="array" ref="C574">ad(B574)</f>
        <v>0.58757387946394923</v>
      </c>
      <c r="D574" s="7"/>
      <c r="E574" s="27"/>
      <c r="F574" s="27"/>
      <c r="G574" s="7"/>
      <c r="H574" s="28"/>
      <c r="I574" s="28"/>
      <c r="J574" s="28"/>
      <c r="K574" s="28"/>
    </row>
    <row r="575" spans="2:11" x14ac:dyDescent="0.25">
      <c r="B575" s="137">
        <v>0.56999999999999995</v>
      </c>
      <c r="C575" s="138" cm="1">
        <f t="array" ref="C575">ad(B575)</f>
        <v>0.58883475866586543</v>
      </c>
      <c r="D575" s="7"/>
      <c r="E575" s="27"/>
      <c r="F575" s="27"/>
      <c r="G575" s="7"/>
      <c r="H575" s="28"/>
      <c r="I575" s="28"/>
      <c r="J575" s="28"/>
      <c r="K575" s="28"/>
    </row>
    <row r="576" spans="2:11" x14ac:dyDescent="0.25">
      <c r="B576" s="137">
        <v>0.57099999999999995</v>
      </c>
      <c r="C576" s="138" cm="1">
        <f t="array" ref="C576">ad(B576)</f>
        <v>0.59009527781435334</v>
      </c>
      <c r="D576" s="7"/>
      <c r="E576" s="27"/>
      <c r="F576" s="27"/>
      <c r="G576" s="7"/>
      <c r="H576" s="28"/>
      <c r="I576" s="28"/>
      <c r="J576" s="28"/>
      <c r="K576" s="28"/>
    </row>
    <row r="577" spans="2:11" x14ac:dyDescent="0.25">
      <c r="B577" s="137">
        <v>0.57199999999999995</v>
      </c>
      <c r="C577" s="138" cm="1">
        <f t="array" ref="C577">ad(B577)</f>
        <v>0.59135543166070226</v>
      </c>
      <c r="D577" s="7"/>
      <c r="E577" s="27"/>
      <c r="F577" s="27"/>
      <c r="G577" s="7"/>
      <c r="H577" s="28"/>
      <c r="I577" s="28"/>
      <c r="J577" s="28"/>
      <c r="K577" s="28"/>
    </row>
    <row r="578" spans="2:11" x14ac:dyDescent="0.25">
      <c r="B578" s="137">
        <v>0.57299999999999995</v>
      </c>
      <c r="C578" s="138" cm="1">
        <f t="array" ref="C578">ad(B578)</f>
        <v>0.5926152149516356</v>
      </c>
      <c r="D578" s="7"/>
      <c r="E578" s="27"/>
      <c r="F578" s="27"/>
      <c r="G578" s="7"/>
      <c r="H578" s="28"/>
      <c r="I578" s="28"/>
      <c r="J578" s="28"/>
      <c r="K578" s="28"/>
    </row>
    <row r="579" spans="2:11" x14ac:dyDescent="0.25">
      <c r="B579" s="137">
        <v>0.57399999999999995</v>
      </c>
      <c r="C579" s="138" cm="1">
        <f t="array" ref="C579">ad(B579)</f>
        <v>0.59387462242923994</v>
      </c>
      <c r="D579" s="7"/>
      <c r="E579" s="27"/>
      <c r="F579" s="27"/>
      <c r="G579" s="7"/>
      <c r="H579" s="28"/>
      <c r="I579" s="28"/>
      <c r="J579" s="28"/>
      <c r="K579" s="28"/>
    </row>
    <row r="580" spans="2:11" x14ac:dyDescent="0.25">
      <c r="B580" s="137">
        <v>0.57499999999999996</v>
      </c>
      <c r="C580" s="138" cm="1">
        <f t="array" ref="C580">ad(B580)</f>
        <v>0.59513364883089304</v>
      </c>
      <c r="D580" s="7"/>
      <c r="E580" s="27"/>
      <c r="F580" s="27"/>
      <c r="G580" s="7"/>
      <c r="H580" s="28"/>
      <c r="I580" s="28"/>
      <c r="J580" s="28"/>
      <c r="K580" s="28"/>
    </row>
    <row r="581" spans="2:11" x14ac:dyDescent="0.25">
      <c r="B581" s="137">
        <v>0.57599999999999996</v>
      </c>
      <c r="C581" s="138" cm="1">
        <f t="array" ref="C581">ad(B581)</f>
        <v>0.59639228888919305</v>
      </c>
      <c r="D581" s="7"/>
      <c r="E581" s="27"/>
      <c r="F581" s="27"/>
      <c r="G581" s="7"/>
      <c r="H581" s="28"/>
      <c r="I581" s="28"/>
      <c r="J581" s="28"/>
      <c r="K581" s="28"/>
    </row>
    <row r="582" spans="2:11" x14ac:dyDescent="0.25">
      <c r="B582" s="137">
        <v>0.57699999999999996</v>
      </c>
      <c r="C582" s="138" cm="1">
        <f t="array" ref="C582">ad(B582)</f>
        <v>0.59765053733188567</v>
      </c>
      <c r="D582" s="7"/>
      <c r="E582" s="27"/>
      <c r="F582" s="27"/>
      <c r="G582" s="7"/>
      <c r="H582" s="28"/>
      <c r="I582" s="28"/>
      <c r="J582" s="28"/>
      <c r="K582" s="28"/>
    </row>
    <row r="583" spans="2:11" x14ac:dyDescent="0.25">
      <c r="B583" s="137">
        <v>0.57799999999999996</v>
      </c>
      <c r="C583" s="138" cm="1">
        <f t="array" ref="C583">ad(B583)</f>
        <v>0.59890838888179276</v>
      </c>
      <c r="D583" s="7"/>
      <c r="E583" s="27"/>
      <c r="F583" s="27"/>
      <c r="G583" s="7"/>
      <c r="H583" s="28"/>
      <c r="I583" s="28"/>
      <c r="J583" s="28"/>
      <c r="K583" s="28"/>
    </row>
    <row r="584" spans="2:11" x14ac:dyDescent="0.25">
      <c r="B584" s="137">
        <v>0.57899999999999996</v>
      </c>
      <c r="C584" s="138" cm="1">
        <f t="array" ref="C584">ad(B584)</f>
        <v>0.60016583825673853</v>
      </c>
      <c r="D584" s="7"/>
      <c r="E584" s="27"/>
      <c r="F584" s="27"/>
      <c r="G584" s="7"/>
      <c r="H584" s="28"/>
      <c r="I584" s="28"/>
      <c r="J584" s="28"/>
      <c r="K584" s="28"/>
    </row>
    <row r="585" spans="2:11" x14ac:dyDescent="0.25">
      <c r="B585" s="137">
        <v>0.57999999999999996</v>
      </c>
      <c r="C585" s="138" cm="1">
        <f t="array" ref="C585">ad(B585)</f>
        <v>0.60142288016947787</v>
      </c>
      <c r="D585" s="7"/>
      <c r="E585" s="27"/>
      <c r="F585" s="27"/>
      <c r="G585" s="7"/>
      <c r="H585" s="28"/>
      <c r="I585" s="28"/>
      <c r="J585" s="28"/>
      <c r="K585" s="28"/>
    </row>
    <row r="586" spans="2:11" x14ac:dyDescent="0.25">
      <c r="B586" s="137">
        <v>0.58099999999999996</v>
      </c>
      <c r="C586" s="138" cm="1">
        <f t="array" ref="C586">ad(B586)</f>
        <v>0.60267950932762226</v>
      </c>
      <c r="D586" s="7"/>
      <c r="E586" s="27"/>
      <c r="F586" s="27"/>
      <c r="G586" s="7"/>
      <c r="H586" s="28"/>
      <c r="I586" s="28"/>
      <c r="J586" s="28"/>
      <c r="K586" s="28"/>
    </row>
    <row r="587" spans="2:11" x14ac:dyDescent="0.25">
      <c r="B587" s="137">
        <v>0.58199999999999996</v>
      </c>
      <c r="C587" s="138" cm="1">
        <f t="array" ref="C587">ad(B587)</f>
        <v>0.60393572043356647</v>
      </c>
      <c r="D587" s="7"/>
      <c r="E587" s="27"/>
      <c r="F587" s="27"/>
      <c r="G587" s="7"/>
      <c r="H587" s="28"/>
      <c r="I587" s="28"/>
      <c r="J587" s="28"/>
      <c r="K587" s="28"/>
    </row>
    <row r="588" spans="2:11" x14ac:dyDescent="0.25">
      <c r="B588" s="137">
        <v>0.58299999999999996</v>
      </c>
      <c r="C588" s="138" cm="1">
        <f t="array" ref="C588">ad(B588)</f>
        <v>0.60519150818441436</v>
      </c>
      <c r="D588" s="7"/>
      <c r="E588" s="27"/>
      <c r="F588" s="27"/>
      <c r="G588" s="7"/>
      <c r="H588" s="28"/>
      <c r="I588" s="28"/>
      <c r="J588" s="28"/>
      <c r="K588" s="28"/>
    </row>
    <row r="589" spans="2:11" x14ac:dyDescent="0.25">
      <c r="B589" s="137">
        <v>0.58399999999999996</v>
      </c>
      <c r="C589" s="138" cm="1">
        <f t="array" ref="C589">ad(B589)</f>
        <v>0.60644686727190478</v>
      </c>
      <c r="D589" s="7"/>
      <c r="E589" s="27"/>
      <c r="F589" s="27"/>
      <c r="G589" s="7"/>
      <c r="H589" s="28"/>
      <c r="I589" s="28"/>
      <c r="J589" s="28"/>
      <c r="K589" s="28"/>
    </row>
    <row r="590" spans="2:11" x14ac:dyDescent="0.25">
      <c r="B590" s="137">
        <v>0.58499999999999996</v>
      </c>
      <c r="C590" s="138" cm="1">
        <f t="array" ref="C590">ad(B590)</f>
        <v>0.60770179238233735</v>
      </c>
      <c r="D590" s="7"/>
      <c r="E590" s="27"/>
      <c r="F590" s="27"/>
      <c r="G590" s="7"/>
      <c r="H590" s="28"/>
      <c r="I590" s="28"/>
      <c r="J590" s="28"/>
      <c r="K590" s="28"/>
    </row>
    <row r="591" spans="2:11" x14ac:dyDescent="0.25">
      <c r="B591" s="137">
        <v>0.58599999999999997</v>
      </c>
      <c r="C591" s="138" cm="1">
        <f t="array" ref="C591">ad(B591)</f>
        <v>0.60895627819649645</v>
      </c>
      <c r="D591" s="7"/>
      <c r="E591" s="27"/>
      <c r="F591" s="27"/>
      <c r="G591" s="7"/>
      <c r="H591" s="28"/>
      <c r="I591" s="28"/>
      <c r="J591" s="28"/>
      <c r="K591" s="28"/>
    </row>
    <row r="592" spans="2:11" x14ac:dyDescent="0.25">
      <c r="B592" s="137">
        <v>0.58699999999999997</v>
      </c>
      <c r="C592" s="138" cm="1">
        <f t="array" ref="C592">ad(B592)</f>
        <v>0.61021031938957659</v>
      </c>
      <c r="D592" s="7"/>
      <c r="E592" s="27"/>
      <c r="F592" s="27"/>
      <c r="G592" s="7"/>
      <c r="H592" s="28"/>
      <c r="I592" s="28"/>
      <c r="J592" s="28"/>
      <c r="K592" s="28"/>
    </row>
    <row r="593" spans="2:11" x14ac:dyDescent="0.25">
      <c r="B593" s="137">
        <v>0.58799999999999997</v>
      </c>
      <c r="C593" s="138" cm="1">
        <f t="array" ref="C593">ad(B593)</f>
        <v>0.61146391063110672</v>
      </c>
      <c r="D593" s="7"/>
      <c r="E593" s="27"/>
      <c r="F593" s="27"/>
      <c r="G593" s="7"/>
      <c r="H593" s="28"/>
      <c r="I593" s="28"/>
      <c r="J593" s="28"/>
      <c r="K593" s="28"/>
    </row>
    <row r="594" spans="2:11" x14ac:dyDescent="0.25">
      <c r="B594" s="137">
        <v>0.58899999999999997</v>
      </c>
      <c r="C594" s="138" cm="1">
        <f t="array" ref="C594">ad(B594)</f>
        <v>0.61271704658487369</v>
      </c>
      <c r="D594" s="7"/>
      <c r="E594" s="27"/>
      <c r="F594" s="27"/>
      <c r="G594" s="7"/>
      <c r="H594" s="28"/>
      <c r="I594" s="28"/>
      <c r="J594" s="28"/>
      <c r="K594" s="28"/>
    </row>
    <row r="595" spans="2:11" x14ac:dyDescent="0.25">
      <c r="B595" s="137">
        <v>0.59</v>
      </c>
      <c r="C595" s="138" cm="1">
        <f t="array" ref="C595">ad(B595)</f>
        <v>0.61396972190884591</v>
      </c>
      <c r="D595" s="7"/>
      <c r="E595" s="27"/>
      <c r="F595" s="27"/>
      <c r="G595" s="7"/>
      <c r="H595" s="28"/>
      <c r="I595" s="28"/>
      <c r="J595" s="28"/>
      <c r="K595" s="28"/>
    </row>
    <row r="596" spans="2:11" x14ac:dyDescent="0.25">
      <c r="B596" s="137">
        <v>0.59099999999999997</v>
      </c>
      <c r="C596" s="138" cm="1">
        <f t="array" ref="C596">ad(B596)</f>
        <v>0.61522193125509661</v>
      </c>
      <c r="D596" s="7"/>
      <c r="E596" s="27"/>
      <c r="F596" s="27"/>
      <c r="G596" s="7"/>
      <c r="H596" s="28"/>
      <c r="I596" s="28"/>
      <c r="J596" s="28"/>
      <c r="K596" s="28"/>
    </row>
    <row r="597" spans="2:11" x14ac:dyDescent="0.25">
      <c r="B597" s="137">
        <v>0.59199999999999997</v>
      </c>
      <c r="C597" s="138" cm="1">
        <f t="array" ref="C597">ad(B597)</f>
        <v>0.61647366926972669</v>
      </c>
      <c r="D597" s="7"/>
      <c r="E597" s="27"/>
      <c r="F597" s="27"/>
      <c r="G597" s="7"/>
      <c r="H597" s="28"/>
      <c r="I597" s="28"/>
      <c r="J597" s="28"/>
      <c r="K597" s="28"/>
    </row>
    <row r="598" spans="2:11" x14ac:dyDescent="0.25">
      <c r="B598" s="137">
        <v>0.59299999999999997</v>
      </c>
      <c r="C598" s="138" cm="1">
        <f t="array" ref="C598">ad(B598)</f>
        <v>0.61772493059278644</v>
      </c>
      <c r="D598" s="7"/>
      <c r="E598" s="27"/>
      <c r="F598" s="27"/>
      <c r="G598" s="7"/>
      <c r="H598" s="28"/>
      <c r="I598" s="28"/>
      <c r="J598" s="28"/>
      <c r="K598" s="28"/>
    </row>
    <row r="599" spans="2:11" x14ac:dyDescent="0.25">
      <c r="B599" s="137">
        <v>0.59399999999999997</v>
      </c>
      <c r="C599" s="138" cm="1">
        <f t="array" ref="C599">ad(B599)</f>
        <v>0.61897570985819816</v>
      </c>
      <c r="D599" s="7"/>
      <c r="E599" s="27"/>
      <c r="F599" s="27"/>
      <c r="G599" s="7"/>
      <c r="H599" s="28"/>
      <c r="I599" s="28"/>
      <c r="J599" s="28"/>
      <c r="K599" s="28"/>
    </row>
    <row r="600" spans="2:11" x14ac:dyDescent="0.25">
      <c r="B600" s="137">
        <v>0.59499999999999997</v>
      </c>
      <c r="C600" s="138" cm="1">
        <f t="array" ref="C600">ad(B600)</f>
        <v>0.62022600169367714</v>
      </c>
      <c r="D600" s="7"/>
      <c r="E600" s="27"/>
      <c r="F600" s="27"/>
      <c r="G600" s="7"/>
      <c r="H600" s="28"/>
      <c r="I600" s="28"/>
      <c r="J600" s="28"/>
      <c r="K600" s="28"/>
    </row>
    <row r="601" spans="2:11" x14ac:dyDescent="0.25">
      <c r="B601" s="137">
        <v>0.59599999999999997</v>
      </c>
      <c r="C601" s="138" cm="1">
        <f t="array" ref="C601">ad(B601)</f>
        <v>0.62147580072065334</v>
      </c>
      <c r="D601" s="7"/>
      <c r="E601" s="27"/>
      <c r="F601" s="27"/>
      <c r="G601" s="7"/>
      <c r="H601" s="28"/>
      <c r="I601" s="28"/>
      <c r="J601" s="28"/>
      <c r="K601" s="28"/>
    </row>
    <row r="602" spans="2:11" x14ac:dyDescent="0.25">
      <c r="B602" s="137">
        <v>0.59699999999999998</v>
      </c>
      <c r="C602" s="138" cm="1">
        <f t="array" ref="C602">ad(B602)</f>
        <v>0.62272510155419114</v>
      </c>
      <c r="D602" s="7"/>
      <c r="E602" s="27"/>
      <c r="F602" s="27"/>
      <c r="G602" s="7"/>
      <c r="H602" s="28"/>
      <c r="I602" s="28"/>
      <c r="J602" s="28"/>
      <c r="K602" s="28"/>
    </row>
    <row r="603" spans="2:11" x14ac:dyDescent="0.25">
      <c r="B603" s="137">
        <v>0.59799999999999998</v>
      </c>
      <c r="C603" s="138" cm="1">
        <f t="array" ref="C603">ad(B603)</f>
        <v>0.62397389880291065</v>
      </c>
      <c r="D603" s="7"/>
      <c r="E603" s="27"/>
      <c r="F603" s="27"/>
      <c r="G603" s="7"/>
      <c r="H603" s="28"/>
      <c r="I603" s="28"/>
      <c r="J603" s="28"/>
      <c r="K603" s="28"/>
    </row>
    <row r="604" spans="2:11" x14ac:dyDescent="0.25">
      <c r="B604" s="137">
        <v>0.59899999999999998</v>
      </c>
      <c r="C604" s="138" cm="1">
        <f t="array" ref="C604">ad(B604)</f>
        <v>0.62522218706890687</v>
      </c>
      <c r="D604" s="7"/>
      <c r="E604" s="27"/>
      <c r="F604" s="27"/>
      <c r="G604" s="7"/>
      <c r="H604" s="28"/>
      <c r="I604" s="28"/>
      <c r="J604" s="28"/>
      <c r="K604" s="28"/>
    </row>
    <row r="605" spans="2:11" x14ac:dyDescent="0.25">
      <c r="B605" s="137">
        <v>0.6</v>
      </c>
      <c r="C605" s="138" cm="1">
        <f t="array" ref="C605">ad(B605)</f>
        <v>0.62646996094766894</v>
      </c>
      <c r="D605" s="7"/>
      <c r="E605" s="27"/>
      <c r="F605" s="27"/>
      <c r="G605" s="7"/>
      <c r="H605" s="28"/>
      <c r="I605" s="28"/>
      <c r="J605" s="28"/>
      <c r="K605" s="28"/>
    </row>
    <row r="606" spans="2:11" x14ac:dyDescent="0.25">
      <c r="B606" s="137">
        <v>0.60099999999999998</v>
      </c>
      <c r="C606" s="138" cm="1">
        <f t="array" ref="C606">ad(B606)</f>
        <v>0.6277172150279996</v>
      </c>
      <c r="D606" s="7"/>
      <c r="E606" s="27"/>
      <c r="F606" s="27"/>
      <c r="G606" s="7"/>
      <c r="H606" s="28"/>
      <c r="I606" s="28"/>
      <c r="J606" s="28"/>
      <c r="K606" s="28"/>
    </row>
    <row r="607" spans="2:11" x14ac:dyDescent="0.25">
      <c r="B607" s="137">
        <v>0.60199999999999998</v>
      </c>
      <c r="C607" s="138" cm="1">
        <f t="array" ref="C607">ad(B607)</f>
        <v>0.628963943891933</v>
      </c>
      <c r="D607" s="7"/>
      <c r="E607" s="27"/>
      <c r="F607" s="27"/>
      <c r="G607" s="7"/>
      <c r="H607" s="28"/>
      <c r="I607" s="28"/>
      <c r="J607" s="28"/>
      <c r="K607" s="28"/>
    </row>
    <row r="608" spans="2:11" x14ac:dyDescent="0.25">
      <c r="B608" s="137">
        <v>0.60299999999999998</v>
      </c>
      <c r="C608" s="138" cm="1">
        <f t="array" ref="C608">ad(B608)</f>
        <v>0.63021014211465309</v>
      </c>
      <c r="D608" s="7"/>
      <c r="E608" s="27"/>
      <c r="F608" s="27"/>
      <c r="G608" s="7"/>
      <c r="H608" s="28"/>
      <c r="I608" s="28"/>
      <c r="J608" s="28"/>
      <c r="K608" s="28"/>
    </row>
    <row r="609" spans="2:11" x14ac:dyDescent="0.25">
      <c r="B609" s="137">
        <v>0.60399999999999998</v>
      </c>
      <c r="C609" s="138" cm="1">
        <f t="array" ref="C609">ad(B609)</f>
        <v>0.63145580426441128</v>
      </c>
      <c r="D609" s="7"/>
      <c r="E609" s="27"/>
      <c r="F609" s="27"/>
      <c r="G609" s="7"/>
      <c r="H609" s="28"/>
      <c r="I609" s="28"/>
      <c r="J609" s="28"/>
      <c r="K609" s="28"/>
    </row>
    <row r="610" spans="2:11" x14ac:dyDescent="0.25">
      <c r="B610" s="137">
        <v>0.60499999999999998</v>
      </c>
      <c r="C610" s="138" cm="1">
        <f t="array" ref="C610">ad(B610)</f>
        <v>0.6327009249024429</v>
      </c>
      <c r="D610" s="7"/>
      <c r="E610" s="27"/>
      <c r="F610" s="27"/>
      <c r="G610" s="7"/>
      <c r="H610" s="28"/>
      <c r="I610" s="28"/>
      <c r="J610" s="28"/>
      <c r="K610" s="28"/>
    </row>
    <row r="611" spans="2:11" x14ac:dyDescent="0.25">
      <c r="B611" s="137">
        <v>0.60599999999999998</v>
      </c>
      <c r="C611" s="138" cm="1">
        <f t="array" ref="C611">ad(B611)</f>
        <v>0.63394549858288429</v>
      </c>
      <c r="D611" s="7"/>
      <c r="E611" s="27"/>
      <c r="F611" s="27"/>
      <c r="G611" s="7"/>
      <c r="H611" s="28"/>
      <c r="I611" s="28"/>
      <c r="J611" s="28"/>
      <c r="K611" s="28"/>
    </row>
    <row r="612" spans="2:11" x14ac:dyDescent="0.25">
      <c r="B612" s="137">
        <v>0.60699999999999998</v>
      </c>
      <c r="C612" s="138" cm="1">
        <f t="array" ref="C612">ad(B612)</f>
        <v>0.63518951985268857</v>
      </c>
      <c r="D612" s="7"/>
      <c r="E612" s="27"/>
      <c r="F612" s="27"/>
      <c r="G612" s="7"/>
      <c r="H612" s="28"/>
      <c r="I612" s="28"/>
      <c r="J612" s="28"/>
      <c r="K612" s="28"/>
    </row>
    <row r="613" spans="2:11" x14ac:dyDescent="0.25">
      <c r="B613" s="137">
        <v>0.60799999999999998</v>
      </c>
      <c r="C613" s="138" cm="1">
        <f t="array" ref="C613">ad(B613)</f>
        <v>0.63643298325154118</v>
      </c>
      <c r="D613" s="7"/>
      <c r="E613" s="27"/>
      <c r="F613" s="27"/>
      <c r="G613" s="7"/>
      <c r="H613" s="28"/>
      <c r="I613" s="28"/>
      <c r="J613" s="28"/>
      <c r="K613" s="28"/>
    </row>
    <row r="614" spans="2:11" x14ac:dyDescent="0.25">
      <c r="B614" s="137">
        <v>0.60899999999999999</v>
      </c>
      <c r="C614" s="138" cm="1">
        <f t="array" ref="C614">ad(B614)</f>
        <v>0.63767588331177527</v>
      </c>
      <c r="D614" s="7"/>
      <c r="E614" s="27"/>
      <c r="F614" s="27"/>
      <c r="G614" s="7"/>
      <c r="H614" s="28"/>
      <c r="I614" s="28"/>
      <c r="J614" s="28"/>
      <c r="K614" s="28"/>
    </row>
    <row r="615" spans="2:11" x14ac:dyDescent="0.25">
      <c r="B615" s="137">
        <v>0.61</v>
      </c>
      <c r="C615" s="138" cm="1">
        <f t="array" ref="C615">ad(B615)</f>
        <v>0.63891821455828568</v>
      </c>
      <c r="D615" s="7"/>
      <c r="E615" s="27"/>
      <c r="F615" s="27"/>
      <c r="G615" s="7"/>
      <c r="H615" s="28"/>
      <c r="I615" s="28"/>
      <c r="J615" s="28"/>
      <c r="K615" s="28"/>
    </row>
    <row r="616" spans="2:11" x14ac:dyDescent="0.25">
      <c r="B616" s="137">
        <v>0.61099999999999999</v>
      </c>
      <c r="C616" s="138" cm="1">
        <f t="array" ref="C616">ad(B616)</f>
        <v>0.64015997150844361</v>
      </c>
      <c r="D616" s="7"/>
      <c r="E616" s="27"/>
      <c r="F616" s="27"/>
      <c r="G616" s="7"/>
      <c r="H616" s="28"/>
      <c r="I616" s="28"/>
      <c r="J616" s="28"/>
      <c r="K616" s="28"/>
    </row>
    <row r="617" spans="2:11" x14ac:dyDescent="0.25">
      <c r="B617" s="137">
        <v>0.61199999999999999</v>
      </c>
      <c r="C617" s="138" cm="1">
        <f t="array" ref="C617">ad(B617)</f>
        <v>0.64140114867200937</v>
      </c>
      <c r="D617" s="7"/>
      <c r="E617" s="27"/>
      <c r="F617" s="27"/>
      <c r="G617" s="7"/>
      <c r="H617" s="28"/>
      <c r="I617" s="28"/>
      <c r="J617" s="28"/>
      <c r="K617" s="28"/>
    </row>
    <row r="618" spans="2:11" x14ac:dyDescent="0.25">
      <c r="B618" s="137">
        <v>0.61299999999999999</v>
      </c>
      <c r="C618" s="138" cm="1">
        <f t="array" ref="C618">ad(B618)</f>
        <v>0.64264174055104617</v>
      </c>
      <c r="D618" s="7"/>
      <c r="E618" s="27"/>
      <c r="F618" s="27"/>
      <c r="G618" s="7"/>
      <c r="H618" s="28"/>
      <c r="I618" s="28"/>
      <c r="J618" s="28"/>
      <c r="K618" s="28"/>
    </row>
    <row r="619" spans="2:11" x14ac:dyDescent="0.25">
      <c r="B619" s="137">
        <v>0.61399999999999999</v>
      </c>
      <c r="C619" s="138" cm="1">
        <f t="array" ref="C619">ad(B619)</f>
        <v>0.6438817416398317</v>
      </c>
      <c r="D619" s="7"/>
      <c r="E619" s="27"/>
      <c r="F619" s="27"/>
      <c r="G619" s="7"/>
      <c r="H619" s="28"/>
      <c r="I619" s="28"/>
      <c r="J619" s="28"/>
      <c r="K619" s="28"/>
    </row>
    <row r="620" spans="2:11" x14ac:dyDescent="0.25">
      <c r="B620" s="137">
        <v>0.61499999999999999</v>
      </c>
      <c r="C620" s="138" cm="1">
        <f t="array" ref="C620">ad(B620)</f>
        <v>0.64512114642477036</v>
      </c>
      <c r="D620" s="7"/>
      <c r="E620" s="27"/>
      <c r="F620" s="27"/>
      <c r="G620" s="7"/>
      <c r="H620" s="28"/>
      <c r="I620" s="28"/>
      <c r="J620" s="28"/>
      <c r="K620" s="28"/>
    </row>
    <row r="621" spans="2:11" x14ac:dyDescent="0.25">
      <c r="B621" s="137">
        <v>0.61599999999999999</v>
      </c>
      <c r="C621" s="138" cm="1">
        <f t="array" ref="C621">ad(B621)</f>
        <v>0.64635994938430497</v>
      </c>
      <c r="D621" s="7"/>
      <c r="E621" s="27"/>
      <c r="F621" s="27"/>
      <c r="G621" s="7"/>
      <c r="H621" s="28"/>
      <c r="I621" s="28"/>
      <c r="J621" s="28"/>
      <c r="K621" s="28"/>
    </row>
    <row r="622" spans="2:11" x14ac:dyDescent="0.25">
      <c r="B622" s="137">
        <v>0.61699999999999999</v>
      </c>
      <c r="C622" s="138" cm="1">
        <f t="array" ref="C622">ad(B622)</f>
        <v>0.64759814498882662</v>
      </c>
      <c r="D622" s="7"/>
      <c r="E622" s="27"/>
      <c r="F622" s="27"/>
      <c r="G622" s="7"/>
      <c r="H622" s="28"/>
      <c r="I622" s="28"/>
      <c r="J622" s="28"/>
      <c r="K622" s="28"/>
    </row>
    <row r="623" spans="2:11" x14ac:dyDescent="0.25">
      <c r="B623" s="137">
        <v>0.61799999999999999</v>
      </c>
      <c r="C623" s="138" cm="1">
        <f t="array" ref="C623">ad(B623)</f>
        <v>0.64883572770058562</v>
      </c>
      <c r="D623" s="7"/>
      <c r="E623" s="27"/>
      <c r="F623" s="27"/>
      <c r="G623" s="7"/>
      <c r="H623" s="28"/>
      <c r="I623" s="28"/>
      <c r="J623" s="28"/>
      <c r="K623" s="28"/>
    </row>
    <row r="624" spans="2:11" x14ac:dyDescent="0.25">
      <c r="B624" s="137">
        <v>0.61899999999999999</v>
      </c>
      <c r="C624" s="138" cm="1">
        <f t="array" ref="C624">ad(B624)</f>
        <v>0.65007269197360018</v>
      </c>
      <c r="D624" s="7"/>
      <c r="E624" s="27"/>
      <c r="F624" s="27"/>
      <c r="G624" s="7"/>
      <c r="H624" s="28"/>
      <c r="I624" s="28"/>
      <c r="J624" s="28"/>
      <c r="K624" s="28"/>
    </row>
    <row r="625" spans="2:11" x14ac:dyDescent="0.25">
      <c r="B625" s="137">
        <v>0.62</v>
      </c>
      <c r="C625" s="138" cm="1">
        <f t="array" ref="C625">ad(B625)</f>
        <v>0.65130903225356662</v>
      </c>
      <c r="D625" s="7"/>
      <c r="E625" s="27"/>
      <c r="F625" s="27"/>
      <c r="G625" s="7"/>
      <c r="H625" s="28"/>
      <c r="I625" s="28"/>
      <c r="J625" s="28"/>
      <c r="K625" s="28"/>
    </row>
    <row r="626" spans="2:11" x14ac:dyDescent="0.25">
      <c r="B626" s="137">
        <v>0.621</v>
      </c>
      <c r="C626" s="138" cm="1">
        <f t="array" ref="C626">ad(B626)</f>
        <v>0.65254474297776643</v>
      </c>
      <c r="D626" s="7"/>
      <c r="E626" s="27"/>
      <c r="F626" s="27"/>
      <c r="G626" s="7"/>
      <c r="H626" s="28"/>
      <c r="I626" s="28"/>
      <c r="J626" s="28"/>
      <c r="K626" s="28"/>
    </row>
    <row r="627" spans="2:11" x14ac:dyDescent="0.25">
      <c r="B627" s="137">
        <v>0.622</v>
      </c>
      <c r="C627" s="138" cm="1">
        <f t="array" ref="C627">ad(B627)</f>
        <v>0.65377981857497502</v>
      </c>
      <c r="D627" s="7"/>
      <c r="E627" s="27"/>
      <c r="F627" s="27"/>
      <c r="G627" s="7"/>
      <c r="H627" s="28"/>
      <c r="I627" s="28"/>
      <c r="J627" s="28"/>
      <c r="K627" s="28"/>
    </row>
    <row r="628" spans="2:11" x14ac:dyDescent="0.25">
      <c r="B628" s="137">
        <v>0.623</v>
      </c>
      <c r="C628" s="138" cm="1">
        <f t="array" ref="C628">ad(B628)</f>
        <v>0.65501425346536812</v>
      </c>
      <c r="D628" s="7"/>
      <c r="E628" s="27"/>
      <c r="F628" s="27"/>
      <c r="G628" s="7"/>
      <c r="H628" s="28"/>
      <c r="I628" s="28"/>
      <c r="J628" s="28"/>
      <c r="K628" s="28"/>
    </row>
    <row r="629" spans="2:11" x14ac:dyDescent="0.25">
      <c r="B629" s="137">
        <v>0.624</v>
      </c>
      <c r="C629" s="138" cm="1">
        <f t="array" ref="C629">ad(B629)</f>
        <v>0.65624804206042908</v>
      </c>
      <c r="D629" s="7"/>
      <c r="E629" s="27"/>
      <c r="F629" s="27"/>
      <c r="G629" s="7"/>
      <c r="H629" s="28"/>
      <c r="I629" s="28"/>
      <c r="J629" s="28"/>
      <c r="K629" s="28"/>
    </row>
    <row r="630" spans="2:11" x14ac:dyDescent="0.25">
      <c r="B630" s="137">
        <v>0.625</v>
      </c>
      <c r="C630" s="138" cm="1">
        <f t="array" ref="C630">ad(B630)</f>
        <v>0.65748117876285372</v>
      </c>
      <c r="D630" s="7"/>
      <c r="E630" s="27"/>
      <c r="F630" s="27"/>
      <c r="G630" s="7"/>
      <c r="H630" s="28"/>
      <c r="I630" s="28"/>
      <c r="J630" s="28"/>
      <c r="K630" s="28"/>
    </row>
    <row r="631" spans="2:11" x14ac:dyDescent="0.25">
      <c r="B631" s="137">
        <v>0.626</v>
      </c>
      <c r="C631" s="138" cm="1">
        <f t="array" ref="C631">ad(B631)</f>
        <v>0.65871365796645664</v>
      </c>
      <c r="D631" s="7"/>
      <c r="E631" s="27"/>
      <c r="F631" s="27"/>
      <c r="G631" s="7"/>
      <c r="H631" s="28"/>
      <c r="I631" s="28"/>
      <c r="J631" s="28"/>
      <c r="K631" s="28"/>
    </row>
    <row r="632" spans="2:11" x14ac:dyDescent="0.25">
      <c r="B632" s="137">
        <v>0.627</v>
      </c>
      <c r="C632" s="138" cm="1">
        <f t="array" ref="C632">ad(B632)</f>
        <v>0.65994547405607507</v>
      </c>
      <c r="D632" s="7"/>
      <c r="E632" s="27"/>
      <c r="F632" s="27"/>
      <c r="G632" s="7"/>
      <c r="H632" s="28"/>
      <c r="I632" s="28"/>
      <c r="J632" s="28"/>
      <c r="K632" s="28"/>
    </row>
    <row r="633" spans="2:11" x14ac:dyDescent="0.25">
      <c r="B633" s="137">
        <v>0.628</v>
      </c>
      <c r="C633" s="138" cm="1">
        <f t="array" ref="C633">ad(B633)</f>
        <v>0.66117662140747313</v>
      </c>
      <c r="D633" s="7"/>
      <c r="E633" s="27"/>
      <c r="F633" s="27"/>
      <c r="G633" s="7"/>
      <c r="H633" s="28"/>
      <c r="I633" s="28"/>
      <c r="J633" s="28"/>
      <c r="K633" s="28"/>
    </row>
    <row r="634" spans="2:11" x14ac:dyDescent="0.25">
      <c r="B634" s="137">
        <v>0.629</v>
      </c>
      <c r="C634" s="138" cm="1">
        <f t="array" ref="C634">ad(B634)</f>
        <v>0.66240709438724465</v>
      </c>
      <c r="D634" s="7"/>
      <c r="E634" s="27"/>
      <c r="F634" s="27"/>
      <c r="G634" s="7"/>
      <c r="H634" s="28"/>
      <c r="I634" s="28"/>
      <c r="J634" s="28"/>
      <c r="K634" s="28"/>
    </row>
    <row r="635" spans="2:11" x14ac:dyDescent="0.25">
      <c r="B635" s="137">
        <v>0.63</v>
      </c>
      <c r="C635" s="138" cm="1">
        <f t="array" ref="C635">ad(B635)</f>
        <v>0.6636368873527162</v>
      </c>
      <c r="D635" s="7"/>
      <c r="E635" s="27"/>
      <c r="F635" s="27"/>
      <c r="G635" s="7"/>
      <c r="H635" s="28"/>
      <c r="I635" s="28"/>
      <c r="J635" s="28"/>
      <c r="K635" s="28"/>
    </row>
    <row r="636" spans="2:11" x14ac:dyDescent="0.25">
      <c r="B636" s="137">
        <v>0.63100000000000001</v>
      </c>
      <c r="C636" s="138" cm="1">
        <f t="array" ref="C636">ad(B636)</f>
        <v>0.66486599465184892</v>
      </c>
      <c r="D636" s="7"/>
      <c r="E636" s="27"/>
      <c r="F636" s="27"/>
      <c r="G636" s="7"/>
      <c r="H636" s="28"/>
      <c r="I636" s="28"/>
      <c r="J636" s="28"/>
      <c r="K636" s="28"/>
    </row>
    <row r="637" spans="2:11" x14ac:dyDescent="0.25">
      <c r="B637" s="137">
        <v>0.63200000000000001</v>
      </c>
      <c r="C637" s="138" cm="1">
        <f t="array" ref="C637">ad(B637)</f>
        <v>0.66609441062313912</v>
      </c>
      <c r="D637" s="7"/>
      <c r="E637" s="27"/>
      <c r="F637" s="27"/>
      <c r="G637" s="7"/>
      <c r="H637" s="28"/>
      <c r="I637" s="28"/>
      <c r="J637" s="28"/>
      <c r="K637" s="28"/>
    </row>
    <row r="638" spans="2:11" x14ac:dyDescent="0.25">
      <c r="B638" s="137">
        <v>0.63300000000000001</v>
      </c>
      <c r="C638" s="138" cm="1">
        <f t="array" ref="C638">ad(B638)</f>
        <v>0.66732212959551951</v>
      </c>
      <c r="D638" s="7"/>
      <c r="E638" s="27"/>
      <c r="F638" s="27"/>
      <c r="G638" s="7"/>
      <c r="H638" s="28"/>
      <c r="I638" s="28"/>
      <c r="J638" s="28"/>
      <c r="K638" s="28"/>
    </row>
    <row r="639" spans="2:11" x14ac:dyDescent="0.25">
      <c r="B639" s="137">
        <v>0.63400000000000001</v>
      </c>
      <c r="C639" s="138" cm="1">
        <f t="array" ref="C639">ad(B639)</f>
        <v>0.66854914588825842</v>
      </c>
      <c r="D639" s="7"/>
      <c r="E639" s="27"/>
      <c r="F639" s="27"/>
      <c r="G639" s="7"/>
      <c r="H639" s="28"/>
      <c r="I639" s="28"/>
      <c r="J639" s="28"/>
      <c r="K639" s="28"/>
    </row>
    <row r="640" spans="2:11" x14ac:dyDescent="0.25">
      <c r="B640" s="137">
        <v>0.63500000000000001</v>
      </c>
      <c r="C640" s="138" cm="1">
        <f t="array" ref="C640">ad(B640)</f>
        <v>0.66977545381085868</v>
      </c>
      <c r="D640" s="7"/>
      <c r="E640" s="27"/>
      <c r="F640" s="27"/>
      <c r="G640" s="7"/>
      <c r="H640" s="28"/>
      <c r="I640" s="28"/>
      <c r="J640" s="28"/>
      <c r="K640" s="28"/>
    </row>
    <row r="641" spans="2:11" x14ac:dyDescent="0.25">
      <c r="B641" s="137">
        <v>0.63600000000000001</v>
      </c>
      <c r="C641" s="138" cm="1">
        <f t="array" ref="C641">ad(B641)</f>
        <v>0.67100104766295665</v>
      </c>
      <c r="D641" s="7"/>
      <c r="E641" s="27"/>
      <c r="F641" s="27"/>
      <c r="G641" s="7"/>
      <c r="H641" s="28"/>
      <c r="I641" s="28"/>
      <c r="J641" s="28"/>
      <c r="K641" s="28"/>
    </row>
    <row r="642" spans="2:11" x14ac:dyDescent="0.25">
      <c r="B642" s="137">
        <v>0.63700000000000001</v>
      </c>
      <c r="C642" s="138" cm="1">
        <f t="array" ref="C642">ad(B642)</f>
        <v>0.67222592173421847</v>
      </c>
      <c r="D642" s="7"/>
      <c r="E642" s="27"/>
      <c r="F642" s="27"/>
      <c r="G642" s="7"/>
      <c r="H642" s="28"/>
      <c r="I642" s="28"/>
      <c r="J642" s="28"/>
      <c r="K642" s="28"/>
    </row>
    <row r="643" spans="2:11" x14ac:dyDescent="0.25">
      <c r="B643" s="137">
        <v>0.63800000000000001</v>
      </c>
      <c r="C643" s="138" cm="1">
        <f t="array" ref="C643">ad(B643)</f>
        <v>0.67345007030423798</v>
      </c>
      <c r="D643" s="7"/>
      <c r="E643" s="27"/>
      <c r="F643" s="27"/>
      <c r="G643" s="7"/>
      <c r="H643" s="28"/>
      <c r="I643" s="28"/>
      <c r="J643" s="28"/>
      <c r="K643" s="28"/>
    </row>
    <row r="644" spans="2:11" x14ac:dyDescent="0.25">
      <c r="B644" s="137">
        <v>0.63900000000000001</v>
      </c>
      <c r="C644" s="138" cm="1">
        <f t="array" ref="C644">ad(B644)</f>
        <v>0.67467348764243207</v>
      </c>
      <c r="D644" s="7"/>
      <c r="E644" s="27"/>
      <c r="F644" s="27"/>
      <c r="G644" s="7"/>
      <c r="H644" s="28"/>
      <c r="I644" s="28"/>
      <c r="J644" s="28"/>
      <c r="K644" s="28"/>
    </row>
    <row r="645" spans="2:11" x14ac:dyDescent="0.25">
      <c r="B645" s="137">
        <v>0.64</v>
      </c>
      <c r="C645" s="138" cm="1">
        <f t="array" ref="C645">ad(B645)</f>
        <v>0.67589616800793606</v>
      </c>
      <c r="D645" s="7"/>
      <c r="E645" s="27"/>
      <c r="F645" s="27"/>
      <c r="G645" s="7"/>
      <c r="H645" s="28"/>
      <c r="I645" s="28"/>
      <c r="J645" s="28"/>
      <c r="K645" s="28"/>
    </row>
    <row r="646" spans="2:11" x14ac:dyDescent="0.25">
      <c r="B646" s="137">
        <v>0.64100000000000001</v>
      </c>
      <c r="C646" s="138" cm="1">
        <f t="array" ref="C646">ad(B646)</f>
        <v>0.67711810564949781</v>
      </c>
      <c r="D646" s="7"/>
      <c r="E646" s="27"/>
      <c r="F646" s="27"/>
      <c r="G646" s="7"/>
      <c r="H646" s="28"/>
      <c r="I646" s="28"/>
      <c r="J646" s="28"/>
      <c r="K646" s="28"/>
    </row>
    <row r="647" spans="2:11" x14ac:dyDescent="0.25">
      <c r="B647" s="137">
        <v>0.64200000000000002</v>
      </c>
      <c r="C647" s="138" cm="1">
        <f t="array" ref="C647">ad(B647)</f>
        <v>0.67833929480537147</v>
      </c>
      <c r="D647" s="7"/>
      <c r="E647" s="27"/>
      <c r="F647" s="27"/>
      <c r="G647" s="7"/>
      <c r="H647" s="28"/>
      <c r="I647" s="28"/>
      <c r="J647" s="28"/>
      <c r="K647" s="28"/>
    </row>
    <row r="648" spans="2:11" x14ac:dyDescent="0.25">
      <c r="B648" s="137">
        <v>0.64300000000000002</v>
      </c>
      <c r="C648" s="138" cm="1">
        <f t="array" ref="C648">ad(B648)</f>
        <v>0.67955972970321055</v>
      </c>
      <c r="D648" s="7"/>
      <c r="E648" s="27"/>
      <c r="F648" s="27"/>
      <c r="G648" s="7"/>
      <c r="H648" s="28"/>
      <c r="I648" s="28"/>
      <c r="J648" s="28"/>
      <c r="K648" s="28"/>
    </row>
    <row r="649" spans="2:11" x14ac:dyDescent="0.25">
      <c r="B649" s="137">
        <v>0.64400000000000002</v>
      </c>
      <c r="C649" s="138" cm="1">
        <f t="array" ref="C649">ad(B649)</f>
        <v>0.68077940455995922</v>
      </c>
      <c r="D649" s="7"/>
      <c r="E649" s="27"/>
      <c r="F649" s="27"/>
      <c r="G649" s="7"/>
      <c r="H649" s="28"/>
      <c r="I649" s="28"/>
      <c r="J649" s="28"/>
      <c r="K649" s="28"/>
    </row>
    <row r="650" spans="2:11" x14ac:dyDescent="0.25">
      <c r="B650" s="137">
        <v>0.64500000000000002</v>
      </c>
      <c r="C650" s="138" cm="1">
        <f t="array" ref="C650">ad(B650)</f>
        <v>0.68199831358174368</v>
      </c>
      <c r="D650" s="7"/>
      <c r="E650" s="27"/>
      <c r="F650" s="27"/>
      <c r="G650" s="7"/>
      <c r="H650" s="28"/>
      <c r="I650" s="28"/>
      <c r="J650" s="28"/>
      <c r="K650" s="28"/>
    </row>
    <row r="651" spans="2:11" x14ac:dyDescent="0.25">
      <c r="B651" s="137">
        <v>0.64600000000000002</v>
      </c>
      <c r="C651" s="138" cm="1">
        <f t="array" ref="C651">ad(B651)</f>
        <v>0.68321645096376271</v>
      </c>
      <c r="D651" s="7"/>
      <c r="E651" s="27"/>
      <c r="F651" s="27"/>
      <c r="G651" s="7"/>
      <c r="H651" s="28"/>
      <c r="I651" s="28"/>
      <c r="J651" s="28"/>
      <c r="K651" s="28"/>
    </row>
    <row r="652" spans="2:11" x14ac:dyDescent="0.25">
      <c r="B652" s="137">
        <v>0.64700000000000002</v>
      </c>
      <c r="C652" s="138" cm="1">
        <f t="array" ref="C652">ad(B652)</f>
        <v>0.6844338108901763</v>
      </c>
      <c r="D652" s="7"/>
      <c r="E652" s="27"/>
      <c r="F652" s="27"/>
      <c r="G652" s="7"/>
      <c r="H652" s="28"/>
      <c r="I652" s="28"/>
      <c r="J652" s="28"/>
      <c r="K652" s="28"/>
    </row>
    <row r="653" spans="2:11" x14ac:dyDescent="0.25">
      <c r="B653" s="137">
        <v>0.64800000000000002</v>
      </c>
      <c r="C653" s="138" cm="1">
        <f t="array" ref="C653">ad(B653)</f>
        <v>0.68565038753399499</v>
      </c>
      <c r="D653" s="7"/>
      <c r="E653" s="27"/>
      <c r="F653" s="27"/>
      <c r="G653" s="7"/>
      <c r="H653" s="28"/>
      <c r="I653" s="28"/>
      <c r="J653" s="28"/>
      <c r="K653" s="28"/>
    </row>
    <row r="654" spans="2:11" x14ac:dyDescent="0.25">
      <c r="B654" s="137">
        <v>0.64900000000000002</v>
      </c>
      <c r="C654" s="138" cm="1">
        <f t="array" ref="C654">ad(B654)</f>
        <v>0.68686617505696657</v>
      </c>
      <c r="D654" s="7"/>
      <c r="E654" s="27"/>
      <c r="F654" s="27"/>
      <c r="G654" s="7"/>
      <c r="H654" s="28"/>
      <c r="I654" s="28"/>
      <c r="J654" s="28"/>
      <c r="K654" s="28"/>
    </row>
    <row r="655" spans="2:11" x14ac:dyDescent="0.25">
      <c r="B655" s="137">
        <v>0.65</v>
      </c>
      <c r="C655" s="138" cm="1">
        <f t="array" ref="C655">ad(B655)</f>
        <v>0.68808116760946358</v>
      </c>
      <c r="D655" s="7"/>
      <c r="E655" s="27"/>
      <c r="F655" s="27"/>
      <c r="G655" s="7"/>
      <c r="H655" s="28"/>
      <c r="I655" s="28"/>
      <c r="J655" s="28"/>
      <c r="K655" s="28"/>
    </row>
    <row r="656" spans="2:11" x14ac:dyDescent="0.25">
      <c r="B656" s="137">
        <v>0.65100000000000002</v>
      </c>
      <c r="C656" s="138" cm="1">
        <f t="array" ref="C656">ad(B656)</f>
        <v>0.68929535933036856</v>
      </c>
      <c r="D656" s="7"/>
      <c r="E656" s="27"/>
      <c r="F656" s="27"/>
      <c r="G656" s="7"/>
      <c r="H656" s="28"/>
      <c r="I656" s="28"/>
      <c r="J656" s="28"/>
      <c r="K656" s="28"/>
    </row>
    <row r="657" spans="2:11" x14ac:dyDescent="0.25">
      <c r="B657" s="137">
        <v>0.65200000000000002</v>
      </c>
      <c r="C657" s="138" cm="1">
        <f t="array" ref="C657">ad(B657)</f>
        <v>0.69050874434695908</v>
      </c>
      <c r="D657" s="7"/>
      <c r="E657" s="27"/>
      <c r="F657" s="27"/>
      <c r="G657" s="7"/>
      <c r="H657" s="28"/>
      <c r="I657" s="28"/>
      <c r="J657" s="28"/>
      <c r="K657" s="28"/>
    </row>
    <row r="658" spans="2:11" x14ac:dyDescent="0.25">
      <c r="B658" s="137">
        <v>0.65300000000000002</v>
      </c>
      <c r="C658" s="138" cm="1">
        <f t="array" ref="C658">ad(B658)</f>
        <v>0.69172131677479165</v>
      </c>
      <c r="D658" s="7"/>
      <c r="E658" s="27"/>
      <c r="F658" s="27"/>
      <c r="G658" s="7"/>
      <c r="H658" s="28"/>
      <c r="I658" s="28"/>
      <c r="J658" s="28"/>
      <c r="K658" s="28"/>
    </row>
    <row r="659" spans="2:11" x14ac:dyDescent="0.25">
      <c r="B659" s="137">
        <v>0.65400000000000003</v>
      </c>
      <c r="C659" s="138" cm="1">
        <f t="array" ref="C659">ad(B659)</f>
        <v>0.69293307071758448</v>
      </c>
      <c r="D659" s="7"/>
      <c r="E659" s="27"/>
      <c r="F659" s="27"/>
      <c r="G659" s="7"/>
      <c r="H659" s="28"/>
      <c r="I659" s="28"/>
      <c r="J659" s="28"/>
      <c r="K659" s="28"/>
    </row>
    <row r="660" spans="2:11" x14ac:dyDescent="0.25">
      <c r="B660" s="137">
        <v>0.65500000000000003</v>
      </c>
      <c r="C660" s="138" cm="1">
        <f t="array" ref="C660">ad(B660)</f>
        <v>0.69414400026709988</v>
      </c>
      <c r="D660" s="7"/>
      <c r="E660" s="27"/>
      <c r="F660" s="27"/>
      <c r="G660" s="7"/>
      <c r="H660" s="28"/>
      <c r="I660" s="28"/>
      <c r="J660" s="28"/>
      <c r="K660" s="28"/>
    </row>
    <row r="661" spans="2:11" x14ac:dyDescent="0.25">
      <c r="B661" s="137">
        <v>0.65600000000000003</v>
      </c>
      <c r="C661" s="138" cm="1">
        <f t="array" ref="C661">ad(B661)</f>
        <v>0.69535409950302474</v>
      </c>
      <c r="D661" s="7"/>
      <c r="E661" s="27"/>
      <c r="F661" s="27"/>
      <c r="G661" s="7"/>
      <c r="H661" s="28"/>
      <c r="I661" s="28"/>
      <c r="J661" s="28"/>
      <c r="K661" s="28"/>
    </row>
    <row r="662" spans="2:11" x14ac:dyDescent="0.25">
      <c r="B662" s="137">
        <v>0.65700000000000003</v>
      </c>
      <c r="C662" s="138" cm="1">
        <f t="array" ref="C662">ad(B662)</f>
        <v>0.69656336249285089</v>
      </c>
      <c r="D662" s="7"/>
      <c r="E662" s="27"/>
      <c r="F662" s="27"/>
      <c r="G662" s="7"/>
      <c r="H662" s="28"/>
      <c r="I662" s="28"/>
      <c r="J662" s="28"/>
      <c r="K662" s="28"/>
    </row>
    <row r="663" spans="2:11" x14ac:dyDescent="0.25">
      <c r="B663" s="137">
        <v>0.65800000000000003</v>
      </c>
      <c r="C663" s="138" cm="1">
        <f t="array" ref="C663">ad(B663)</f>
        <v>0.69777178329175404</v>
      </c>
      <c r="D663" s="7"/>
      <c r="E663" s="27"/>
      <c r="F663" s="27"/>
      <c r="G663" s="7"/>
      <c r="H663" s="28"/>
      <c r="I663" s="28"/>
      <c r="J663" s="28"/>
      <c r="K663" s="28"/>
    </row>
    <row r="664" spans="2:11" x14ac:dyDescent="0.25">
      <c r="B664" s="137">
        <v>0.65900000000000003</v>
      </c>
      <c r="C664" s="138" cm="1">
        <f t="array" ref="C664">ad(B664)</f>
        <v>0.69897935594247129</v>
      </c>
      <c r="D664" s="7"/>
      <c r="E664" s="27"/>
      <c r="F664" s="27"/>
      <c r="G664" s="7"/>
      <c r="H664" s="28"/>
      <c r="I664" s="28"/>
      <c r="J664" s="28"/>
      <c r="K664" s="28"/>
    </row>
    <row r="665" spans="2:11" x14ac:dyDescent="0.25">
      <c r="B665" s="137">
        <v>0.66</v>
      </c>
      <c r="C665" s="138" cm="1">
        <f t="array" ref="C665">ad(B665)</f>
        <v>0.70018607447517911</v>
      </c>
      <c r="D665" s="7"/>
      <c r="E665" s="27"/>
      <c r="F665" s="27"/>
      <c r="G665" s="7"/>
      <c r="H665" s="28"/>
      <c r="I665" s="28"/>
      <c r="J665" s="28"/>
      <c r="K665" s="28"/>
    </row>
    <row r="666" spans="2:11" x14ac:dyDescent="0.25">
      <c r="B666" s="137">
        <v>0.66100000000000003</v>
      </c>
      <c r="C666" s="138" cm="1">
        <f t="array" ref="C666">ad(B666)</f>
        <v>0.7013919329073679</v>
      </c>
      <c r="D666" s="7"/>
      <c r="E666" s="27"/>
      <c r="F666" s="27"/>
      <c r="G666" s="7"/>
      <c r="H666" s="28"/>
      <c r="I666" s="28"/>
      <c r="J666" s="28"/>
      <c r="K666" s="28"/>
    </row>
    <row r="667" spans="2:11" x14ac:dyDescent="0.25">
      <c r="B667" s="137">
        <v>0.66200000000000003</v>
      </c>
      <c r="C667" s="138" cm="1">
        <f t="array" ref="C667">ad(B667)</f>
        <v>0.70259692524371775</v>
      </c>
      <c r="D667" s="7"/>
      <c r="E667" s="27"/>
      <c r="F667" s="27"/>
      <c r="G667" s="7"/>
      <c r="H667" s="28"/>
      <c r="I667" s="28"/>
      <c r="J667" s="28"/>
      <c r="K667" s="28"/>
    </row>
    <row r="668" spans="2:11" x14ac:dyDescent="0.25">
      <c r="B668" s="137">
        <v>0.66300000000000003</v>
      </c>
      <c r="C668" s="138" cm="1">
        <f t="array" ref="C668">ad(B668)</f>
        <v>0.70380104547597189</v>
      </c>
      <c r="D668" s="7"/>
      <c r="E668" s="27"/>
      <c r="F668" s="27"/>
      <c r="G668" s="7"/>
      <c r="H668" s="28"/>
      <c r="I668" s="28"/>
      <c r="J668" s="28"/>
      <c r="K668" s="28"/>
    </row>
    <row r="669" spans="2:11" x14ac:dyDescent="0.25">
      <c r="B669" s="137">
        <v>0.66400000000000003</v>
      </c>
      <c r="C669" s="138" cm="1">
        <f t="array" ref="C669">ad(B669)</f>
        <v>0.70500428758280898</v>
      </c>
      <c r="D669" s="7"/>
      <c r="E669" s="27"/>
      <c r="F669" s="27"/>
      <c r="G669" s="7"/>
      <c r="H669" s="28"/>
      <c r="I669" s="28"/>
      <c r="J669" s="28"/>
      <c r="K669" s="28"/>
    </row>
    <row r="670" spans="2:11" x14ac:dyDescent="0.25">
      <c r="B670" s="137">
        <v>0.66500000000000004</v>
      </c>
      <c r="C670" s="138" cm="1">
        <f t="array" ref="C670">ad(B670)</f>
        <v>0.70620664552971535</v>
      </c>
      <c r="D670" s="7"/>
      <c r="E670" s="27"/>
      <c r="F670" s="27"/>
      <c r="G670" s="7"/>
      <c r="H670" s="28"/>
      <c r="I670" s="28"/>
      <c r="J670" s="28"/>
      <c r="K670" s="28"/>
    </row>
    <row r="671" spans="2:11" x14ac:dyDescent="0.25">
      <c r="B671" s="137">
        <v>0.66600000000000004</v>
      </c>
      <c r="C671" s="138" cm="1">
        <f t="array" ref="C671">ad(B671)</f>
        <v>0.70740811326885433</v>
      </c>
      <c r="D671" s="7"/>
      <c r="E671" s="27"/>
      <c r="F671" s="27"/>
      <c r="G671" s="7"/>
      <c r="H671" s="28"/>
      <c r="I671" s="28"/>
      <c r="J671" s="28"/>
      <c r="K671" s="28"/>
    </row>
    <row r="672" spans="2:11" x14ac:dyDescent="0.25">
      <c r="B672" s="137">
        <v>0.66700000000000004</v>
      </c>
      <c r="C672" s="138" cm="1">
        <f t="array" ref="C672">ad(B672)</f>
        <v>0.70860868473893657</v>
      </c>
      <c r="D672" s="7"/>
      <c r="E672" s="27"/>
      <c r="F672" s="27"/>
      <c r="G672" s="7"/>
      <c r="H672" s="28"/>
      <c r="I672" s="28"/>
      <c r="J672" s="28"/>
      <c r="K672" s="28"/>
    </row>
    <row r="673" spans="2:11" x14ac:dyDescent="0.25">
      <c r="B673" s="137">
        <v>0.66800000000000004</v>
      </c>
      <c r="C673" s="138" cm="1">
        <f t="array" ref="C673">ad(B673)</f>
        <v>0.70980835386508734</v>
      </c>
      <c r="D673" s="7"/>
      <c r="E673" s="27"/>
      <c r="F673" s="27"/>
      <c r="G673" s="7"/>
      <c r="H673" s="28"/>
      <c r="I673" s="28"/>
      <c r="J673" s="28"/>
      <c r="K673" s="28"/>
    </row>
    <row r="674" spans="2:11" x14ac:dyDescent="0.25">
      <c r="B674" s="137">
        <v>0.66900000000000004</v>
      </c>
      <c r="C674" s="138" cm="1">
        <f t="array" ref="C674">ad(B674)</f>
        <v>0.71100711455871357</v>
      </c>
      <c r="D674" s="7"/>
      <c r="E674" s="27"/>
      <c r="F674" s="27"/>
      <c r="G674" s="7"/>
      <c r="H674" s="28"/>
      <c r="I674" s="28"/>
      <c r="J674" s="28"/>
      <c r="K674" s="28"/>
    </row>
    <row r="675" spans="2:11" x14ac:dyDescent="0.25">
      <c r="B675" s="137">
        <v>0.67</v>
      </c>
      <c r="C675" s="138" cm="1">
        <f t="array" ref="C675">ad(B675)</f>
        <v>0.71220496071736983</v>
      </c>
      <c r="D675" s="7"/>
      <c r="E675" s="27"/>
      <c r="F675" s="27"/>
      <c r="G675" s="7"/>
      <c r="H675" s="28"/>
      <c r="I675" s="28"/>
      <c r="J675" s="28"/>
      <c r="K675" s="28"/>
    </row>
    <row r="676" spans="2:11" x14ac:dyDescent="0.25">
      <c r="B676" s="137">
        <v>0.67100000000000004</v>
      </c>
      <c r="C676" s="138" cm="1">
        <f t="array" ref="C676">ad(B676)</f>
        <v>0.71340188622462253</v>
      </c>
      <c r="D676" s="7"/>
      <c r="E676" s="27"/>
      <c r="F676" s="27"/>
      <c r="G676" s="7"/>
      <c r="H676" s="28"/>
      <c r="I676" s="28"/>
      <c r="J676" s="28"/>
      <c r="K676" s="28"/>
    </row>
    <row r="677" spans="2:11" x14ac:dyDescent="0.25">
      <c r="B677" s="137">
        <v>0.67200000000000004</v>
      </c>
      <c r="C677" s="138" cm="1">
        <f t="array" ref="C677">ad(B677)</f>
        <v>0.71459788494991283</v>
      </c>
      <c r="D677" s="7"/>
      <c r="E677" s="27"/>
      <c r="F677" s="27"/>
      <c r="G677" s="7"/>
      <c r="H677" s="28"/>
      <c r="I677" s="28"/>
      <c r="J677" s="28"/>
      <c r="K677" s="28"/>
    </row>
    <row r="678" spans="2:11" x14ac:dyDescent="0.25">
      <c r="B678" s="137">
        <v>0.67300000000000004</v>
      </c>
      <c r="C678" s="138" cm="1">
        <f t="array" ref="C678">ad(B678)</f>
        <v>0.71579295074841964</v>
      </c>
      <c r="D678" s="7"/>
      <c r="E678" s="27"/>
      <c r="F678" s="27"/>
      <c r="G678" s="7"/>
      <c r="H678" s="28"/>
      <c r="I678" s="28"/>
      <c r="J678" s="28"/>
      <c r="K678" s="28"/>
    </row>
    <row r="679" spans="2:11" x14ac:dyDescent="0.25">
      <c r="B679" s="137">
        <v>0.67400000000000004</v>
      </c>
      <c r="C679" s="138" cm="1">
        <f t="array" ref="C679">ad(B679)</f>
        <v>0.71698707746091916</v>
      </c>
      <c r="D679" s="7"/>
      <c r="E679" s="27"/>
      <c r="F679" s="27"/>
      <c r="G679" s="7"/>
      <c r="H679" s="28"/>
      <c r="I679" s="28"/>
      <c r="J679" s="28"/>
      <c r="K679" s="28"/>
    </row>
    <row r="680" spans="2:11" x14ac:dyDescent="0.25">
      <c r="B680" s="137">
        <v>0.67500000000000004</v>
      </c>
      <c r="C680" s="138" cm="1">
        <f t="array" ref="C680">ad(B680)</f>
        <v>0.71818025891364512</v>
      </c>
      <c r="D680" s="7"/>
      <c r="E680" s="27"/>
      <c r="F680" s="27"/>
      <c r="G680" s="7"/>
      <c r="H680" s="28"/>
      <c r="I680" s="28"/>
      <c r="J680" s="28"/>
      <c r="K680" s="28"/>
    </row>
    <row r="681" spans="2:11" x14ac:dyDescent="0.25">
      <c r="B681" s="137">
        <v>0.67600000000000005</v>
      </c>
      <c r="C681" s="138" cm="1">
        <f t="array" ref="C681">ad(B681)</f>
        <v>0.71937248891814631</v>
      </c>
      <c r="D681" s="7"/>
      <c r="E681" s="27"/>
      <c r="F681" s="27"/>
      <c r="G681" s="7"/>
      <c r="H681" s="28"/>
      <c r="I681" s="28"/>
      <c r="J681" s="28"/>
      <c r="K681" s="28"/>
    </row>
    <row r="682" spans="2:11" x14ac:dyDescent="0.25">
      <c r="B682" s="137">
        <v>0.67700000000000005</v>
      </c>
      <c r="C682" s="138" cm="1">
        <f t="array" ref="C682">ad(B682)</f>
        <v>0.72056376127114397</v>
      </c>
      <c r="D682" s="7"/>
      <c r="E682" s="27"/>
      <c r="F682" s="27"/>
      <c r="G682" s="7"/>
      <c r="H682" s="28"/>
      <c r="I682" s="28"/>
      <c r="J682" s="28"/>
      <c r="K682" s="28"/>
    </row>
    <row r="683" spans="2:11" x14ac:dyDescent="0.25">
      <c r="B683" s="137">
        <v>0.67800000000000005</v>
      </c>
      <c r="C683" s="138" cm="1">
        <f t="array" ref="C683">ad(B683)</f>
        <v>0.72175406975438683</v>
      </c>
      <c r="D683" s="7"/>
      <c r="E683" s="27"/>
      <c r="F683" s="27"/>
      <c r="G683" s="7"/>
      <c r="H683" s="28"/>
      <c r="I683" s="28"/>
      <c r="J683" s="28"/>
      <c r="K683" s="28"/>
    </row>
    <row r="684" spans="2:11" x14ac:dyDescent="0.25">
      <c r="B684" s="137">
        <v>0.67900000000000005</v>
      </c>
      <c r="C684" s="138" cm="1">
        <f t="array" ref="C684">ad(B684)</f>
        <v>0.72294340813450519</v>
      </c>
      <c r="D684" s="7"/>
      <c r="E684" s="27"/>
      <c r="F684" s="27"/>
      <c r="G684" s="7"/>
      <c r="H684" s="28"/>
      <c r="I684" s="28"/>
      <c r="J684" s="28"/>
      <c r="K684" s="28"/>
    </row>
    <row r="685" spans="2:11" x14ac:dyDescent="0.25">
      <c r="B685" s="137">
        <v>0.68</v>
      </c>
      <c r="C685" s="138" cm="1">
        <f t="array" ref="C685">ad(B685)</f>
        <v>0.72413177016286401</v>
      </c>
      <c r="D685" s="7"/>
      <c r="E685" s="27"/>
      <c r="F685" s="27"/>
      <c r="G685" s="7"/>
      <c r="H685" s="28"/>
      <c r="I685" s="28"/>
      <c r="J685" s="28"/>
      <c r="K685" s="28"/>
    </row>
    <row r="686" spans="2:11" x14ac:dyDescent="0.25">
      <c r="B686" s="137">
        <v>0.68100000000000005</v>
      </c>
      <c r="C686" s="138" cm="1">
        <f t="array" ref="C686">ad(B686)</f>
        <v>0.72531914957541366</v>
      </c>
      <c r="D686" s="7"/>
      <c r="E686" s="27"/>
      <c r="F686" s="27"/>
      <c r="G686" s="7"/>
      <c r="H686" s="28"/>
      <c r="I686" s="28"/>
      <c r="J686" s="28"/>
      <c r="K686" s="28"/>
    </row>
    <row r="687" spans="2:11" x14ac:dyDescent="0.25">
      <c r="B687" s="137">
        <v>0.68200000000000005</v>
      </c>
      <c r="C687" s="138" cm="1">
        <f t="array" ref="C687">ad(B687)</f>
        <v>0.7265055400925402</v>
      </c>
      <c r="D687" s="7"/>
      <c r="E687" s="27"/>
      <c r="F687" s="27"/>
      <c r="G687" s="7"/>
      <c r="H687" s="28"/>
      <c r="I687" s="28"/>
      <c r="J687" s="28"/>
      <c r="K687" s="28"/>
    </row>
    <row r="688" spans="2:11" x14ac:dyDescent="0.25">
      <c r="B688" s="137">
        <v>0.68300000000000005</v>
      </c>
      <c r="C688" s="138" cm="1">
        <f t="array" ref="C688">ad(B688)</f>
        <v>0.72769093541891372</v>
      </c>
      <c r="D688" s="7"/>
      <c r="E688" s="27"/>
      <c r="F688" s="27"/>
      <c r="G688" s="7"/>
      <c r="H688" s="28"/>
      <c r="I688" s="28"/>
      <c r="J688" s="28"/>
      <c r="K688" s="28"/>
    </row>
    <row r="689" spans="2:11" x14ac:dyDescent="0.25">
      <c r="B689" s="137">
        <v>0.68400000000000005</v>
      </c>
      <c r="C689" s="138" cm="1">
        <f t="array" ref="C689">ad(B689)</f>
        <v>0.7288753292433352</v>
      </c>
      <c r="D689" s="7"/>
      <c r="E689" s="27"/>
      <c r="F689" s="27"/>
      <c r="G689" s="7"/>
      <c r="H689" s="28"/>
      <c r="I689" s="28"/>
      <c r="J689" s="28"/>
      <c r="K689" s="28"/>
    </row>
    <row r="690" spans="2:11" x14ac:dyDescent="0.25">
      <c r="B690" s="137">
        <v>0.68500000000000005</v>
      </c>
      <c r="C690" s="138" cm="1">
        <f t="array" ref="C690">ad(B690)</f>
        <v>0.73005871523858223</v>
      </c>
      <c r="D690" s="7"/>
      <c r="E690" s="27"/>
      <c r="F690" s="27"/>
      <c r="G690" s="7"/>
      <c r="H690" s="28"/>
      <c r="I690" s="28"/>
      <c r="J690" s="28"/>
      <c r="K690" s="28"/>
    </row>
    <row r="691" spans="2:11" x14ac:dyDescent="0.25">
      <c r="B691" s="137">
        <v>0.68600000000000005</v>
      </c>
      <c r="C691" s="138" cm="1">
        <f t="array" ref="C691">ad(B691)</f>
        <v>0.73124108706125224</v>
      </c>
      <c r="D691" s="7"/>
      <c r="E691" s="27"/>
      <c r="F691" s="27"/>
      <c r="G691" s="7"/>
      <c r="H691" s="28"/>
      <c r="I691" s="28"/>
      <c r="J691" s="28"/>
      <c r="K691" s="28"/>
    </row>
    <row r="692" spans="2:11" x14ac:dyDescent="0.25">
      <c r="B692" s="137">
        <v>0.68700000000000006</v>
      </c>
      <c r="C692" s="138" cm="1">
        <f t="array" ref="C692">ad(B692)</f>
        <v>0.73242243835160625</v>
      </c>
      <c r="D692" s="7"/>
      <c r="E692" s="27"/>
      <c r="F692" s="27"/>
      <c r="G692" s="7"/>
      <c r="H692" s="28"/>
      <c r="I692" s="28"/>
      <c r="J692" s="28"/>
      <c r="K692" s="28"/>
    </row>
    <row r="693" spans="2:11" x14ac:dyDescent="0.25">
      <c r="B693" s="137">
        <v>0.68799999999999994</v>
      </c>
      <c r="C693" s="138" cm="1">
        <f t="array" ref="C693">ad(B693)</f>
        <v>0.7336027627334083</v>
      </c>
      <c r="D693" s="7"/>
      <c r="E693" s="27"/>
      <c r="F693" s="27"/>
      <c r="G693" s="7"/>
      <c r="H693" s="28"/>
      <c r="I693" s="28"/>
      <c r="J693" s="28"/>
      <c r="K693" s="28"/>
    </row>
    <row r="694" spans="2:11" x14ac:dyDescent="0.25">
      <c r="B694" s="137">
        <v>0.68899999999999995</v>
      </c>
      <c r="C694" s="138" cm="1">
        <f t="array" ref="C694">ad(B694)</f>
        <v>0.73478205381376593</v>
      </c>
      <c r="D694" s="7"/>
      <c r="E694" s="27"/>
      <c r="F694" s="27"/>
      <c r="G694" s="7"/>
      <c r="H694" s="28"/>
      <c r="I694" s="28"/>
      <c r="J694" s="28"/>
      <c r="K694" s="28"/>
    </row>
    <row r="695" spans="2:11" x14ac:dyDescent="0.25">
      <c r="B695" s="137">
        <v>0.69</v>
      </c>
      <c r="C695" s="138" cm="1">
        <f t="array" ref="C695">ad(B695)</f>
        <v>0.73596030518296696</v>
      </c>
      <c r="D695" s="7"/>
      <c r="E695" s="27"/>
      <c r="F695" s="27"/>
      <c r="G695" s="7"/>
      <c r="H695" s="28"/>
      <c r="I695" s="28"/>
      <c r="J695" s="28"/>
      <c r="K695" s="28"/>
    </row>
    <row r="696" spans="2:11" x14ac:dyDescent="0.25">
      <c r="B696" s="137">
        <v>0.69099999999999995</v>
      </c>
      <c r="C696" s="138" cm="1">
        <f t="array" ref="C696">ad(B696)</f>
        <v>0.73713751041431619</v>
      </c>
      <c r="D696" s="7"/>
      <c r="E696" s="27"/>
      <c r="F696" s="27"/>
      <c r="G696" s="7"/>
      <c r="H696" s="28"/>
      <c r="I696" s="28"/>
      <c r="J696" s="28"/>
      <c r="K696" s="28"/>
    </row>
    <row r="697" spans="2:11" x14ac:dyDescent="0.25">
      <c r="B697" s="137">
        <v>0.69199999999999995</v>
      </c>
      <c r="C697" s="138" cm="1">
        <f t="array" ref="C697">ad(B697)</f>
        <v>0.73831366306396939</v>
      </c>
      <c r="D697" s="7"/>
      <c r="E697" s="27"/>
      <c r="F697" s="27"/>
      <c r="G697" s="7"/>
      <c r="H697" s="28"/>
      <c r="I697" s="28"/>
      <c r="J697" s="28"/>
      <c r="K697" s="28"/>
    </row>
    <row r="698" spans="2:11" x14ac:dyDescent="0.25">
      <c r="B698" s="137">
        <v>0.69299999999999995</v>
      </c>
      <c r="C698" s="138" cm="1">
        <f t="array" ref="C698">ad(B698)</f>
        <v>0.73948875667076641</v>
      </c>
      <c r="D698" s="7"/>
      <c r="E698" s="27"/>
      <c r="F698" s="27"/>
      <c r="G698" s="7"/>
      <c r="H698" s="28"/>
      <c r="I698" s="28"/>
      <c r="J698" s="28"/>
      <c r="K698" s="28"/>
    </row>
    <row r="699" spans="2:11" x14ac:dyDescent="0.25">
      <c r="B699" s="137">
        <v>0.69399999999999995</v>
      </c>
      <c r="C699" s="138" cm="1">
        <f t="array" ref="C699">ad(B699)</f>
        <v>0.74066278475606184</v>
      </c>
      <c r="D699" s="7"/>
      <c r="E699" s="27"/>
      <c r="F699" s="27"/>
      <c r="G699" s="7"/>
      <c r="H699" s="28"/>
      <c r="I699" s="28"/>
      <c r="J699" s="28"/>
      <c r="K699" s="28"/>
    </row>
    <row r="700" spans="2:11" x14ac:dyDescent="0.25">
      <c r="B700" s="137">
        <v>0.69499999999999995</v>
      </c>
      <c r="C700" s="138" cm="1">
        <f t="array" ref="C700">ad(B700)</f>
        <v>0.74183574082355452</v>
      </c>
      <c r="D700" s="7"/>
      <c r="E700" s="27"/>
      <c r="F700" s="27"/>
      <c r="G700" s="7"/>
      <c r="H700" s="28"/>
      <c r="I700" s="28"/>
      <c r="J700" s="28"/>
      <c r="K700" s="28"/>
    </row>
    <row r="701" spans="2:11" x14ac:dyDescent="0.25">
      <c r="B701" s="137">
        <v>0.69599999999999995</v>
      </c>
      <c r="C701" s="138" cm="1">
        <f t="array" ref="C701">ad(B701)</f>
        <v>0.743007618359115</v>
      </c>
      <c r="D701" s="7"/>
      <c r="E701" s="27"/>
      <c r="F701" s="27"/>
      <c r="G701" s="7"/>
      <c r="H701" s="28"/>
      <c r="I701" s="28"/>
      <c r="J701" s="28"/>
      <c r="K701" s="28"/>
    </row>
    <row r="702" spans="2:11" x14ac:dyDescent="0.25">
      <c r="B702" s="137">
        <v>0.69699999999999995</v>
      </c>
      <c r="C702" s="138" cm="1">
        <f t="array" ref="C702">ad(B702)</f>
        <v>0.74417841083061176</v>
      </c>
      <c r="D702" s="7"/>
      <c r="E702" s="27"/>
      <c r="F702" s="27"/>
      <c r="G702" s="7"/>
      <c r="H702" s="28"/>
      <c r="I702" s="28"/>
      <c r="J702" s="28"/>
      <c r="K702" s="28"/>
    </row>
    <row r="703" spans="2:11" x14ac:dyDescent="0.25">
      <c r="B703" s="137">
        <v>0.69799999999999995</v>
      </c>
      <c r="C703" s="138" cm="1">
        <f t="array" ref="C703">ad(B703)</f>
        <v>0.7453481116877344</v>
      </c>
      <c r="D703" s="7"/>
      <c r="E703" s="27"/>
      <c r="F703" s="27"/>
      <c r="G703" s="7"/>
      <c r="H703" s="28"/>
      <c r="I703" s="28"/>
      <c r="J703" s="28"/>
      <c r="K703" s="28"/>
    </row>
    <row r="704" spans="2:11" x14ac:dyDescent="0.25">
      <c r="B704" s="137">
        <v>0.69899999999999995</v>
      </c>
      <c r="C704" s="138" cm="1">
        <f t="array" ref="C704">ad(B704)</f>
        <v>0.74651671436181621</v>
      </c>
      <c r="D704" s="7"/>
      <c r="E704" s="27"/>
      <c r="F704" s="27"/>
      <c r="G704" s="7"/>
      <c r="H704" s="28"/>
      <c r="I704" s="28"/>
      <c r="J704" s="28"/>
      <c r="K704" s="28"/>
    </row>
    <row r="705" spans="2:11" x14ac:dyDescent="0.25">
      <c r="B705" s="137">
        <v>0.7</v>
      </c>
      <c r="C705" s="138" cm="1">
        <f t="array" ref="C705">ad(B705)</f>
        <v>0.74768421226565451</v>
      </c>
      <c r="D705" s="7"/>
      <c r="E705" s="27"/>
      <c r="F705" s="27"/>
      <c r="G705" s="7"/>
      <c r="H705" s="28"/>
      <c r="I705" s="28"/>
      <c r="J705" s="28"/>
      <c r="K705" s="28"/>
    </row>
    <row r="706" spans="2:11" x14ac:dyDescent="0.25">
      <c r="B706" s="137">
        <v>0.70099999999999996</v>
      </c>
      <c r="C706" s="138" cm="1">
        <f t="array" ref="C706">ad(B706)</f>
        <v>0.74885059879332883</v>
      </c>
      <c r="D706" s="7"/>
      <c r="E706" s="27"/>
      <c r="F706" s="27"/>
      <c r="G706" s="7"/>
      <c r="H706" s="28"/>
      <c r="I706" s="28"/>
      <c r="J706" s="28"/>
      <c r="K706" s="28"/>
    </row>
    <row r="707" spans="2:11" x14ac:dyDescent="0.25">
      <c r="B707" s="137">
        <v>0.70199999999999996</v>
      </c>
      <c r="C707" s="138" cm="1">
        <f t="array" ref="C707">ad(B707)</f>
        <v>0.75001586732001746</v>
      </c>
      <c r="D707" s="7"/>
      <c r="E707" s="27"/>
      <c r="F707" s="27"/>
      <c r="G707" s="7"/>
      <c r="H707" s="28"/>
      <c r="I707" s="28"/>
      <c r="J707" s="28"/>
      <c r="K707" s="28"/>
    </row>
    <row r="708" spans="2:11" x14ac:dyDescent="0.25">
      <c r="B708" s="137">
        <v>0.70299999999999996</v>
      </c>
      <c r="C708" s="138" cm="1">
        <f t="array" ref="C708">ad(B708)</f>
        <v>0.7511800112018121</v>
      </c>
      <c r="D708" s="7"/>
      <c r="E708" s="27"/>
      <c r="F708" s="27"/>
      <c r="G708" s="7"/>
      <c r="H708" s="28"/>
      <c r="I708" s="28"/>
      <c r="J708" s="28"/>
      <c r="K708" s="28"/>
    </row>
    <row r="709" spans="2:11" x14ac:dyDescent="0.25">
      <c r="B709" s="137">
        <v>0.70399999999999996</v>
      </c>
      <c r="C709" s="138" cm="1">
        <f t="array" ref="C709">ad(B709)</f>
        <v>0.75234302377552997</v>
      </c>
      <c r="D709" s="7"/>
      <c r="E709" s="27"/>
      <c r="F709" s="27"/>
      <c r="G709" s="7"/>
      <c r="H709" s="28"/>
      <c r="I709" s="28"/>
      <c r="J709" s="28"/>
      <c r="K709" s="28"/>
    </row>
    <row r="710" spans="2:11" x14ac:dyDescent="0.25">
      <c r="B710" s="137">
        <v>0.70499999999999996</v>
      </c>
      <c r="C710" s="138" cm="1">
        <f t="array" ref="C710">ad(B710)</f>
        <v>0.75350489835852485</v>
      </c>
      <c r="D710" s="7"/>
      <c r="E710" s="27"/>
      <c r="F710" s="27"/>
      <c r="G710" s="7"/>
      <c r="H710" s="28"/>
      <c r="I710" s="28"/>
      <c r="J710" s="28"/>
      <c r="K710" s="28"/>
    </row>
    <row r="711" spans="2:11" x14ac:dyDescent="0.25">
      <c r="B711" s="137">
        <v>0.70599999999999996</v>
      </c>
      <c r="C711" s="138" cm="1">
        <f t="array" ref="C711">ad(B711)</f>
        <v>0.75466562824849492</v>
      </c>
      <c r="D711" s="7"/>
      <c r="E711" s="27"/>
      <c r="F711" s="27"/>
      <c r="G711" s="7"/>
      <c r="H711" s="28"/>
      <c r="I711" s="28"/>
      <c r="J711" s="28"/>
      <c r="K711" s="28"/>
    </row>
    <row r="712" spans="2:11" x14ac:dyDescent="0.25">
      <c r="B712" s="137">
        <v>0.70699999999999996</v>
      </c>
      <c r="C712" s="138" cm="1">
        <f t="array" ref="C712">ad(B712)</f>
        <v>0.75582520672328979</v>
      </c>
      <c r="D712" s="7"/>
      <c r="E712" s="27"/>
      <c r="F712" s="27"/>
      <c r="G712" s="7"/>
      <c r="H712" s="28"/>
      <c r="I712" s="28"/>
      <c r="J712" s="28"/>
      <c r="K712" s="28"/>
    </row>
    <row r="713" spans="2:11" x14ac:dyDescent="0.25">
      <c r="B713" s="137">
        <v>0.70799999999999996</v>
      </c>
      <c r="C713" s="138" cm="1">
        <f t="array" ref="C713">ad(B713)</f>
        <v>0.75698362704071465</v>
      </c>
      <c r="D713" s="7"/>
      <c r="E713" s="27"/>
      <c r="F713" s="27"/>
      <c r="G713" s="7"/>
      <c r="H713" s="28"/>
      <c r="I713" s="28"/>
      <c r="J713" s="28"/>
      <c r="K713" s="28"/>
    </row>
    <row r="714" spans="2:11" x14ac:dyDescent="0.25">
      <c r="B714" s="137">
        <v>0.70899999999999996</v>
      </c>
      <c r="C714" s="138" cm="1">
        <f t="array" ref="C714">ad(B714)</f>
        <v>0.758140882438332</v>
      </c>
      <c r="D714" s="7"/>
      <c r="E714" s="27"/>
      <c r="F714" s="27"/>
      <c r="G714" s="7"/>
      <c r="H714" s="28"/>
      <c r="I714" s="28"/>
      <c r="J714" s="28"/>
      <c r="K714" s="28"/>
    </row>
    <row r="715" spans="2:11" x14ac:dyDescent="0.25">
      <c r="B715" s="137">
        <v>0.71</v>
      </c>
      <c r="C715" s="138" cm="1">
        <f t="array" ref="C715">ad(B715)</f>
        <v>0.75929696613326192</v>
      </c>
      <c r="D715" s="7"/>
      <c r="E715" s="27"/>
      <c r="F715" s="27"/>
      <c r="G715" s="7"/>
      <c r="H715" s="28"/>
      <c r="I715" s="28"/>
      <c r="J715" s="28"/>
      <c r="K715" s="28"/>
    </row>
    <row r="716" spans="2:11" x14ac:dyDescent="0.25">
      <c r="B716" s="137">
        <v>0.71099999999999997</v>
      </c>
      <c r="C716" s="138" cm="1">
        <f t="array" ref="C716">ad(B716)</f>
        <v>0.76045187132198011</v>
      </c>
      <c r="D716" s="7"/>
      <c r="E716" s="27"/>
      <c r="F716" s="27"/>
      <c r="G716" s="7"/>
      <c r="H716" s="28"/>
      <c r="I716" s="28"/>
      <c r="J716" s="28"/>
      <c r="K716" s="28"/>
    </row>
    <row r="717" spans="2:11" x14ac:dyDescent="0.25">
      <c r="B717" s="137">
        <v>0.71199999999999997</v>
      </c>
      <c r="C717" s="138" cm="1">
        <f t="array" ref="C717">ad(B717)</f>
        <v>0.76160559118011306</v>
      </c>
      <c r="D717" s="7"/>
      <c r="E717" s="27"/>
      <c r="F717" s="27"/>
      <c r="G717" s="7"/>
      <c r="H717" s="28"/>
      <c r="I717" s="28"/>
      <c r="J717" s="28"/>
      <c r="K717" s="28"/>
    </row>
    <row r="718" spans="2:11" x14ac:dyDescent="0.25">
      <c r="B718" s="137">
        <v>0.71299999999999997</v>
      </c>
      <c r="C718" s="138" cm="1">
        <f t="array" ref="C718">ad(B718)</f>
        <v>0.76275811886223122</v>
      </c>
      <c r="D718" s="7"/>
      <c r="E718" s="27"/>
      <c r="F718" s="27"/>
      <c r="G718" s="7"/>
      <c r="H718" s="28"/>
      <c r="I718" s="28"/>
      <c r="J718" s="28"/>
      <c r="K718" s="28"/>
    </row>
    <row r="719" spans="2:11" x14ac:dyDescent="0.25">
      <c r="B719" s="137">
        <v>0.71399999999999997</v>
      </c>
      <c r="C719" s="138" cm="1">
        <f t="array" ref="C719">ad(B719)</f>
        <v>0.76390944750164025</v>
      </c>
      <c r="D719" s="7"/>
      <c r="E719" s="27"/>
      <c r="F719" s="27"/>
      <c r="G719" s="7"/>
      <c r="H719" s="28"/>
      <c r="I719" s="28"/>
      <c r="J719" s="28"/>
      <c r="K719" s="28"/>
    </row>
    <row r="720" spans="2:11" x14ac:dyDescent="0.25">
      <c r="B720" s="137">
        <v>0.71499999999999997</v>
      </c>
      <c r="C720" s="138" cm="1">
        <f t="array" ref="C720">ad(B720)</f>
        <v>0.76505957021016946</v>
      </c>
      <c r="D720" s="7"/>
      <c r="E720" s="27"/>
      <c r="F720" s="27"/>
      <c r="G720" s="7"/>
      <c r="H720" s="28"/>
      <c r="I720" s="28"/>
      <c r="J720" s="28"/>
      <c r="K720" s="28"/>
    </row>
    <row r="721" spans="2:11" x14ac:dyDescent="0.25">
      <c r="B721" s="137">
        <v>0.71599999999999997</v>
      </c>
      <c r="C721" s="138" cm="1">
        <f t="array" ref="C721">ad(B721)</f>
        <v>0.76620848007795783</v>
      </c>
      <c r="D721" s="7"/>
      <c r="E721" s="27"/>
      <c r="F721" s="27"/>
      <c r="G721" s="7"/>
      <c r="H721" s="28"/>
      <c r="I721" s="28"/>
      <c r="J721" s="28"/>
      <c r="K721" s="28"/>
    </row>
    <row r="722" spans="2:11" x14ac:dyDescent="0.25">
      <c r="B722" s="137">
        <v>0.71699999999999997</v>
      </c>
      <c r="C722" s="138" cm="1">
        <f t="array" ref="C722">ad(B722)</f>
        <v>0.76735617017323832</v>
      </c>
      <c r="D722" s="7"/>
      <c r="E722" s="27"/>
      <c r="F722" s="27"/>
      <c r="G722" s="7"/>
      <c r="H722" s="28"/>
      <c r="I722" s="28"/>
      <c r="J722" s="28"/>
      <c r="K722" s="28"/>
    </row>
    <row r="723" spans="2:11" x14ac:dyDescent="0.25">
      <c r="B723" s="137">
        <v>0.71799999999999997</v>
      </c>
      <c r="C723" s="138" cm="1">
        <f t="array" ref="C723">ad(B723)</f>
        <v>0.76850263354211845</v>
      </c>
      <c r="D723" s="7"/>
      <c r="E723" s="27"/>
      <c r="F723" s="27"/>
      <c r="G723" s="7"/>
      <c r="H723" s="28"/>
      <c r="I723" s="28"/>
      <c r="J723" s="28"/>
      <c r="K723" s="28"/>
    </row>
    <row r="724" spans="2:11" x14ac:dyDescent="0.25">
      <c r="B724" s="137">
        <v>0.71899999999999997</v>
      </c>
      <c r="C724" s="138" cm="1">
        <f t="array" ref="C724">ad(B724)</f>
        <v>0.76964786320835965</v>
      </c>
      <c r="D724" s="7"/>
      <c r="E724" s="27"/>
      <c r="F724" s="27"/>
      <c r="G724" s="7"/>
      <c r="H724" s="28"/>
      <c r="I724" s="28"/>
      <c r="J724" s="28"/>
      <c r="K724" s="28"/>
    </row>
    <row r="725" spans="2:11" x14ac:dyDescent="0.25">
      <c r="B725" s="137">
        <v>0.72</v>
      </c>
      <c r="C725" s="138" cm="1">
        <f t="array" ref="C725">ad(B725)</f>
        <v>0.77079185217315327</v>
      </c>
      <c r="D725" s="7"/>
      <c r="E725" s="27"/>
      <c r="F725" s="27"/>
      <c r="G725" s="7"/>
      <c r="H725" s="28"/>
      <c r="I725" s="28"/>
      <c r="J725" s="28"/>
      <c r="K725" s="28"/>
    </row>
    <row r="726" spans="2:11" x14ac:dyDescent="0.25">
      <c r="B726" s="137">
        <v>0.72099999999999997</v>
      </c>
      <c r="C726" s="138" cm="1">
        <f t="array" ref="C726">ad(B726)</f>
        <v>0.77193459341489412</v>
      </c>
      <c r="D726" s="7"/>
      <c r="E726" s="27"/>
      <c r="F726" s="27"/>
      <c r="G726" s="7"/>
      <c r="H726" s="28"/>
      <c r="I726" s="28"/>
      <c r="J726" s="28"/>
      <c r="K726" s="28"/>
    </row>
    <row r="727" spans="2:11" x14ac:dyDescent="0.25">
      <c r="B727" s="137">
        <v>0.72199999999999998</v>
      </c>
      <c r="C727" s="138" cm="1">
        <f t="array" ref="C727">ad(B727)</f>
        <v>0.77307607988895199</v>
      </c>
      <c r="D727" s="7"/>
      <c r="E727" s="27"/>
      <c r="F727" s="27"/>
      <c r="G727" s="7"/>
      <c r="H727" s="28"/>
      <c r="I727" s="28"/>
      <c r="J727" s="28"/>
      <c r="K727" s="28"/>
    </row>
    <row r="728" spans="2:11" x14ac:dyDescent="0.25">
      <c r="B728" s="137">
        <v>0.72299999999999998</v>
      </c>
      <c r="C728" s="138" cm="1">
        <f t="array" ref="C728">ad(B728)</f>
        <v>0.77421630452743939</v>
      </c>
      <c r="D728" s="7"/>
      <c r="E728" s="27"/>
      <c r="F728" s="27"/>
      <c r="G728" s="7"/>
      <c r="H728" s="28"/>
      <c r="I728" s="28"/>
      <c r="J728" s="28"/>
      <c r="K728" s="28"/>
    </row>
    <row r="729" spans="2:11" x14ac:dyDescent="0.25">
      <c r="B729" s="137">
        <v>0.72399999999999998</v>
      </c>
      <c r="C729" s="138" cm="1">
        <f t="array" ref="C729">ad(B729)</f>
        <v>0.77535526023897772</v>
      </c>
      <c r="D729" s="7"/>
      <c r="E729" s="27"/>
      <c r="F729" s="27"/>
      <c r="G729" s="7"/>
      <c r="H729" s="28"/>
      <c r="I729" s="28"/>
      <c r="J729" s="28"/>
      <c r="K729" s="28"/>
    </row>
    <row r="730" spans="2:11" x14ac:dyDescent="0.25">
      <c r="B730" s="137">
        <v>0.72499999999999998</v>
      </c>
      <c r="C730" s="138" cm="1">
        <f t="array" ref="C730">ad(B730)</f>
        <v>0.77649293990845958</v>
      </c>
      <c r="D730" s="7"/>
      <c r="E730" s="27"/>
      <c r="F730" s="27"/>
      <c r="G730" s="7"/>
      <c r="H730" s="28"/>
      <c r="I730" s="28"/>
      <c r="J730" s="28"/>
      <c r="K730" s="28"/>
    </row>
    <row r="731" spans="2:11" x14ac:dyDescent="0.25">
      <c r="B731" s="137">
        <v>0.72599999999999998</v>
      </c>
      <c r="C731" s="138" cm="1">
        <f t="array" ref="C731">ad(B731)</f>
        <v>0.77762933639680953</v>
      </c>
      <c r="D731" s="7"/>
      <c r="E731" s="27"/>
      <c r="F731" s="27"/>
      <c r="G731" s="7"/>
      <c r="H731" s="28"/>
      <c r="I731" s="28"/>
      <c r="J731" s="28"/>
      <c r="K731" s="28"/>
    </row>
    <row r="732" spans="2:11" x14ac:dyDescent="0.25">
      <c r="B732" s="137">
        <v>0.72699999999999998</v>
      </c>
      <c r="C732" s="138" cm="1">
        <f t="array" ref="C732">ad(B732)</f>
        <v>0.77876444254074095</v>
      </c>
      <c r="D732" s="7"/>
      <c r="E732" s="27"/>
      <c r="F732" s="27"/>
      <c r="G732" s="7"/>
      <c r="H732" s="28"/>
      <c r="I732" s="28"/>
      <c r="J732" s="28"/>
      <c r="K732" s="28"/>
    </row>
    <row r="733" spans="2:11" x14ac:dyDescent="0.25">
      <c r="B733" s="137">
        <v>0.72799999999999998</v>
      </c>
      <c r="C733" s="138" cm="1">
        <f t="array" ref="C733">ad(B733)</f>
        <v>0.77989825115250999</v>
      </c>
      <c r="D733" s="7"/>
      <c r="E733" s="27"/>
      <c r="F733" s="27"/>
      <c r="G733" s="7"/>
      <c r="H733" s="28"/>
      <c r="I733" s="28"/>
      <c r="J733" s="28"/>
      <c r="K733" s="28"/>
    </row>
    <row r="734" spans="2:11" x14ac:dyDescent="0.25">
      <c r="B734" s="137">
        <v>0.72899999999999998</v>
      </c>
      <c r="C734" s="138" cm="1">
        <f t="array" ref="C734">ad(B734)</f>
        <v>0.78103075501966768</v>
      </c>
      <c r="D734" s="7"/>
      <c r="E734" s="27"/>
      <c r="F734" s="27"/>
      <c r="G734" s="7"/>
      <c r="H734" s="28"/>
      <c r="I734" s="28"/>
      <c r="J734" s="28"/>
      <c r="K734" s="28"/>
    </row>
    <row r="735" spans="2:11" x14ac:dyDescent="0.25">
      <c r="B735" s="137">
        <v>0.73</v>
      </c>
      <c r="C735" s="138" cm="1">
        <f t="array" ref="C735">ad(B735)</f>
        <v>0.78216194690480789</v>
      </c>
      <c r="D735" s="7"/>
      <c r="E735" s="27"/>
      <c r="F735" s="27"/>
      <c r="G735" s="7"/>
      <c r="H735" s="28"/>
      <c r="I735" s="28"/>
      <c r="J735" s="28"/>
      <c r="K735" s="28"/>
    </row>
    <row r="736" spans="2:11" x14ac:dyDescent="0.25">
      <c r="B736" s="137">
        <v>0.73099999999999998</v>
      </c>
      <c r="C736" s="138" cm="1">
        <f t="array" ref="C736">ad(B736)</f>
        <v>0.78329181954531246</v>
      </c>
      <c r="D736" s="7"/>
      <c r="E736" s="27"/>
      <c r="F736" s="27"/>
      <c r="G736" s="7"/>
      <c r="H736" s="28"/>
      <c r="I736" s="28"/>
      <c r="J736" s="28"/>
      <c r="K736" s="28"/>
    </row>
    <row r="737" spans="2:11" x14ac:dyDescent="0.25">
      <c r="B737" s="137">
        <v>0.73199999999999998</v>
      </c>
      <c r="C737" s="138" cm="1">
        <f t="array" ref="C737">ad(B737)</f>
        <v>0.78442036565309392</v>
      </c>
      <c r="D737" s="7"/>
      <c r="E737" s="27"/>
      <c r="F737" s="27"/>
      <c r="G737" s="7"/>
      <c r="H737" s="28"/>
      <c r="I737" s="28"/>
      <c r="J737" s="28"/>
      <c r="K737" s="28"/>
    </row>
    <row r="738" spans="2:11" x14ac:dyDescent="0.25">
      <c r="B738" s="137">
        <v>0.73299999999999998</v>
      </c>
      <c r="C738" s="138" cm="1">
        <f t="array" ref="C738">ad(B738)</f>
        <v>0.78554757791433427</v>
      </c>
      <c r="D738" s="7"/>
      <c r="E738" s="27"/>
      <c r="F738" s="27"/>
      <c r="G738" s="7"/>
      <c r="H738" s="28"/>
      <c r="I738" s="28"/>
      <c r="J738" s="28"/>
      <c r="K738" s="28"/>
    </row>
    <row r="739" spans="2:11" x14ac:dyDescent="0.25">
      <c r="B739" s="137">
        <v>0.73399999999999999</v>
      </c>
      <c r="C739" s="138" cm="1">
        <f t="array" ref="C739">ad(B739)</f>
        <v>0.78667344898922076</v>
      </c>
      <c r="D739" s="7"/>
      <c r="E739" s="27"/>
      <c r="F739" s="27"/>
      <c r="G739" s="7"/>
      <c r="H739" s="28"/>
      <c r="I739" s="28"/>
      <c r="J739" s="28"/>
      <c r="K739" s="28"/>
    </row>
    <row r="740" spans="2:11" x14ac:dyDescent="0.25">
      <c r="B740" s="137">
        <v>0.73499999999999999</v>
      </c>
      <c r="C740" s="138" cm="1">
        <f t="array" ref="C740">ad(B740)</f>
        <v>0.78779797151167852</v>
      </c>
      <c r="D740" s="7"/>
      <c r="E740" s="27"/>
      <c r="F740" s="27"/>
      <c r="G740" s="7"/>
      <c r="H740" s="28"/>
      <c r="I740" s="28"/>
      <c r="J740" s="28"/>
      <c r="K740" s="28"/>
    </row>
    <row r="741" spans="2:11" x14ac:dyDescent="0.25">
      <c r="B741" s="137">
        <v>0.73599999999999999</v>
      </c>
      <c r="C741" s="138" cm="1">
        <f t="array" ref="C741">ad(B741)</f>
        <v>0.78892113808910036</v>
      </c>
      <c r="D741" s="7"/>
      <c r="E741" s="27"/>
      <c r="F741" s="27"/>
      <c r="G741" s="7"/>
      <c r="H741" s="28"/>
      <c r="I741" s="28"/>
      <c r="J741" s="28"/>
      <c r="K741" s="28"/>
    </row>
    <row r="742" spans="2:11" x14ac:dyDescent="0.25">
      <c r="B742" s="137">
        <v>0.73699999999999999</v>
      </c>
      <c r="C742" s="138" cm="1">
        <f t="array" ref="C742">ad(B742)</f>
        <v>0.79004294130207176</v>
      </c>
      <c r="D742" s="7"/>
      <c r="E742" s="27"/>
      <c r="F742" s="27"/>
      <c r="G742" s="7"/>
      <c r="H742" s="28"/>
      <c r="I742" s="28"/>
      <c r="J742" s="28"/>
      <c r="K742" s="28"/>
    </row>
    <row r="743" spans="2:11" x14ac:dyDescent="0.25">
      <c r="B743" s="137">
        <v>0.73799999999999999</v>
      </c>
      <c r="C743" s="138" cm="1">
        <f t="array" ref="C743">ad(B743)</f>
        <v>0.79116337370409406</v>
      </c>
      <c r="D743" s="7"/>
      <c r="E743" s="27"/>
      <c r="F743" s="27"/>
      <c r="G743" s="7"/>
      <c r="H743" s="28"/>
      <c r="I743" s="28"/>
      <c r="J743" s="28"/>
      <c r="K743" s="28"/>
    </row>
    <row r="744" spans="2:11" x14ac:dyDescent="0.25">
      <c r="B744" s="137">
        <v>0.73899999999999999</v>
      </c>
      <c r="C744" s="138" cm="1">
        <f t="array" ref="C744">ad(B744)</f>
        <v>0.79228242782130331</v>
      </c>
      <c r="D744" s="7"/>
      <c r="E744" s="27"/>
      <c r="F744" s="27"/>
      <c r="G744" s="7"/>
      <c r="H744" s="28"/>
      <c r="I744" s="28"/>
      <c r="J744" s="28"/>
      <c r="K744" s="28"/>
    </row>
    <row r="745" spans="2:11" x14ac:dyDescent="0.25">
      <c r="B745" s="137">
        <v>0.74</v>
      </c>
      <c r="C745" s="138" cm="1">
        <f t="array" ref="C745">ad(B745)</f>
        <v>0.79340009615218565</v>
      </c>
      <c r="D745" s="7"/>
      <c r="E745" s="27"/>
      <c r="F745" s="27"/>
      <c r="G745" s="7"/>
      <c r="H745" s="28"/>
      <c r="I745" s="28"/>
      <c r="J745" s="28"/>
      <c r="K745" s="28"/>
    </row>
    <row r="746" spans="2:11" x14ac:dyDescent="0.25">
      <c r="B746" s="137">
        <v>0.74099999999999999</v>
      </c>
      <c r="C746" s="138" cm="1">
        <f t="array" ref="C746">ad(B746)</f>
        <v>0.7945163711672889</v>
      </c>
      <c r="D746" s="7"/>
      <c r="E746" s="27"/>
      <c r="F746" s="27"/>
      <c r="G746" s="7"/>
      <c r="H746" s="28"/>
      <c r="I746" s="28"/>
      <c r="J746" s="28"/>
      <c r="K746" s="28"/>
    </row>
    <row r="747" spans="2:11" x14ac:dyDescent="0.25">
      <c r="B747" s="137">
        <v>0.74199999999999999</v>
      </c>
      <c r="C747" s="138" cm="1">
        <f t="array" ref="C747">ad(B747)</f>
        <v>0.79563124530893148</v>
      </c>
      <c r="D747" s="7"/>
      <c r="E747" s="27"/>
      <c r="F747" s="27"/>
      <c r="G747" s="7"/>
      <c r="H747" s="28"/>
      <c r="I747" s="28"/>
      <c r="J747" s="28"/>
      <c r="K747" s="28"/>
    </row>
    <row r="748" spans="2:11" x14ac:dyDescent="0.25">
      <c r="B748" s="137">
        <v>0.74299999999999999</v>
      </c>
      <c r="C748" s="138" cm="1">
        <f t="array" ref="C748">ad(B748)</f>
        <v>0.79674471099090571</v>
      </c>
      <c r="D748" s="7"/>
      <c r="E748" s="27"/>
      <c r="F748" s="27"/>
      <c r="G748" s="7"/>
      <c r="H748" s="28"/>
      <c r="I748" s="28"/>
      <c r="J748" s="28"/>
      <c r="K748" s="28"/>
    </row>
    <row r="749" spans="2:11" x14ac:dyDescent="0.25">
      <c r="B749" s="137">
        <v>0.74399999999999999</v>
      </c>
      <c r="C749" s="138" cm="1">
        <f t="array" ref="C749">ad(B749)</f>
        <v>0.79785676059817945</v>
      </c>
      <c r="D749" s="7"/>
      <c r="E749" s="27"/>
      <c r="F749" s="27"/>
      <c r="G749" s="7"/>
      <c r="H749" s="28"/>
      <c r="I749" s="28"/>
      <c r="J749" s="28"/>
      <c r="K749" s="28"/>
    </row>
    <row r="750" spans="2:11" x14ac:dyDescent="0.25">
      <c r="B750" s="137">
        <v>0.745</v>
      </c>
      <c r="C750" s="138" cm="1">
        <f t="array" ref="C750">ad(B750)</f>
        <v>0.79896738648659238</v>
      </c>
      <c r="D750" s="7"/>
      <c r="E750" s="27"/>
      <c r="F750" s="27"/>
      <c r="G750" s="7"/>
      <c r="H750" s="28"/>
      <c r="I750" s="28"/>
      <c r="J750" s="28"/>
      <c r="K750" s="28"/>
    </row>
    <row r="751" spans="2:11" x14ac:dyDescent="0.25">
      <c r="B751" s="137">
        <v>0.746</v>
      </c>
      <c r="C751" s="138" cm="1">
        <f t="array" ref="C751">ad(B751)</f>
        <v>0.80007658098254852</v>
      </c>
      <c r="D751" s="7"/>
      <c r="E751" s="27"/>
      <c r="F751" s="27"/>
      <c r="G751" s="7"/>
      <c r="H751" s="28"/>
      <c r="I751" s="28"/>
      <c r="J751" s="28"/>
      <c r="K751" s="28"/>
    </row>
    <row r="752" spans="2:11" x14ac:dyDescent="0.25">
      <c r="B752" s="137">
        <v>0.747</v>
      </c>
      <c r="C752" s="138" cm="1">
        <f t="array" ref="C752">ad(B752)</f>
        <v>0.80118433638270603</v>
      </c>
      <c r="D752" s="7"/>
      <c r="E752" s="27"/>
      <c r="F752" s="27"/>
      <c r="G752" s="7"/>
      <c r="H752" s="28"/>
      <c r="I752" s="28"/>
      <c r="J752" s="28"/>
      <c r="K752" s="28"/>
    </row>
    <row r="753" spans="2:11" x14ac:dyDescent="0.25">
      <c r="B753" s="137">
        <v>0.748</v>
      </c>
      <c r="C753" s="138" cm="1">
        <f t="array" ref="C753">ad(B753)</f>
        <v>0.80229064495366054</v>
      </c>
      <c r="D753" s="7"/>
      <c r="E753" s="27"/>
      <c r="F753" s="27"/>
      <c r="G753" s="7"/>
      <c r="H753" s="28"/>
      <c r="I753" s="28"/>
      <c r="J753" s="28"/>
      <c r="K753" s="28"/>
    </row>
    <row r="754" spans="2:11" x14ac:dyDescent="0.25">
      <c r="B754" s="137">
        <v>0.749</v>
      </c>
      <c r="C754" s="138" cm="1">
        <f t="array" ref="C754">ad(B754)</f>
        <v>0.80339549893162676</v>
      </c>
      <c r="D754" s="7"/>
      <c r="E754" s="27"/>
      <c r="F754" s="27"/>
      <c r="G754" s="7"/>
      <c r="H754" s="28"/>
      <c r="I754" s="28"/>
      <c r="J754" s="28"/>
      <c r="K754" s="28"/>
    </row>
    <row r="755" spans="2:11" x14ac:dyDescent="0.25">
      <c r="B755" s="137">
        <v>0.75</v>
      </c>
      <c r="C755" s="138" cm="1">
        <f t="array" ref="C755">ad(B755)</f>
        <v>0.80449889052211465</v>
      </c>
      <c r="D755" s="7"/>
      <c r="E755" s="27"/>
      <c r="F755" s="27"/>
      <c r="G755" s="7"/>
      <c r="H755" s="28"/>
      <c r="I755" s="28"/>
      <c r="J755" s="28"/>
      <c r="K755" s="28"/>
    </row>
    <row r="756" spans="2:11" x14ac:dyDescent="0.25">
      <c r="B756" s="137">
        <v>0.751</v>
      </c>
      <c r="C756" s="138" cm="1">
        <f t="array" ref="C756">ad(B756)</f>
        <v>0.80560081189960109</v>
      </c>
      <c r="D756" s="7"/>
      <c r="E756" s="27"/>
      <c r="F756" s="27"/>
      <c r="G756" s="7"/>
      <c r="H756" s="28"/>
      <c r="I756" s="28"/>
      <c r="J756" s="28"/>
      <c r="K756" s="28"/>
    </row>
    <row r="757" spans="2:11" x14ac:dyDescent="0.25">
      <c r="B757" s="137">
        <v>0.752</v>
      </c>
      <c r="C757" s="138" cm="1">
        <f t="array" ref="C757">ad(B757)</f>
        <v>0.8067012552071976</v>
      </c>
      <c r="D757" s="7"/>
      <c r="E757" s="27"/>
      <c r="F757" s="27"/>
      <c r="G757" s="7"/>
      <c r="H757" s="28"/>
      <c r="I757" s="28"/>
      <c r="J757" s="28"/>
      <c r="K757" s="28"/>
    </row>
    <row r="758" spans="2:11" x14ac:dyDescent="0.25">
      <c r="B758" s="137">
        <v>0.753</v>
      </c>
      <c r="C758" s="138" cm="1">
        <f t="array" ref="C758">ad(B758)</f>
        <v>0.80780021255631385</v>
      </c>
      <c r="D758" s="7"/>
      <c r="E758" s="27"/>
      <c r="F758" s="27"/>
      <c r="G758" s="7"/>
      <c r="H758" s="28"/>
      <c r="I758" s="28"/>
      <c r="J758" s="28"/>
      <c r="K758" s="28"/>
    </row>
    <row r="759" spans="2:11" x14ac:dyDescent="0.25">
      <c r="B759" s="137">
        <v>0.754</v>
      </c>
      <c r="C759" s="138" cm="1">
        <f t="array" ref="C759">ad(B759)</f>
        <v>0.80889767602631624</v>
      </c>
      <c r="D759" s="7"/>
      <c r="E759" s="27"/>
      <c r="F759" s="27"/>
      <c r="G759" s="7"/>
      <c r="H759" s="28"/>
      <c r="I759" s="28"/>
      <c r="J759" s="28"/>
      <c r="K759" s="28"/>
    </row>
    <row r="760" spans="2:11" x14ac:dyDescent="0.25">
      <c r="B760" s="137">
        <v>0.755</v>
      </c>
      <c r="C760" s="138" cm="1">
        <f t="array" ref="C760">ad(B760)</f>
        <v>0.80999363766418153</v>
      </c>
      <c r="D760" s="7"/>
      <c r="E760" s="27"/>
      <c r="F760" s="27"/>
      <c r="G760" s="7"/>
      <c r="H760" s="28"/>
      <c r="I760" s="28"/>
      <c r="J760" s="28"/>
      <c r="K760" s="28"/>
    </row>
    <row r="761" spans="2:11" x14ac:dyDescent="0.25">
      <c r="B761" s="137">
        <v>0.75600000000000001</v>
      </c>
      <c r="C761" s="138" cm="1">
        <f t="array" ref="C761">ad(B761)</f>
        <v>0.81108808948414635</v>
      </c>
      <c r="D761" s="7"/>
      <c r="E761" s="27"/>
      <c r="F761" s="27"/>
      <c r="G761" s="7"/>
      <c r="H761" s="28"/>
      <c r="I761" s="28"/>
      <c r="J761" s="28"/>
      <c r="K761" s="28"/>
    </row>
    <row r="762" spans="2:11" x14ac:dyDescent="0.25">
      <c r="B762" s="137">
        <v>0.75700000000000001</v>
      </c>
      <c r="C762" s="138" cm="1">
        <f t="array" ref="C762">ad(B762)</f>
        <v>0.81218102346735221</v>
      </c>
      <c r="D762" s="7"/>
      <c r="E762" s="27"/>
      <c r="F762" s="27"/>
      <c r="G762" s="7"/>
      <c r="H762" s="28"/>
      <c r="I762" s="28"/>
      <c r="J762" s="28"/>
      <c r="K762" s="28"/>
    </row>
    <row r="763" spans="2:11" x14ac:dyDescent="0.25">
      <c r="B763" s="137">
        <v>0.75800000000000001</v>
      </c>
      <c r="C763" s="138" cm="1">
        <f t="array" ref="C763">ad(B763)</f>
        <v>0.81327243156148432</v>
      </c>
      <c r="D763" s="7"/>
      <c r="E763" s="27"/>
      <c r="F763" s="27"/>
      <c r="G763" s="7"/>
      <c r="H763" s="28"/>
      <c r="I763" s="28"/>
      <c r="J763" s="28"/>
      <c r="K763" s="28"/>
    </row>
    <row r="764" spans="2:11" x14ac:dyDescent="0.25">
      <c r="B764" s="137">
        <v>0.75900000000000001</v>
      </c>
      <c r="C764" s="138" cm="1">
        <f t="array" ref="C764">ad(B764)</f>
        <v>0.81436230568040657</v>
      </c>
      <c r="D764" s="7"/>
      <c r="E764" s="27"/>
      <c r="F764" s="27"/>
      <c r="G764" s="7"/>
      <c r="H764" s="28"/>
      <c r="I764" s="28"/>
      <c r="J764" s="28"/>
      <c r="K764" s="28"/>
    </row>
    <row r="765" spans="2:11" x14ac:dyDescent="0.25">
      <c r="B765" s="137">
        <v>0.76</v>
      </c>
      <c r="C765" s="138" cm="1">
        <f t="array" ref="C765">ad(B765)</f>
        <v>0.81545063770379145</v>
      </c>
      <c r="D765" s="7"/>
      <c r="E765" s="27"/>
      <c r="F765" s="27"/>
      <c r="G765" s="7"/>
      <c r="H765" s="28"/>
      <c r="I765" s="28"/>
      <c r="J765" s="28"/>
      <c r="K765" s="28"/>
    </row>
    <row r="766" spans="2:11" x14ac:dyDescent="0.25">
      <c r="B766" s="137">
        <v>0.76100000000000001</v>
      </c>
      <c r="C766" s="138" cm="1">
        <f t="array" ref="C766">ad(B766)</f>
        <v>0.81653741947674408</v>
      </c>
      <c r="D766" s="7"/>
      <c r="E766" s="27"/>
      <c r="F766" s="27"/>
      <c r="G766" s="7"/>
      <c r="H766" s="28"/>
      <c r="I766" s="28"/>
      <c r="J766" s="28"/>
      <c r="K766" s="28"/>
    </row>
    <row r="767" spans="2:11" x14ac:dyDescent="0.25">
      <c r="B767" s="137">
        <v>0.76200000000000001</v>
      </c>
      <c r="C767" s="138" cm="1">
        <f t="array" ref="C767">ad(B767)</f>
        <v>0.81762264280942121</v>
      </c>
      <c r="D767" s="7"/>
      <c r="E767" s="27"/>
      <c r="F767" s="27"/>
      <c r="G767" s="7"/>
      <c r="H767" s="28"/>
      <c r="I767" s="28"/>
      <c r="J767" s="28"/>
      <c r="K767" s="28"/>
    </row>
    <row r="768" spans="2:11" x14ac:dyDescent="0.25">
      <c r="B768" s="137">
        <v>0.76300000000000001</v>
      </c>
      <c r="C768" s="138" cm="1">
        <f t="array" ref="C768">ad(B768)</f>
        <v>0.81870629947664564</v>
      </c>
      <c r="D768" s="7"/>
      <c r="E768" s="27"/>
      <c r="F768" s="27"/>
      <c r="G768" s="7"/>
      <c r="H768" s="28"/>
      <c r="I768" s="28"/>
      <c r="J768" s="28"/>
      <c r="K768" s="28"/>
    </row>
    <row r="769" spans="2:11" x14ac:dyDescent="0.25">
      <c r="B769" s="137">
        <v>0.76400000000000001</v>
      </c>
      <c r="C769" s="138" cm="1">
        <f t="array" ref="C769">ad(B769)</f>
        <v>0.81978838121751407</v>
      </c>
      <c r="D769" s="7"/>
      <c r="E769" s="27"/>
      <c r="F769" s="27"/>
      <c r="G769" s="7"/>
      <c r="H769" s="28"/>
      <c r="I769" s="28"/>
      <c r="J769" s="28"/>
      <c r="K769" s="28"/>
    </row>
    <row r="770" spans="2:11" x14ac:dyDescent="0.25">
      <c r="B770" s="137">
        <v>0.76500000000000001</v>
      </c>
      <c r="C770" s="138" cm="1">
        <f t="array" ref="C770">ad(B770)</f>
        <v>0.82086887973499989</v>
      </c>
      <c r="D770" s="7"/>
      <c r="E770" s="27"/>
      <c r="F770" s="27"/>
      <c r="G770" s="7"/>
      <c r="H770" s="28"/>
      <c r="I770" s="28"/>
      <c r="J770" s="28"/>
      <c r="K770" s="28"/>
    </row>
    <row r="771" spans="2:11" x14ac:dyDescent="0.25">
      <c r="B771" s="137">
        <v>0.76600000000000001</v>
      </c>
      <c r="C771" s="138" cm="1">
        <f t="array" ref="C771">ad(B771)</f>
        <v>0.82194778669555046</v>
      </c>
      <c r="D771" s="7"/>
      <c r="E771" s="27"/>
      <c r="F771" s="27"/>
      <c r="G771" s="7"/>
      <c r="H771" s="28"/>
      <c r="I771" s="28"/>
      <c r="J771" s="28"/>
      <c r="K771" s="28"/>
    </row>
    <row r="772" spans="2:11" x14ac:dyDescent="0.25">
      <c r="B772" s="137">
        <v>0.76700000000000002</v>
      </c>
      <c r="C772" s="138" cm="1">
        <f t="array" ref="C772">ad(B772)</f>
        <v>0.82302509372867827</v>
      </c>
      <c r="D772" s="7"/>
      <c r="E772" s="27"/>
      <c r="F772" s="27"/>
      <c r="G772" s="7"/>
      <c r="H772" s="28"/>
      <c r="I772" s="28"/>
      <c r="J772" s="28"/>
      <c r="K772" s="28"/>
    </row>
    <row r="773" spans="2:11" x14ac:dyDescent="0.25">
      <c r="B773" s="137">
        <v>0.76800000000000002</v>
      </c>
      <c r="C773" s="138" cm="1">
        <f t="array" ref="C773">ad(B773)</f>
        <v>0.82410079242654666</v>
      </c>
      <c r="D773" s="7"/>
      <c r="E773" s="27"/>
      <c r="F773" s="27"/>
      <c r="G773" s="7"/>
      <c r="H773" s="28"/>
      <c r="I773" s="28"/>
      <c r="J773" s="28"/>
      <c r="K773" s="28"/>
    </row>
    <row r="774" spans="2:11" x14ac:dyDescent="0.25">
      <c r="B774" s="137">
        <v>0.76900000000000002</v>
      </c>
      <c r="C774" s="138" cm="1">
        <f t="array" ref="C774">ad(B774)</f>
        <v>0.82517487434354897</v>
      </c>
      <c r="D774" s="7"/>
      <c r="E774" s="27"/>
      <c r="F774" s="27"/>
      <c r="G774" s="7"/>
      <c r="H774" s="28"/>
      <c r="I774" s="28"/>
      <c r="J774" s="28"/>
      <c r="K774" s="28"/>
    </row>
    <row r="775" spans="2:11" x14ac:dyDescent="0.25">
      <c r="B775" s="137">
        <v>0.77</v>
      </c>
      <c r="C775" s="138" cm="1">
        <f t="array" ref="C775">ad(B775)</f>
        <v>0.82624733099588177</v>
      </c>
      <c r="D775" s="7"/>
      <c r="E775" s="27"/>
      <c r="F775" s="27"/>
      <c r="G775" s="7"/>
      <c r="H775" s="28"/>
      <c r="I775" s="28"/>
      <c r="J775" s="28"/>
      <c r="K775" s="28"/>
    </row>
    <row r="776" spans="2:11" x14ac:dyDescent="0.25">
      <c r="B776" s="137">
        <v>0.77100000000000002</v>
      </c>
      <c r="C776" s="138" cm="1">
        <f t="array" ref="C776">ad(B776)</f>
        <v>0.82731815386111207</v>
      </c>
      <c r="D776" s="7"/>
      <c r="E776" s="27"/>
      <c r="F776" s="27"/>
      <c r="G776" s="7"/>
      <c r="H776" s="28"/>
      <c r="I776" s="28"/>
      <c r="J776" s="28"/>
      <c r="K776" s="28"/>
    </row>
    <row r="777" spans="2:11" x14ac:dyDescent="0.25">
      <c r="B777" s="137">
        <v>0.77200000000000002</v>
      </c>
      <c r="C777" s="138" cm="1">
        <f t="array" ref="C777">ad(B777)</f>
        <v>0.82838733437773826</v>
      </c>
      <c r="D777" s="7"/>
      <c r="E777" s="27"/>
      <c r="F777" s="27"/>
      <c r="G777" s="7"/>
      <c r="H777" s="28"/>
      <c r="I777" s="28"/>
      <c r="J777" s="28"/>
      <c r="K777" s="28"/>
    </row>
    <row r="778" spans="2:11" x14ac:dyDescent="0.25">
      <c r="B778" s="137">
        <v>0.77300000000000002</v>
      </c>
      <c r="C778" s="138" cm="1">
        <f t="array" ref="C778">ad(B778)</f>
        <v>0.82945486394474388</v>
      </c>
      <c r="D778" s="7"/>
      <c r="E778" s="27"/>
      <c r="F778" s="27"/>
      <c r="G778" s="7"/>
      <c r="H778" s="28"/>
      <c r="I778" s="28"/>
      <c r="J778" s="28"/>
      <c r="K778" s="28"/>
    </row>
    <row r="779" spans="2:11" x14ac:dyDescent="0.25">
      <c r="B779" s="137">
        <v>0.77400000000000002</v>
      </c>
      <c r="C779" s="138" cm="1">
        <f t="array" ref="C779">ad(B779)</f>
        <v>0.83052073392114556</v>
      </c>
      <c r="D779" s="7"/>
      <c r="E779" s="27"/>
      <c r="F779" s="27"/>
      <c r="G779" s="7"/>
      <c r="H779" s="28"/>
      <c r="I779" s="28"/>
      <c r="J779" s="28"/>
      <c r="K779" s="28"/>
    </row>
    <row r="780" spans="2:11" x14ac:dyDescent="0.25">
      <c r="B780" s="137">
        <v>0.77500000000000002</v>
      </c>
      <c r="C780" s="138" cm="1">
        <f t="array" ref="C780">ad(B780)</f>
        <v>0.83158493562553337</v>
      </c>
      <c r="D780" s="7"/>
      <c r="E780" s="27"/>
      <c r="F780" s="27"/>
      <c r="G780" s="7"/>
      <c r="H780" s="28"/>
      <c r="I780" s="28"/>
      <c r="J780" s="28"/>
      <c r="K780" s="28"/>
    </row>
    <row r="781" spans="2:11" x14ac:dyDescent="0.25">
      <c r="B781" s="137">
        <v>0.77600000000000002</v>
      </c>
      <c r="C781" s="138" cm="1">
        <f t="array" ref="C781">ad(B781)</f>
        <v>0.83264746033560577</v>
      </c>
      <c r="D781" s="7"/>
      <c r="E781" s="27"/>
      <c r="F781" s="27"/>
      <c r="G781" s="7"/>
      <c r="H781" s="28"/>
      <c r="I781" s="28"/>
      <c r="J781" s="28"/>
      <c r="K781" s="28"/>
    </row>
    <row r="782" spans="2:11" x14ac:dyDescent="0.25">
      <c r="B782" s="137">
        <v>0.77700000000000002</v>
      </c>
      <c r="C782" s="138" cm="1">
        <f t="array" ref="C782">ad(B782)</f>
        <v>0.83370829928769541</v>
      </c>
      <c r="D782" s="7"/>
      <c r="E782" s="27"/>
      <c r="F782" s="27"/>
      <c r="G782" s="7"/>
      <c r="H782" s="28"/>
      <c r="I782" s="28"/>
      <c r="J782" s="28"/>
      <c r="K782" s="28"/>
    </row>
    <row r="783" spans="2:11" x14ac:dyDescent="0.25">
      <c r="B783" s="137">
        <v>0.77800000000000002</v>
      </c>
      <c r="C783" s="138" cm="1">
        <f t="array" ref="C783">ad(B783)</f>
        <v>0.83476744367628952</v>
      </c>
      <c r="D783" s="7"/>
      <c r="E783" s="27"/>
      <c r="F783" s="27"/>
      <c r="G783" s="7"/>
      <c r="H783" s="28"/>
      <c r="I783" s="28"/>
      <c r="J783" s="28"/>
      <c r="K783" s="28"/>
    </row>
    <row r="784" spans="2:11" x14ac:dyDescent="0.25">
      <c r="B784" s="137">
        <v>0.77900000000000003</v>
      </c>
      <c r="C784" s="138" cm="1">
        <f t="array" ref="C784">ad(B784)</f>
        <v>0.83582488465354254</v>
      </c>
      <c r="D784" s="7"/>
      <c r="E784" s="27"/>
      <c r="F784" s="27"/>
      <c r="G784" s="7"/>
      <c r="H784" s="28"/>
      <c r="I784" s="28"/>
      <c r="J784" s="28"/>
      <c r="K784" s="28"/>
    </row>
    <row r="785" spans="2:11" x14ac:dyDescent="0.25">
      <c r="B785" s="137">
        <v>0.78</v>
      </c>
      <c r="C785" s="138" cm="1">
        <f t="array" ref="C785">ad(B785)</f>
        <v>0.83688061332878072</v>
      </c>
      <c r="D785" s="7"/>
      <c r="E785" s="27"/>
      <c r="F785" s="27"/>
      <c r="G785" s="7"/>
      <c r="H785" s="28"/>
      <c r="I785" s="28"/>
      <c r="J785" s="28"/>
      <c r="K785" s="28"/>
    </row>
    <row r="786" spans="2:11" x14ac:dyDescent="0.25">
      <c r="B786" s="137">
        <v>0.78100000000000003</v>
      </c>
      <c r="C786" s="138" cm="1">
        <f t="array" ref="C786">ad(B786)</f>
        <v>0.83793462076799974</v>
      </c>
      <c r="D786" s="7"/>
      <c r="E786" s="27"/>
      <c r="F786" s="27"/>
      <c r="G786" s="7"/>
      <c r="H786" s="28"/>
      <c r="I786" s="28"/>
      <c r="J786" s="28"/>
      <c r="K786" s="28"/>
    </row>
    <row r="787" spans="2:11" x14ac:dyDescent="0.25">
      <c r="B787" s="137">
        <v>0.78200000000000003</v>
      </c>
      <c r="C787" s="138" cm="1">
        <f t="array" ref="C787">ad(B787)</f>
        <v>0.83898689799335457</v>
      </c>
      <c r="D787" s="7"/>
      <c r="E787" s="27"/>
      <c r="F787" s="27"/>
      <c r="G787" s="7"/>
      <c r="H787" s="28"/>
      <c r="I787" s="28"/>
      <c r="J787" s="28"/>
      <c r="K787" s="28"/>
    </row>
    <row r="788" spans="2:11" x14ac:dyDescent="0.25">
      <c r="B788" s="137">
        <v>0.78300000000000003</v>
      </c>
      <c r="C788" s="138" cm="1">
        <f t="array" ref="C788">ad(B788)</f>
        <v>0.84003743598264113</v>
      </c>
      <c r="D788" s="7"/>
      <c r="E788" s="27"/>
      <c r="F788" s="27"/>
      <c r="G788" s="7"/>
      <c r="H788" s="28"/>
      <c r="I788" s="28"/>
      <c r="J788" s="28"/>
      <c r="K788" s="28"/>
    </row>
    <row r="789" spans="2:11" x14ac:dyDescent="0.25">
      <c r="B789" s="137">
        <v>0.78400000000000003</v>
      </c>
      <c r="C789" s="138" cm="1">
        <f t="array" ref="C789">ad(B789)</f>
        <v>0.84108622566876945</v>
      </c>
      <c r="D789" s="7"/>
      <c r="E789" s="27"/>
      <c r="F789" s="27"/>
      <c r="G789" s="7"/>
      <c r="H789" s="28"/>
      <c r="I789" s="28"/>
      <c r="J789" s="28"/>
      <c r="K789" s="28"/>
    </row>
    <row r="790" spans="2:11" x14ac:dyDescent="0.25">
      <c r="B790" s="137">
        <v>0.78500000000000003</v>
      </c>
      <c r="C790" s="138" cm="1">
        <f t="array" ref="C790">ad(B790)</f>
        <v>0.84213325793923</v>
      </c>
      <c r="D790" s="7"/>
      <c r="E790" s="27"/>
      <c r="F790" s="27"/>
      <c r="G790" s="7"/>
      <c r="H790" s="28"/>
      <c r="I790" s="28"/>
      <c r="J790" s="28"/>
      <c r="K790" s="28"/>
    </row>
    <row r="791" spans="2:11" x14ac:dyDescent="0.25">
      <c r="B791" s="137">
        <v>0.78600000000000003</v>
      </c>
      <c r="C791" s="138" cm="1">
        <f t="array" ref="C791">ad(B791)</f>
        <v>0.84317852363554979</v>
      </c>
      <c r="D791" s="7"/>
      <c r="E791" s="27"/>
      <c r="F791" s="27"/>
      <c r="G791" s="7"/>
      <c r="H791" s="28"/>
      <c r="I791" s="28"/>
      <c r="J791" s="28"/>
      <c r="K791" s="28"/>
    </row>
    <row r="792" spans="2:11" x14ac:dyDescent="0.25">
      <c r="B792" s="137">
        <v>0.78700000000000003</v>
      </c>
      <c r="C792" s="138" cm="1">
        <f t="array" ref="C792">ad(B792)</f>
        <v>0.84422201355274162</v>
      </c>
      <c r="D792" s="7"/>
      <c r="E792" s="27"/>
      <c r="F792" s="27"/>
      <c r="G792" s="7"/>
      <c r="H792" s="28"/>
      <c r="I792" s="28"/>
      <c r="J792" s="28"/>
      <c r="K792" s="28"/>
    </row>
    <row r="793" spans="2:11" x14ac:dyDescent="0.25">
      <c r="B793" s="137">
        <v>0.78800000000000003</v>
      </c>
      <c r="C793" s="138" cm="1">
        <f t="array" ref="C793">ad(B793)</f>
        <v>0.84526371843874304</v>
      </c>
      <c r="D793" s="7"/>
      <c r="E793" s="27"/>
      <c r="F793" s="27"/>
      <c r="G793" s="7"/>
      <c r="H793" s="28"/>
      <c r="I793" s="28"/>
      <c r="J793" s="28"/>
      <c r="K793" s="28"/>
    </row>
    <row r="794" spans="2:11" x14ac:dyDescent="0.25">
      <c r="B794" s="137">
        <v>0.78900000000000003</v>
      </c>
      <c r="C794" s="138" cm="1">
        <f t="array" ref="C794">ad(B794)</f>
        <v>0.84630362899384715</v>
      </c>
      <c r="D794" s="7"/>
      <c r="E794" s="27"/>
      <c r="F794" s="27"/>
      <c r="G794" s="7"/>
      <c r="H794" s="28"/>
      <c r="I794" s="28"/>
      <c r="J794" s="28"/>
      <c r="K794" s="28"/>
    </row>
    <row r="795" spans="2:11" x14ac:dyDescent="0.25">
      <c r="B795" s="137">
        <v>0.79</v>
      </c>
      <c r="C795" s="138" cm="1">
        <f t="array" ref="C795">ad(B795)</f>
        <v>0.8473417358701244</v>
      </c>
      <c r="D795" s="7"/>
      <c r="E795" s="27"/>
      <c r="F795" s="27"/>
      <c r="G795" s="7"/>
      <c r="H795" s="28"/>
      <c r="I795" s="28"/>
      <c r="J795" s="28"/>
      <c r="K795" s="28"/>
    </row>
    <row r="796" spans="2:11" x14ac:dyDescent="0.25">
      <c r="B796" s="137">
        <v>0.79100000000000004</v>
      </c>
      <c r="C796" s="138" cm="1">
        <f t="array" ref="C796">ad(B796)</f>
        <v>0.84837802967083475</v>
      </c>
      <c r="D796" s="7"/>
      <c r="E796" s="27"/>
      <c r="F796" s="27"/>
      <c r="G796" s="7"/>
      <c r="H796" s="28"/>
      <c r="I796" s="28"/>
      <c r="J796" s="28"/>
      <c r="K796" s="28"/>
    </row>
    <row r="797" spans="2:11" x14ac:dyDescent="0.25">
      <c r="B797" s="137">
        <v>0.79200000000000004</v>
      </c>
      <c r="C797" s="138" cm="1">
        <f t="array" ref="C797">ad(B797)</f>
        <v>0.84941250094982967</v>
      </c>
      <c r="D797" s="7"/>
      <c r="E797" s="27"/>
      <c r="F797" s="27"/>
      <c r="G797" s="7"/>
      <c r="H797" s="28"/>
      <c r="I797" s="28"/>
      <c r="J797" s="28"/>
      <c r="K797" s="28"/>
    </row>
    <row r="798" spans="2:11" x14ac:dyDescent="0.25">
      <c r="B798" s="137">
        <v>0.79300000000000004</v>
      </c>
      <c r="C798" s="138" cm="1">
        <f t="array" ref="C798">ad(B798)</f>
        <v>0.85044514021094575</v>
      </c>
      <c r="D798" s="7"/>
      <c r="E798" s="27"/>
      <c r="F798" s="27"/>
      <c r="G798" s="7"/>
      <c r="H798" s="28"/>
      <c r="I798" s="28"/>
      <c r="J798" s="28"/>
      <c r="K798" s="28"/>
    </row>
    <row r="799" spans="2:11" x14ac:dyDescent="0.25">
      <c r="B799" s="137">
        <v>0.79400000000000004</v>
      </c>
      <c r="C799" s="138" cm="1">
        <f t="array" ref="C799">ad(B799)</f>
        <v>0.85147593790738718</v>
      </c>
      <c r="D799" s="7"/>
      <c r="E799" s="27"/>
      <c r="F799" s="27"/>
      <c r="G799" s="7"/>
      <c r="H799" s="28"/>
      <c r="I799" s="28"/>
      <c r="J799" s="28"/>
      <c r="K799" s="28"/>
    </row>
    <row r="800" spans="2:11" x14ac:dyDescent="0.25">
      <c r="B800" s="137">
        <v>0.79500000000000004</v>
      </c>
      <c r="C800" s="138" cm="1">
        <f t="array" ref="C800">ad(B800)</f>
        <v>0.85250488444109873</v>
      </c>
      <c r="D800" s="7"/>
      <c r="E800" s="27"/>
      <c r="F800" s="27"/>
      <c r="G800" s="7"/>
      <c r="H800" s="28"/>
      <c r="I800" s="28"/>
      <c r="J800" s="28"/>
      <c r="K800" s="28"/>
    </row>
    <row r="801" spans="2:11" x14ac:dyDescent="0.25">
      <c r="B801" s="137">
        <v>0.79600000000000004</v>
      </c>
      <c r="C801" s="138" cm="1">
        <f t="array" ref="C801">ad(B801)</f>
        <v>0.85353197016212767</v>
      </c>
      <c r="D801" s="7"/>
      <c r="E801" s="27"/>
      <c r="F801" s="27"/>
      <c r="G801" s="7"/>
      <c r="H801" s="28"/>
      <c r="I801" s="28"/>
      <c r="J801" s="28"/>
      <c r="K801" s="28"/>
    </row>
    <row r="802" spans="2:11" x14ac:dyDescent="0.25">
      <c r="B802" s="137">
        <v>0.79700000000000004</v>
      </c>
      <c r="C802" s="138" cm="1">
        <f t="array" ref="C802">ad(B802)</f>
        <v>0.85455718536797609</v>
      </c>
      <c r="D802" s="7"/>
      <c r="E802" s="27"/>
      <c r="F802" s="27"/>
      <c r="G802" s="7"/>
      <c r="H802" s="28"/>
      <c r="I802" s="28"/>
      <c r="J802" s="28"/>
      <c r="K802" s="28"/>
    </row>
    <row r="803" spans="2:11" x14ac:dyDescent="0.25">
      <c r="B803" s="137">
        <v>0.79800000000000004</v>
      </c>
      <c r="C803" s="138" cm="1">
        <f t="array" ref="C803">ad(B803)</f>
        <v>0.85558052030294118</v>
      </c>
      <c r="D803" s="7"/>
      <c r="E803" s="27"/>
      <c r="F803" s="27"/>
      <c r="G803" s="7"/>
      <c r="H803" s="28"/>
      <c r="I803" s="28"/>
      <c r="J803" s="28"/>
      <c r="K803" s="28"/>
    </row>
    <row r="804" spans="2:11" x14ac:dyDescent="0.25">
      <c r="B804" s="137">
        <v>0.79900000000000004</v>
      </c>
      <c r="C804" s="138" cm="1">
        <f t="array" ref="C804">ad(B804)</f>
        <v>0.85660196515744491</v>
      </c>
      <c r="D804" s="7"/>
      <c r="E804" s="27"/>
      <c r="F804" s="27"/>
      <c r="G804" s="7"/>
      <c r="H804" s="28"/>
      <c r="I804" s="28"/>
      <c r="J804" s="28"/>
      <c r="K804" s="28"/>
    </row>
    <row r="805" spans="2:11" x14ac:dyDescent="0.25">
      <c r="B805" s="137">
        <v>0.8</v>
      </c>
      <c r="C805" s="138" cm="1">
        <f t="array" ref="C805">ad(B805)</f>
        <v>0.85762151006735299</v>
      </c>
      <c r="D805" s="7"/>
      <c r="E805" s="27"/>
      <c r="F805" s="27"/>
      <c r="G805" s="7"/>
      <c r="H805" s="28"/>
      <c r="I805" s="28"/>
      <c r="J805" s="28"/>
      <c r="K805" s="28"/>
    </row>
    <row r="806" spans="2:11" x14ac:dyDescent="0.25">
      <c r="B806" s="137">
        <v>0.80100000000000005</v>
      </c>
      <c r="C806" s="138" cm="1">
        <f t="array" ref="C806">ad(B806)</f>
        <v>0.85863914511328132</v>
      </c>
      <c r="D806" s="7"/>
      <c r="E806" s="27"/>
      <c r="F806" s="27"/>
      <c r="G806" s="7"/>
      <c r="H806" s="28"/>
      <c r="I806" s="28"/>
      <c r="J806" s="28"/>
      <c r="K806" s="28"/>
    </row>
    <row r="807" spans="2:11" x14ac:dyDescent="0.25">
      <c r="B807" s="137">
        <v>0.80200000000000005</v>
      </c>
      <c r="C807" s="138" cm="1">
        <f t="array" ref="C807">ad(B807)</f>
        <v>0.85965486031989058</v>
      </c>
      <c r="D807" s="7"/>
      <c r="E807" s="27"/>
      <c r="F807" s="27"/>
      <c r="G807" s="7"/>
      <c r="H807" s="28"/>
      <c r="I807" s="28"/>
      <c r="J807" s="28"/>
      <c r="K807" s="28"/>
    </row>
    <row r="808" spans="2:11" x14ac:dyDescent="0.25">
      <c r="B808" s="137">
        <v>0.80300000000000005</v>
      </c>
      <c r="C808" s="138" cm="1">
        <f t="array" ref="C808">ad(B808)</f>
        <v>0.86066864565516932</v>
      </c>
      <c r="D808" s="7"/>
      <c r="E808" s="27"/>
      <c r="F808" s="27"/>
      <c r="G808" s="7"/>
      <c r="H808" s="28"/>
      <c r="I808" s="28"/>
      <c r="J808" s="28"/>
      <c r="K808" s="28"/>
    </row>
    <row r="809" spans="2:11" x14ac:dyDescent="0.25">
      <c r="B809" s="137">
        <v>0.80400000000000005</v>
      </c>
      <c r="C809" s="138" cm="1">
        <f t="array" ref="C809">ad(B809)</f>
        <v>0.86168049102970456</v>
      </c>
      <c r="D809" s="7"/>
      <c r="E809" s="27"/>
      <c r="F809" s="27"/>
      <c r="G809" s="7"/>
      <c r="H809" s="28"/>
      <c r="I809" s="28"/>
      <c r="J809" s="28"/>
      <c r="K809" s="28"/>
    </row>
    <row r="810" spans="2:11" x14ac:dyDescent="0.25">
      <c r="B810" s="137">
        <v>0.80500000000000005</v>
      </c>
      <c r="C810" s="138" cm="1">
        <f t="array" ref="C810">ad(B810)</f>
        <v>0.86269038629593919</v>
      </c>
      <c r="D810" s="7"/>
      <c r="E810" s="27"/>
      <c r="F810" s="27"/>
      <c r="G810" s="7"/>
      <c r="H810" s="28"/>
      <c r="I810" s="28"/>
      <c r="J810" s="28"/>
      <c r="K810" s="28"/>
    </row>
    <row r="811" spans="2:11" x14ac:dyDescent="0.25">
      <c r="B811" s="137">
        <v>0.80600000000000005</v>
      </c>
      <c r="C811" s="138" cm="1">
        <f t="array" ref="C811">ad(B811)</f>
        <v>0.86369832124741619</v>
      </c>
      <c r="D811" s="7"/>
      <c r="E811" s="27"/>
      <c r="F811" s="27"/>
      <c r="G811" s="7"/>
      <c r="H811" s="28"/>
      <c r="I811" s="28"/>
      <c r="J811" s="28"/>
      <c r="K811" s="28"/>
    </row>
    <row r="812" spans="2:11" x14ac:dyDescent="0.25">
      <c r="B812" s="137">
        <v>0.80700000000000005</v>
      </c>
      <c r="C812" s="138" cm="1">
        <f t="array" ref="C812">ad(B812)</f>
        <v>0.86470428561801127</v>
      </c>
      <c r="D812" s="7"/>
      <c r="E812" s="27"/>
      <c r="F812" s="27"/>
      <c r="G812" s="7"/>
      <c r="H812" s="28"/>
      <c r="I812" s="28"/>
      <c r="J812" s="28"/>
      <c r="K812" s="28"/>
    </row>
    <row r="813" spans="2:11" x14ac:dyDescent="0.25">
      <c r="B813" s="137">
        <v>0.80800000000000005</v>
      </c>
      <c r="C813" s="138" cm="1">
        <f t="array" ref="C813">ad(B813)</f>
        <v>0.86570826908114928</v>
      </c>
      <c r="D813" s="7"/>
      <c r="E813" s="27"/>
      <c r="F813" s="27"/>
      <c r="G813" s="7"/>
      <c r="H813" s="28"/>
      <c r="I813" s="28"/>
      <c r="J813" s="28"/>
      <c r="K813" s="28"/>
    </row>
    <row r="814" spans="2:11" x14ac:dyDescent="0.25">
      <c r="B814" s="137">
        <v>0.80900000000000005</v>
      </c>
      <c r="C814" s="138" cm="1">
        <f t="array" ref="C814">ad(B814)</f>
        <v>0.86671026124900963</v>
      </c>
      <c r="D814" s="7"/>
      <c r="E814" s="27"/>
      <c r="F814" s="27"/>
      <c r="G814" s="7"/>
      <c r="H814" s="28"/>
      <c r="I814" s="28"/>
      <c r="J814" s="28"/>
      <c r="K814" s="28"/>
    </row>
    <row r="815" spans="2:11" x14ac:dyDescent="0.25">
      <c r="B815" s="137">
        <v>0.81</v>
      </c>
      <c r="C815" s="138" cm="1">
        <f t="array" ref="C815">ad(B815)</f>
        <v>0.86771025167171412</v>
      </c>
      <c r="D815" s="7"/>
      <c r="E815" s="27"/>
      <c r="F815" s="27"/>
      <c r="G815" s="7"/>
      <c r="H815" s="28"/>
      <c r="I815" s="28"/>
      <c r="J815" s="28"/>
      <c r="K815" s="28"/>
    </row>
    <row r="816" spans="2:11" x14ac:dyDescent="0.25">
      <c r="B816" s="137">
        <v>0.81100000000000005</v>
      </c>
      <c r="C816" s="138" cm="1">
        <f t="array" ref="C816">ad(B816)</f>
        <v>0.86870822983650409</v>
      </c>
      <c r="D816" s="7"/>
      <c r="E816" s="27"/>
      <c r="F816" s="27"/>
      <c r="G816" s="7"/>
      <c r="H816" s="28"/>
      <c r="I816" s="28"/>
      <c r="J816" s="28"/>
      <c r="K816" s="28"/>
    </row>
    <row r="817" spans="2:11" x14ac:dyDescent="0.25">
      <c r="B817" s="137">
        <v>0.81200000000000006</v>
      </c>
      <c r="C817" s="138" cm="1">
        <f t="array" ref="C817">ad(B817)</f>
        <v>0.8697041851668994</v>
      </c>
      <c r="D817" s="7"/>
      <c r="E817" s="27"/>
      <c r="F817" s="27"/>
      <c r="G817" s="7"/>
      <c r="H817" s="28"/>
      <c r="I817" s="28"/>
      <c r="J817" s="28"/>
      <c r="K817" s="28"/>
    </row>
    <row r="818" spans="2:11" x14ac:dyDescent="0.25">
      <c r="B818" s="137">
        <v>0.81299999999999994</v>
      </c>
      <c r="C818" s="138" cm="1">
        <f t="array" ref="C818">ad(B818)</f>
        <v>0.87069810702184314</v>
      </c>
      <c r="D818" s="7"/>
      <c r="E818" s="27"/>
      <c r="F818" s="27"/>
      <c r="G818" s="7"/>
      <c r="H818" s="28"/>
      <c r="I818" s="28"/>
      <c r="J818" s="28"/>
      <c r="K818" s="28"/>
    </row>
    <row r="819" spans="2:11" x14ac:dyDescent="0.25">
      <c r="B819" s="137">
        <v>0.81399999999999995</v>
      </c>
      <c r="C819" s="138" cm="1">
        <f t="array" ref="C819">ad(B819)</f>
        <v>0.8716899846948325</v>
      </c>
      <c r="D819" s="7"/>
      <c r="E819" s="27"/>
      <c r="F819" s="27"/>
      <c r="G819" s="7"/>
      <c r="H819" s="28"/>
      <c r="I819" s="28"/>
      <c r="J819" s="28"/>
      <c r="K819" s="28"/>
    </row>
    <row r="820" spans="2:11" x14ac:dyDescent="0.25">
      <c r="B820" s="137">
        <v>0.81499999999999995</v>
      </c>
      <c r="C820" s="138" cm="1">
        <f t="array" ref="C820">ad(B820)</f>
        <v>0.87267980741303053</v>
      </c>
      <c r="D820" s="7"/>
      <c r="E820" s="27"/>
      <c r="F820" s="27"/>
      <c r="G820" s="7"/>
      <c r="H820" s="28"/>
      <c r="I820" s="28"/>
      <c r="J820" s="28"/>
      <c r="K820" s="28"/>
    </row>
    <row r="821" spans="2:11" x14ac:dyDescent="0.25">
      <c r="B821" s="137">
        <v>0.81599999999999995</v>
      </c>
      <c r="C821" s="138" cm="1">
        <f t="array" ref="C821">ad(B821)</f>
        <v>0.87366756433636361</v>
      </c>
      <c r="D821" s="7"/>
      <c r="E821" s="27"/>
      <c r="F821" s="27"/>
      <c r="G821" s="7"/>
      <c r="H821" s="28"/>
      <c r="I821" s="28"/>
      <c r="J821" s="28"/>
      <c r="K821" s="28"/>
    </row>
    <row r="822" spans="2:11" x14ac:dyDescent="0.25">
      <c r="B822" s="137">
        <v>0.81699999999999995</v>
      </c>
      <c r="C822" s="138" cm="1">
        <f t="array" ref="C822">ad(B822)</f>
        <v>0.87465324455660198</v>
      </c>
      <c r="D822" s="7"/>
      <c r="E822" s="27"/>
      <c r="F822" s="27"/>
      <c r="G822" s="7"/>
      <c r="H822" s="28"/>
      <c r="I822" s="28"/>
      <c r="J822" s="28"/>
      <c r="K822" s="28"/>
    </row>
    <row r="823" spans="2:11" x14ac:dyDescent="0.25">
      <c r="B823" s="137">
        <v>0.81799999999999995</v>
      </c>
      <c r="C823" s="138" cm="1">
        <f t="array" ref="C823">ad(B823)</f>
        <v>0.87563683709642204</v>
      </c>
      <c r="D823" s="7"/>
      <c r="E823" s="27"/>
      <c r="F823" s="27"/>
      <c r="G823" s="7"/>
      <c r="H823" s="28"/>
      <c r="I823" s="28"/>
      <c r="J823" s="28"/>
      <c r="K823" s="28"/>
    </row>
    <row r="824" spans="2:11" x14ac:dyDescent="0.25">
      <c r="B824" s="137">
        <v>0.81899999999999995</v>
      </c>
      <c r="C824" s="138" cm="1">
        <f t="array" ref="C824">ad(B824)</f>
        <v>0.87661833090845276</v>
      </c>
      <c r="D824" s="7"/>
      <c r="E824" s="27"/>
      <c r="F824" s="27"/>
      <c r="G824" s="7"/>
      <c r="H824" s="28"/>
      <c r="I824" s="28"/>
      <c r="J824" s="28"/>
      <c r="K824" s="28"/>
    </row>
    <row r="825" spans="2:11" x14ac:dyDescent="0.25">
      <c r="B825" s="137">
        <v>0.82</v>
      </c>
      <c r="C825" s="138" cm="1">
        <f t="array" ref="C825">ad(B825)</f>
        <v>0.87759771487430138</v>
      </c>
      <c r="D825" s="7"/>
      <c r="E825" s="27"/>
      <c r="F825" s="27"/>
      <c r="G825" s="7"/>
      <c r="H825" s="28"/>
      <c r="I825" s="28"/>
      <c r="J825" s="28"/>
      <c r="K825" s="28"/>
    </row>
    <row r="826" spans="2:11" x14ac:dyDescent="0.25">
      <c r="B826" s="137">
        <v>0.82099999999999995</v>
      </c>
      <c r="C826" s="138" cm="1">
        <f t="array" ref="C826">ad(B826)</f>
        <v>0.87857497780356397</v>
      </c>
      <c r="D826" s="7"/>
      <c r="E826" s="27"/>
      <c r="F826" s="27"/>
      <c r="G826" s="7"/>
      <c r="H826" s="28"/>
      <c r="I826" s="28"/>
      <c r="J826" s="28"/>
      <c r="K826" s="28"/>
    </row>
    <row r="827" spans="2:11" x14ac:dyDescent="0.25">
      <c r="B827" s="137">
        <v>0.82199999999999995</v>
      </c>
      <c r="C827" s="138" cm="1">
        <f t="array" ref="C827">ad(B827)</f>
        <v>0.87955010843281389</v>
      </c>
      <c r="D827" s="7"/>
      <c r="E827" s="27"/>
      <c r="F827" s="27"/>
      <c r="G827" s="7"/>
      <c r="H827" s="28"/>
      <c r="I827" s="28"/>
      <c r="J827" s="28"/>
      <c r="K827" s="28"/>
    </row>
    <row r="828" spans="2:11" x14ac:dyDescent="0.25">
      <c r="B828" s="137">
        <v>0.82299999999999995</v>
      </c>
      <c r="C828" s="138" cm="1">
        <f t="array" ref="C828">ad(B828)</f>
        <v>0.88052309542457308</v>
      </c>
      <c r="D828" s="7"/>
      <c r="E828" s="27"/>
      <c r="F828" s="27"/>
      <c r="G828" s="7"/>
      <c r="H828" s="28"/>
      <c r="I828" s="28"/>
      <c r="J828" s="28"/>
      <c r="K828" s="28"/>
    </row>
    <row r="829" spans="2:11" x14ac:dyDescent="0.25">
      <c r="B829" s="137">
        <v>0.82399999999999995</v>
      </c>
      <c r="C829" s="138" cm="1">
        <f t="array" ref="C829">ad(B829)</f>
        <v>0.88149392736626175</v>
      </c>
      <c r="D829" s="7"/>
      <c r="E829" s="27"/>
      <c r="F829" s="27"/>
      <c r="G829" s="7"/>
      <c r="H829" s="28"/>
      <c r="I829" s="28"/>
      <c r="J829" s="28"/>
      <c r="K829" s="28"/>
    </row>
    <row r="830" spans="2:11" x14ac:dyDescent="0.25">
      <c r="B830" s="137">
        <v>0.82499999999999996</v>
      </c>
      <c r="C830" s="138" cm="1">
        <f t="array" ref="C830">ad(B830)</f>
        <v>0.88246259276912953</v>
      </c>
      <c r="D830" s="7"/>
      <c r="E830" s="27"/>
      <c r="F830" s="27"/>
      <c r="G830" s="7"/>
      <c r="H830" s="28"/>
      <c r="I830" s="28"/>
      <c r="J830" s="28"/>
      <c r="K830" s="28"/>
    </row>
    <row r="831" spans="2:11" x14ac:dyDescent="0.25">
      <c r="B831" s="137">
        <v>0.82599999999999996</v>
      </c>
      <c r="C831" s="138" cm="1">
        <f t="array" ref="C831">ad(B831)</f>
        <v>0.88342908006716325</v>
      </c>
      <c r="D831" s="7"/>
      <c r="E831" s="27"/>
      <c r="F831" s="27"/>
      <c r="G831" s="7"/>
      <c r="H831" s="28"/>
      <c r="I831" s="28"/>
      <c r="J831" s="28"/>
      <c r="K831" s="28"/>
    </row>
    <row r="832" spans="2:11" x14ac:dyDescent="0.25">
      <c r="B832" s="137">
        <v>0.82699999999999996</v>
      </c>
      <c r="C832" s="138" cm="1">
        <f t="array" ref="C832">ad(B832)</f>
        <v>0.88439337761597547</v>
      </c>
      <c r="D832" s="7"/>
      <c r="E832" s="27"/>
      <c r="F832" s="27"/>
      <c r="G832" s="7"/>
      <c r="H832" s="28"/>
      <c r="I832" s="28"/>
      <c r="J832" s="28"/>
      <c r="K832" s="28"/>
    </row>
    <row r="833" spans="2:11" x14ac:dyDescent="0.25">
      <c r="B833" s="137">
        <v>0.82799999999999996</v>
      </c>
      <c r="C833" s="138" cm="1">
        <f t="array" ref="C833">ad(B833)</f>
        <v>0.88535547369166978</v>
      </c>
      <c r="D833" s="7"/>
      <c r="E833" s="27"/>
      <c r="F833" s="27"/>
      <c r="G833" s="7"/>
      <c r="H833" s="28"/>
      <c r="I833" s="28"/>
      <c r="J833" s="28"/>
      <c r="K833" s="28"/>
    </row>
    <row r="834" spans="2:11" x14ac:dyDescent="0.25">
      <c r="B834" s="137">
        <v>0.82899999999999996</v>
      </c>
      <c r="C834" s="138" cm="1">
        <f t="array" ref="C834">ad(B834)</f>
        <v>0.88631535648968363</v>
      </c>
      <c r="D834" s="7"/>
      <c r="E834" s="27"/>
      <c r="F834" s="27"/>
      <c r="G834" s="7"/>
      <c r="H834" s="28"/>
      <c r="I834" s="28"/>
      <c r="J834" s="28"/>
      <c r="K834" s="28"/>
    </row>
    <row r="835" spans="2:11" x14ac:dyDescent="0.25">
      <c r="B835" s="137">
        <v>0.83</v>
      </c>
      <c r="C835" s="138" cm="1">
        <f t="array" ref="C835">ad(B835)</f>
        <v>0.88727301412360804</v>
      </c>
      <c r="D835" s="7"/>
      <c r="E835" s="27"/>
      <c r="F835" s="27"/>
      <c r="G835" s="7"/>
      <c r="H835" s="28"/>
      <c r="I835" s="28"/>
      <c r="J835" s="28"/>
      <c r="K835" s="28"/>
    </row>
    <row r="836" spans="2:11" x14ac:dyDescent="0.25">
      <c r="B836" s="137">
        <v>0.83099999999999996</v>
      </c>
      <c r="C836" s="138" cm="1">
        <f t="array" ref="C836">ad(B836)</f>
        <v>0.88822843462398382</v>
      </c>
      <c r="D836" s="7"/>
      <c r="E836" s="27"/>
      <c r="F836" s="27"/>
      <c r="G836" s="7"/>
      <c r="H836" s="28"/>
      <c r="I836" s="28"/>
      <c r="J836" s="28"/>
      <c r="K836" s="28"/>
    </row>
    <row r="837" spans="2:11" x14ac:dyDescent="0.25">
      <c r="B837" s="137">
        <v>0.83199999999999996</v>
      </c>
      <c r="C837" s="138" cm="1">
        <f t="array" ref="C837">ad(B837)</f>
        <v>0.88918160593707241</v>
      </c>
      <c r="D837" s="7"/>
      <c r="E837" s="27"/>
      <c r="F837" s="27"/>
      <c r="G837" s="7"/>
      <c r="H837" s="28"/>
      <c r="I837" s="28"/>
      <c r="J837" s="28"/>
      <c r="K837" s="28"/>
    </row>
    <row r="838" spans="2:11" x14ac:dyDescent="0.25">
      <c r="B838" s="137">
        <v>0.83299999999999996</v>
      </c>
      <c r="C838" s="138" cm="1">
        <f t="array" ref="C838">ad(B838)</f>
        <v>0.8901325159236031</v>
      </c>
      <c r="D838" s="7"/>
      <c r="E838" s="27"/>
      <c r="F838" s="27"/>
      <c r="G838" s="7"/>
      <c r="H838" s="28"/>
      <c r="I838" s="28"/>
      <c r="J838" s="28"/>
      <c r="K838" s="28"/>
    </row>
    <row r="839" spans="2:11" x14ac:dyDescent="0.25">
      <c r="B839" s="137">
        <v>0.83399999999999996</v>
      </c>
      <c r="C839" s="138" cm="1">
        <f t="array" ref="C839">ad(B839)</f>
        <v>0.89108115235749275</v>
      </c>
      <c r="D839" s="7"/>
      <c r="E839" s="27"/>
      <c r="F839" s="27"/>
      <c r="G839" s="7"/>
      <c r="H839" s="28"/>
      <c r="I839" s="28"/>
      <c r="J839" s="28"/>
      <c r="K839" s="28"/>
    </row>
    <row r="840" spans="2:11" x14ac:dyDescent="0.25">
      <c r="B840" s="137">
        <v>0.83499999999999996</v>
      </c>
      <c r="C840" s="138" cm="1">
        <f t="array" ref="C840">ad(B840)</f>
        <v>0.89202750292454025</v>
      </c>
      <c r="D840" s="7"/>
      <c r="E840" s="27"/>
      <c r="F840" s="27"/>
      <c r="G840" s="7"/>
      <c r="H840" s="28"/>
      <c r="I840" s="28"/>
      <c r="J840" s="28"/>
      <c r="K840" s="28"/>
    </row>
    <row r="841" spans="2:11" x14ac:dyDescent="0.25">
      <c r="B841" s="137">
        <v>0.83599999999999997</v>
      </c>
      <c r="C841" s="138" cm="1">
        <f t="array" ref="C841">ad(B841)</f>
        <v>0.89297155522109395</v>
      </c>
      <c r="D841" s="7"/>
      <c r="E841" s="27"/>
      <c r="F841" s="27"/>
      <c r="G841" s="7"/>
      <c r="H841" s="28"/>
      <c r="I841" s="28"/>
      <c r="J841" s="28"/>
      <c r="K841" s="28"/>
    </row>
    <row r="842" spans="2:11" x14ac:dyDescent="0.25">
      <c r="B842" s="137">
        <v>0.83699999999999997</v>
      </c>
      <c r="C842" s="138" cm="1">
        <f t="array" ref="C842">ad(B842)</f>
        <v>0.89391329675268971</v>
      </c>
      <c r="D842" s="7"/>
      <c r="E842" s="27"/>
      <c r="F842" s="27"/>
      <c r="G842" s="7"/>
      <c r="H842" s="28"/>
      <c r="I842" s="28"/>
      <c r="J842" s="28"/>
      <c r="K842" s="28"/>
    </row>
    <row r="843" spans="2:11" x14ac:dyDescent="0.25">
      <c r="B843" s="137">
        <v>0.83799999999999997</v>
      </c>
      <c r="C843" s="138" cm="1">
        <f t="array" ref="C843">ad(B843)</f>
        <v>0.89485271493266227</v>
      </c>
      <c r="D843" s="7"/>
      <c r="E843" s="27"/>
      <c r="F843" s="27"/>
      <c r="G843" s="7"/>
      <c r="H843" s="28"/>
      <c r="I843" s="28"/>
      <c r="J843" s="28"/>
      <c r="K843" s="28"/>
    </row>
    <row r="844" spans="2:11" x14ac:dyDescent="0.25">
      <c r="B844" s="137">
        <v>0.83899999999999997</v>
      </c>
      <c r="C844" s="138" cm="1">
        <f t="array" ref="C844">ad(B844)</f>
        <v>0.89578979708072537</v>
      </c>
      <c r="D844" s="7"/>
      <c r="E844" s="27"/>
      <c r="F844" s="27"/>
      <c r="G844" s="7"/>
      <c r="H844" s="28"/>
      <c r="I844" s="28"/>
      <c r="J844" s="28"/>
      <c r="K844" s="28"/>
    </row>
    <row r="845" spans="2:11" x14ac:dyDescent="0.25">
      <c r="B845" s="137">
        <v>0.84</v>
      </c>
      <c r="C845" s="138" cm="1">
        <f t="array" ref="C845">ad(B845)</f>
        <v>0.89672453042152267</v>
      </c>
      <c r="D845" s="7"/>
      <c r="E845" s="27"/>
      <c r="F845" s="27"/>
      <c r="G845" s="7"/>
      <c r="H845" s="28"/>
      <c r="I845" s="28"/>
      <c r="J845" s="28"/>
      <c r="K845" s="28"/>
    </row>
    <row r="846" spans="2:11" x14ac:dyDescent="0.25">
      <c r="B846" s="137">
        <v>0.84099999999999997</v>
      </c>
      <c r="C846" s="138" cm="1">
        <f t="array" ref="C846">ad(B846)</f>
        <v>0.89765690208314697</v>
      </c>
      <c r="D846" s="7"/>
      <c r="E846" s="27"/>
      <c r="F846" s="27"/>
      <c r="G846" s="7"/>
      <c r="H846" s="28"/>
      <c r="I846" s="28"/>
      <c r="J846" s="28"/>
      <c r="K846" s="28"/>
    </row>
    <row r="847" spans="2:11" x14ac:dyDescent="0.25">
      <c r="B847" s="137">
        <v>0.84199999999999997</v>
      </c>
      <c r="C847" s="138" cm="1">
        <f t="array" ref="C847">ad(B847)</f>
        <v>0.89858689909562806</v>
      </c>
      <c r="D847" s="7"/>
      <c r="E847" s="27"/>
      <c r="F847" s="27"/>
      <c r="G847" s="7"/>
      <c r="H847" s="28"/>
      <c r="I847" s="28"/>
      <c r="J847" s="28"/>
      <c r="K847" s="28"/>
    </row>
    <row r="848" spans="2:11" x14ac:dyDescent="0.25">
      <c r="B848" s="137">
        <v>0.84299999999999997</v>
      </c>
      <c r="C848" s="138" cm="1">
        <f t="array" ref="C848">ad(B848)</f>
        <v>0.89951450838938662</v>
      </c>
      <c r="D848" s="7"/>
      <c r="E848" s="27"/>
      <c r="F848" s="27"/>
      <c r="G848" s="7"/>
      <c r="H848" s="28"/>
      <c r="I848" s="28"/>
      <c r="J848" s="28"/>
      <c r="K848" s="28"/>
    </row>
    <row r="849" spans="2:11" x14ac:dyDescent="0.25">
      <c r="B849" s="137">
        <v>0.84399999999999997</v>
      </c>
      <c r="C849" s="138" cm="1">
        <f t="array" ref="C849">ad(B849)</f>
        <v>0.90043971679365564</v>
      </c>
      <c r="D849" s="7"/>
      <c r="E849" s="27"/>
      <c r="F849" s="27"/>
      <c r="G849" s="7"/>
      <c r="H849" s="28"/>
      <c r="I849" s="28"/>
      <c r="J849" s="28"/>
      <c r="K849" s="28"/>
    </row>
    <row r="850" spans="2:11" x14ac:dyDescent="0.25">
      <c r="B850" s="137">
        <v>0.84499999999999997</v>
      </c>
      <c r="C850" s="138" cm="1">
        <f t="array" ref="C850">ad(B850)</f>
        <v>0.90136251103486564</v>
      </c>
      <c r="D850" s="7"/>
      <c r="E850" s="27"/>
      <c r="F850" s="27"/>
      <c r="G850" s="7"/>
      <c r="H850" s="28"/>
      <c r="I850" s="28"/>
      <c r="J850" s="28"/>
      <c r="K850" s="28"/>
    </row>
    <row r="851" spans="2:11" x14ac:dyDescent="0.25">
      <c r="B851" s="137">
        <v>0.84599999999999997</v>
      </c>
      <c r="C851" s="138" cm="1">
        <f t="array" ref="C851">ad(B851)</f>
        <v>0.90228287773499483</v>
      </c>
      <c r="D851" s="7"/>
      <c r="E851" s="27"/>
      <c r="F851" s="27"/>
      <c r="G851" s="7"/>
      <c r="H851" s="28"/>
      <c r="I851" s="28"/>
      <c r="J851" s="28"/>
      <c r="K851" s="28"/>
    </row>
    <row r="852" spans="2:11" x14ac:dyDescent="0.25">
      <c r="B852" s="137">
        <v>0.84699999999999998</v>
      </c>
      <c r="C852" s="138" cm="1">
        <f t="array" ref="C852">ad(B852)</f>
        <v>0.9032008034098824</v>
      </c>
      <c r="D852" s="7"/>
      <c r="E852" s="27"/>
      <c r="F852" s="27"/>
      <c r="G852" s="7"/>
      <c r="H852" s="28"/>
      <c r="I852" s="28"/>
      <c r="J852" s="28"/>
      <c r="K852" s="28"/>
    </row>
    <row r="853" spans="2:11" x14ac:dyDescent="0.25">
      <c r="B853" s="137">
        <v>0.84799999999999998</v>
      </c>
      <c r="C853" s="138" cm="1">
        <f t="array" ref="C853">ad(B853)</f>
        <v>0.90411627446750364</v>
      </c>
      <c r="D853" s="7"/>
      <c r="E853" s="27"/>
      <c r="F853" s="27"/>
      <c r="G853" s="7"/>
      <c r="H853" s="28"/>
      <c r="I853" s="28"/>
      <c r="J853" s="28"/>
      <c r="K853" s="28"/>
    </row>
    <row r="854" spans="2:11" x14ac:dyDescent="0.25">
      <c r="B854" s="137">
        <v>0.84899999999999998</v>
      </c>
      <c r="C854" s="138" cm="1">
        <f t="array" ref="C854">ad(B854)</f>
        <v>0.9050292772062063</v>
      </c>
      <c r="D854" s="7"/>
      <c r="E854" s="27"/>
      <c r="F854" s="27"/>
      <c r="G854" s="7"/>
      <c r="H854" s="28"/>
      <c r="I854" s="28"/>
      <c r="J854" s="28"/>
      <c r="K854" s="28"/>
    </row>
    <row r="855" spans="2:11" x14ac:dyDescent="0.25">
      <c r="B855" s="137">
        <v>0.85</v>
      </c>
      <c r="C855" s="138" cm="1">
        <f t="array" ref="C855">ad(B855)</f>
        <v>0.90593979781290634</v>
      </c>
      <c r="D855" s="7"/>
      <c r="E855" s="27"/>
      <c r="F855" s="27"/>
      <c r="G855" s="7"/>
      <c r="H855" s="28"/>
      <c r="I855" s="28"/>
      <c r="J855" s="28"/>
      <c r="K855" s="28"/>
    </row>
    <row r="856" spans="2:11" x14ac:dyDescent="0.25">
      <c r="B856" s="137">
        <v>0.85099999999999998</v>
      </c>
      <c r="C856" s="138" cm="1">
        <f t="array" ref="C856">ad(B856)</f>
        <v>0.90684782236124239</v>
      </c>
      <c r="D856" s="7"/>
      <c r="E856" s="27"/>
      <c r="F856" s="27"/>
      <c r="G856" s="7"/>
      <c r="H856" s="28"/>
      <c r="I856" s="28"/>
      <c r="J856" s="28"/>
      <c r="K856" s="28"/>
    </row>
    <row r="857" spans="2:11" x14ac:dyDescent="0.25">
      <c r="B857" s="137">
        <v>0.85199999999999998</v>
      </c>
      <c r="C857" s="138" cm="1">
        <f t="array" ref="C857">ad(B857)</f>
        <v>0.90775333680968773</v>
      </c>
      <c r="D857" s="7"/>
      <c r="E857" s="27"/>
      <c r="F857" s="27"/>
      <c r="G857" s="7"/>
      <c r="H857" s="28"/>
      <c r="I857" s="28"/>
      <c r="J857" s="28"/>
      <c r="K857" s="28"/>
    </row>
    <row r="858" spans="2:11" x14ac:dyDescent="0.25">
      <c r="B858" s="137">
        <v>0.85299999999999998</v>
      </c>
      <c r="C858" s="138" cm="1">
        <f t="array" ref="C858">ad(B858)</f>
        <v>0.90865632699961885</v>
      </c>
      <c r="D858" s="7"/>
      <c r="E858" s="27"/>
      <c r="F858" s="27"/>
      <c r="G858" s="7"/>
      <c r="H858" s="28"/>
      <c r="I858" s="28"/>
      <c r="J858" s="28"/>
      <c r="K858" s="28"/>
    </row>
    <row r="859" spans="2:11" x14ac:dyDescent="0.25">
      <c r="B859" s="137">
        <v>0.85399999999999998</v>
      </c>
      <c r="C859" s="138" cm="1">
        <f t="array" ref="C859">ad(B859)</f>
        <v>0.90955677865333706</v>
      </c>
      <c r="D859" s="7"/>
      <c r="E859" s="27"/>
      <c r="F859" s="27"/>
      <c r="G859" s="7"/>
      <c r="H859" s="28"/>
      <c r="I859" s="28"/>
      <c r="J859" s="28"/>
      <c r="K859" s="28"/>
    </row>
    <row r="860" spans="2:11" x14ac:dyDescent="0.25">
      <c r="B860" s="137">
        <v>0.85499999999999998</v>
      </c>
      <c r="C860" s="138" cm="1">
        <f t="array" ref="C860">ad(B860)</f>
        <v>0.91045467737204533</v>
      </c>
      <c r="D860" s="7"/>
      <c r="E860" s="27"/>
      <c r="F860" s="27"/>
      <c r="G860" s="7"/>
      <c r="H860" s="28"/>
      <c r="I860" s="28"/>
      <c r="J860" s="28"/>
      <c r="K860" s="28"/>
    </row>
    <row r="861" spans="2:11" x14ac:dyDescent="0.25">
      <c r="B861" s="137">
        <v>0.85599999999999998</v>
      </c>
      <c r="C861" s="138" cm="1">
        <f t="array" ref="C861">ad(B861)</f>
        <v>0.91135000863377624</v>
      </c>
      <c r="D861" s="7"/>
      <c r="E861" s="27"/>
      <c r="F861" s="27"/>
      <c r="G861" s="7"/>
      <c r="H861" s="28"/>
      <c r="I861" s="28"/>
      <c r="J861" s="28"/>
      <c r="K861" s="28"/>
    </row>
    <row r="862" spans="2:11" x14ac:dyDescent="0.25">
      <c r="B862" s="137">
        <v>0.85699999999999998</v>
      </c>
      <c r="C862" s="138" cm="1">
        <f t="array" ref="C862">ad(B862)</f>
        <v>0.91224275779126984</v>
      </c>
      <c r="D862" s="7"/>
      <c r="E862" s="27"/>
      <c r="F862" s="27"/>
      <c r="G862" s="7"/>
      <c r="H862" s="28"/>
      <c r="I862" s="28"/>
      <c r="J862" s="28"/>
      <c r="K862" s="28"/>
    </row>
    <row r="863" spans="2:11" x14ac:dyDescent="0.25">
      <c r="B863" s="137">
        <v>0.85799999999999998</v>
      </c>
      <c r="C863" s="138" cm="1">
        <f t="array" ref="C863">ad(B863)</f>
        <v>0.91313291006980157</v>
      </c>
      <c r="D863" s="7"/>
      <c r="E863" s="27"/>
      <c r="F863" s="27"/>
      <c r="G863" s="7"/>
      <c r="H863" s="28"/>
      <c r="I863" s="28"/>
      <c r="J863" s="28"/>
      <c r="K863" s="28"/>
    </row>
    <row r="864" spans="2:11" x14ac:dyDescent="0.25">
      <c r="B864" s="137">
        <v>0.85899999999999999</v>
      </c>
      <c r="C864" s="138" cm="1">
        <f t="array" ref="C864">ad(B864)</f>
        <v>0.91402045056495629</v>
      </c>
      <c r="D864" s="7"/>
      <c r="E864" s="27"/>
      <c r="F864" s="27"/>
      <c r="G864" s="7"/>
      <c r="H864" s="28"/>
      <c r="I864" s="28"/>
      <c r="J864" s="28"/>
      <c r="K864" s="28"/>
    </row>
    <row r="865" spans="2:11" x14ac:dyDescent="0.25">
      <c r="B865" s="137">
        <v>0.86</v>
      </c>
      <c r="C865" s="138" cm="1">
        <f t="array" ref="C865">ad(B865)</f>
        <v>0.91490536424034885</v>
      </c>
      <c r="D865" s="7"/>
      <c r="E865" s="27"/>
      <c r="F865" s="27"/>
      <c r="G865" s="7"/>
      <c r="H865" s="28"/>
      <c r="I865" s="28"/>
      <c r="J865" s="28"/>
      <c r="K865" s="28"/>
    </row>
    <row r="866" spans="2:11" x14ac:dyDescent="0.25">
      <c r="B866" s="137">
        <v>0.86099999999999999</v>
      </c>
      <c r="C866" s="138" cm="1">
        <f t="array" ref="C866">ad(B866)</f>
        <v>0.91578763592528745</v>
      </c>
      <c r="D866" s="7"/>
      <c r="E866" s="27"/>
      <c r="F866" s="27"/>
      <c r="G866" s="7"/>
      <c r="H866" s="28"/>
      <c r="I866" s="28"/>
      <c r="J866" s="28"/>
      <c r="K866" s="28"/>
    </row>
    <row r="867" spans="2:11" x14ac:dyDescent="0.25">
      <c r="B867" s="137">
        <v>0.86199999999999999</v>
      </c>
      <c r="C867" s="138" cm="1">
        <f t="array" ref="C867">ad(B867)</f>
        <v>0.91666725031238028</v>
      </c>
      <c r="D867" s="7"/>
      <c r="E867" s="27"/>
      <c r="F867" s="27"/>
      <c r="G867" s="7"/>
      <c r="H867" s="28"/>
      <c r="I867" s="28"/>
      <c r="J867" s="28"/>
      <c r="K867" s="28"/>
    </row>
    <row r="868" spans="2:11" x14ac:dyDescent="0.25">
      <c r="B868" s="137">
        <v>0.86299999999999999</v>
      </c>
      <c r="C868" s="138" cm="1">
        <f t="array" ref="C868">ad(B868)</f>
        <v>0.91754419195508119</v>
      </c>
      <c r="D868" s="7"/>
      <c r="E868" s="27"/>
      <c r="F868" s="27"/>
      <c r="G868" s="7"/>
      <c r="H868" s="28"/>
      <c r="I868" s="28"/>
      <c r="J868" s="28"/>
      <c r="K868" s="28"/>
    </row>
    <row r="869" spans="2:11" x14ac:dyDescent="0.25">
      <c r="B869" s="137">
        <v>0.86399999999999999</v>
      </c>
      <c r="C869" s="138" cm="1">
        <f t="array" ref="C869">ad(B869)</f>
        <v>0.91841844526517502</v>
      </c>
      <c r="D869" s="7"/>
      <c r="E869" s="27"/>
      <c r="F869" s="27"/>
      <c r="G869" s="7"/>
      <c r="H869" s="28"/>
      <c r="I869" s="28"/>
      <c r="J869" s="28"/>
      <c r="K869" s="28"/>
    </row>
    <row r="870" spans="2:11" x14ac:dyDescent="0.25">
      <c r="B870" s="137">
        <v>0.86499999999999999</v>
      </c>
      <c r="C870" s="138" cm="1">
        <f t="array" ref="C870">ad(B870)</f>
        <v>0.91928999451019699</v>
      </c>
      <c r="D870" s="7"/>
      <c r="E870" s="27"/>
      <c r="F870" s="27"/>
      <c r="G870" s="7"/>
      <c r="H870" s="28"/>
      <c r="I870" s="28"/>
      <c r="J870" s="28"/>
      <c r="K870" s="28"/>
    </row>
    <row r="871" spans="2:11" x14ac:dyDescent="0.25">
      <c r="B871" s="137">
        <v>0.86599999999999999</v>
      </c>
      <c r="C871" s="138" cm="1">
        <f t="array" ref="C871">ad(B871)</f>
        <v>0.92015882381078873</v>
      </c>
      <c r="D871" s="7"/>
      <c r="E871" s="27"/>
      <c r="F871" s="27"/>
      <c r="G871" s="7"/>
      <c r="H871" s="28"/>
      <c r="I871" s="28"/>
      <c r="J871" s="28"/>
      <c r="K871" s="28"/>
    </row>
    <row r="872" spans="2:11" x14ac:dyDescent="0.25">
      <c r="B872" s="137">
        <v>0.86699999999999999</v>
      </c>
      <c r="C872" s="138" cm="1">
        <f t="array" ref="C872">ad(B872)</f>
        <v>0.92102491713798362</v>
      </c>
      <c r="D872" s="7"/>
      <c r="E872" s="27"/>
      <c r="F872" s="27"/>
      <c r="G872" s="7"/>
      <c r="H872" s="28"/>
      <c r="I872" s="28"/>
      <c r="J872" s="28"/>
      <c r="K872" s="28"/>
    </row>
    <row r="873" spans="2:11" x14ac:dyDescent="0.25">
      <c r="B873" s="137">
        <v>0.86799999999999999</v>
      </c>
      <c r="C873" s="138" cm="1">
        <f t="array" ref="C873">ad(B873)</f>
        <v>0.92188825831042409</v>
      </c>
      <c r="D873" s="7"/>
      <c r="E873" s="27"/>
      <c r="F873" s="27"/>
      <c r="G873" s="7"/>
      <c r="H873" s="28"/>
      <c r="I873" s="28"/>
      <c r="J873" s="28"/>
      <c r="K873" s="28"/>
    </row>
    <row r="874" spans="2:11" x14ac:dyDescent="0.25">
      <c r="B874" s="137">
        <v>0.86899999999999999</v>
      </c>
      <c r="C874" s="138" cm="1">
        <f t="array" ref="C874">ad(B874)</f>
        <v>0.92274883099150484</v>
      </c>
      <c r="D874" s="7"/>
      <c r="E874" s="27"/>
      <c r="F874" s="27"/>
      <c r="G874" s="7"/>
      <c r="H874" s="28"/>
      <c r="I874" s="28"/>
      <c r="J874" s="28"/>
      <c r="K874" s="28"/>
    </row>
    <row r="875" spans="2:11" x14ac:dyDescent="0.25">
      <c r="B875" s="137">
        <v>0.87</v>
      </c>
      <c r="C875" s="138" cm="1">
        <f t="array" ref="C875">ad(B875)</f>
        <v>0.92360661868644067</v>
      </c>
      <c r="D875" s="7"/>
      <c r="E875" s="27"/>
      <c r="F875" s="27"/>
      <c r="G875" s="7"/>
      <c r="H875" s="28"/>
      <c r="I875" s="28"/>
      <c r="J875" s="28"/>
      <c r="K875" s="28"/>
    </row>
    <row r="876" spans="2:11" x14ac:dyDescent="0.25">
      <c r="B876" s="137">
        <v>0.871</v>
      </c>
      <c r="C876" s="138" cm="1">
        <f t="array" ref="C876">ad(B876)</f>
        <v>0.92446160473925709</v>
      </c>
      <c r="D876" s="7"/>
      <c r="E876" s="27"/>
      <c r="F876" s="27"/>
      <c r="G876" s="7"/>
      <c r="H876" s="28"/>
      <c r="I876" s="28"/>
      <c r="J876" s="28"/>
      <c r="K876" s="28"/>
    </row>
    <row r="877" spans="2:11" x14ac:dyDescent="0.25">
      <c r="B877" s="137">
        <v>0.872</v>
      </c>
      <c r="C877" s="138" cm="1">
        <f t="array" ref="C877">ad(B877)</f>
        <v>0.92531377232970002</v>
      </c>
      <c r="D877" s="7"/>
      <c r="E877" s="27"/>
      <c r="F877" s="27"/>
      <c r="G877" s="7"/>
      <c r="H877" s="28"/>
      <c r="I877" s="28"/>
      <c r="J877" s="28"/>
      <c r="K877" s="28"/>
    </row>
    <row r="878" spans="2:11" x14ac:dyDescent="0.25">
      <c r="B878" s="137">
        <v>0.873</v>
      </c>
      <c r="C878" s="138" cm="1">
        <f t="array" ref="C878">ad(B878)</f>
        <v>0.92616310447006278</v>
      </c>
      <c r="D878" s="7"/>
      <c r="E878" s="27"/>
      <c r="F878" s="27"/>
      <c r="G878" s="7"/>
      <c r="H878" s="28"/>
      <c r="I878" s="28"/>
      <c r="J878" s="28"/>
      <c r="K878" s="28"/>
    </row>
    <row r="879" spans="2:11" x14ac:dyDescent="0.25">
      <c r="B879" s="137">
        <v>0.874</v>
      </c>
      <c r="C879" s="138" cm="1">
        <f t="array" ref="C879">ad(B879)</f>
        <v>0.92700958400192535</v>
      </c>
      <c r="D879" s="7"/>
      <c r="E879" s="27"/>
      <c r="F879" s="27"/>
      <c r="G879" s="7"/>
      <c r="H879" s="28"/>
      <c r="I879" s="28"/>
      <c r="J879" s="28"/>
      <c r="K879" s="28"/>
    </row>
    <row r="880" spans="2:11" x14ac:dyDescent="0.25">
      <c r="B880" s="137">
        <v>0.875</v>
      </c>
      <c r="C880" s="138" cm="1">
        <f t="array" ref="C880">ad(B880)</f>
        <v>0.92785319359280627</v>
      </c>
      <c r="D880" s="7"/>
      <c r="E880" s="27"/>
      <c r="F880" s="27"/>
      <c r="G880" s="7"/>
      <c r="H880" s="28"/>
      <c r="I880" s="28"/>
      <c r="J880" s="28"/>
      <c r="K880" s="28"/>
    </row>
    <row r="881" spans="2:11" x14ac:dyDescent="0.25">
      <c r="B881" s="137">
        <v>0.876</v>
      </c>
      <c r="C881" s="138" cm="1">
        <f t="array" ref="C881">ad(B881)</f>
        <v>0.92869391573272031</v>
      </c>
      <c r="D881" s="7"/>
      <c r="E881" s="27"/>
      <c r="F881" s="27"/>
      <c r="G881" s="7"/>
      <c r="H881" s="28"/>
      <c r="I881" s="28"/>
      <c r="J881" s="28"/>
      <c r="K881" s="28"/>
    </row>
    <row r="882" spans="2:11" x14ac:dyDescent="0.25">
      <c r="B882" s="137">
        <v>0.877</v>
      </c>
      <c r="C882" s="138" cm="1">
        <f t="array" ref="C882">ad(B882)</f>
        <v>0.92953173273064116</v>
      </c>
      <c r="D882" s="7"/>
      <c r="E882" s="27"/>
      <c r="F882" s="27"/>
      <c r="G882" s="7"/>
      <c r="H882" s="28"/>
      <c r="I882" s="28"/>
      <c r="J882" s="28"/>
      <c r="K882" s="28"/>
    </row>
    <row r="883" spans="2:11" x14ac:dyDescent="0.25">
      <c r="B883" s="137">
        <v>0.878</v>
      </c>
      <c r="C883" s="138" cm="1">
        <f t="array" ref="C883">ad(B883)</f>
        <v>0.93036662671086445</v>
      </c>
      <c r="D883" s="7"/>
      <c r="E883" s="27"/>
      <c r="F883" s="27"/>
      <c r="G883" s="7"/>
      <c r="H883" s="28"/>
      <c r="I883" s="28"/>
      <c r="J883" s="28"/>
      <c r="K883" s="28"/>
    </row>
    <row r="884" spans="2:11" x14ac:dyDescent="0.25">
      <c r="B884" s="137">
        <v>0.879</v>
      </c>
      <c r="C884" s="138" cm="1">
        <f t="array" ref="C884">ad(B884)</f>
        <v>0.93119857960926822</v>
      </c>
      <c r="D884" s="7"/>
      <c r="E884" s="27"/>
      <c r="F884" s="27"/>
      <c r="G884" s="7"/>
      <c r="H884" s="28"/>
      <c r="I884" s="28"/>
      <c r="J884" s="28"/>
      <c r="K884" s="28"/>
    </row>
    <row r="885" spans="2:11" x14ac:dyDescent="0.25">
      <c r="B885" s="137">
        <v>0.88</v>
      </c>
      <c r="C885" s="138" cm="1">
        <f t="array" ref="C885">ad(B885)</f>
        <v>0.93202757316946561</v>
      </c>
      <c r="D885" s="7"/>
      <c r="E885" s="27"/>
      <c r="F885" s="27"/>
      <c r="G885" s="7"/>
      <c r="H885" s="28"/>
      <c r="I885" s="28"/>
      <c r="J885" s="28"/>
      <c r="K885" s="28"/>
    </row>
    <row r="886" spans="2:11" x14ac:dyDescent="0.25">
      <c r="B886" s="137">
        <v>0.88100000000000001</v>
      </c>
      <c r="C886" s="138" cm="1">
        <f t="array" ref="C886">ad(B886)</f>
        <v>0.93285358893884851</v>
      </c>
      <c r="D886" s="7"/>
      <c r="E886" s="27"/>
      <c r="F886" s="27"/>
      <c r="G886" s="7"/>
      <c r="H886" s="28"/>
      <c r="I886" s="28"/>
      <c r="J886" s="28"/>
      <c r="K886" s="28"/>
    </row>
    <row r="887" spans="2:11" x14ac:dyDescent="0.25">
      <c r="B887" s="137">
        <v>0.88200000000000001</v>
      </c>
      <c r="C887" s="138" cm="1">
        <f t="array" ref="C887">ad(B887)</f>
        <v>0.93367660826451404</v>
      </c>
      <c r="D887" s="7"/>
      <c r="E887" s="27"/>
      <c r="F887" s="27"/>
      <c r="G887" s="7"/>
      <c r="H887" s="28"/>
      <c r="I887" s="28"/>
      <c r="J887" s="28"/>
      <c r="K887" s="28"/>
    </row>
    <row r="888" spans="2:11" x14ac:dyDescent="0.25">
      <c r="B888" s="137">
        <v>0.88300000000000001</v>
      </c>
      <c r="C888" s="138" cm="1">
        <f t="array" ref="C888">ad(B888)</f>
        <v>0.93449661228907432</v>
      </c>
      <c r="D888" s="7"/>
      <c r="E888" s="27"/>
      <c r="F888" s="27"/>
      <c r="G888" s="7"/>
      <c r="H888" s="28"/>
      <c r="I888" s="28"/>
      <c r="J888" s="28"/>
      <c r="K888" s="28"/>
    </row>
    <row r="889" spans="2:11" x14ac:dyDescent="0.25">
      <c r="B889" s="137">
        <v>0.88400000000000001</v>
      </c>
      <c r="C889" s="138" cm="1">
        <f t="array" ref="C889">ad(B889)</f>
        <v>0.93531358194633951</v>
      </c>
      <c r="D889" s="7"/>
      <c r="E889" s="27"/>
      <c r="F889" s="27"/>
      <c r="G889" s="7"/>
      <c r="H889" s="28"/>
      <c r="I889" s="28"/>
      <c r="J889" s="28"/>
      <c r="K889" s="28"/>
    </row>
    <row r="890" spans="2:11" x14ac:dyDescent="0.25">
      <c r="B890" s="137">
        <v>0.88500000000000001</v>
      </c>
      <c r="C890" s="138" cm="1">
        <f t="array" ref="C890">ad(B890)</f>
        <v>0.93612749795687544</v>
      </c>
      <c r="D890" s="7"/>
      <c r="E890" s="27"/>
      <c r="F890" s="27"/>
      <c r="G890" s="7"/>
      <c r="H890" s="28"/>
      <c r="I890" s="28"/>
      <c r="J890" s="28"/>
      <c r="K890" s="28"/>
    </row>
    <row r="891" spans="2:11" x14ac:dyDescent="0.25">
      <c r="B891" s="137">
        <v>0.88600000000000001</v>
      </c>
      <c r="C891" s="138" cm="1">
        <f t="array" ref="C891">ad(B891)</f>
        <v>0.93693834082342464</v>
      </c>
      <c r="D891" s="7"/>
      <c r="E891" s="27"/>
      <c r="F891" s="27"/>
      <c r="G891" s="7"/>
      <c r="H891" s="28"/>
      <c r="I891" s="28"/>
      <c r="J891" s="28"/>
      <c r="K891" s="28"/>
    </row>
    <row r="892" spans="2:11" x14ac:dyDescent="0.25">
      <c r="B892" s="137">
        <v>0.88700000000000001</v>
      </c>
      <c r="C892" s="138" cm="1">
        <f t="array" ref="C892">ad(B892)</f>
        <v>0.93774609082619098</v>
      </c>
      <c r="D892" s="7"/>
      <c r="E892" s="27"/>
      <c r="F892" s="27"/>
      <c r="G892" s="7"/>
      <c r="H892" s="28"/>
      <c r="I892" s="28"/>
      <c r="J892" s="28"/>
      <c r="K892" s="28"/>
    </row>
    <row r="893" spans="2:11" x14ac:dyDescent="0.25">
      <c r="B893" s="137">
        <v>0.88800000000000001</v>
      </c>
      <c r="C893" s="138" cm="1">
        <f t="array" ref="C893">ad(B893)</f>
        <v>0.93855072801797845</v>
      </c>
      <c r="D893" s="7"/>
      <c r="E893" s="27"/>
      <c r="F893" s="27"/>
      <c r="G893" s="7"/>
      <c r="H893" s="28"/>
      <c r="I893" s="28"/>
      <c r="J893" s="28"/>
      <c r="K893" s="28"/>
    </row>
    <row r="894" spans="2:11" x14ac:dyDescent="0.25">
      <c r="B894" s="137">
        <v>0.88900000000000001</v>
      </c>
      <c r="C894" s="138" cm="1">
        <f t="array" ref="C894">ad(B894)</f>
        <v>0.93935223221918052</v>
      </c>
      <c r="D894" s="7"/>
      <c r="E894" s="27"/>
      <c r="F894" s="27"/>
      <c r="G894" s="7"/>
      <c r="H894" s="28"/>
      <c r="I894" s="28"/>
      <c r="J894" s="28"/>
      <c r="K894" s="28"/>
    </row>
    <row r="895" spans="2:11" x14ac:dyDescent="0.25">
      <c r="B895" s="137">
        <v>0.89</v>
      </c>
      <c r="C895" s="138" cm="1">
        <f t="array" ref="C895">ad(B895)</f>
        <v>0.94015058301261323</v>
      </c>
      <c r="D895" s="7"/>
      <c r="E895" s="27"/>
      <c r="F895" s="27"/>
      <c r="G895" s="7"/>
      <c r="H895" s="28"/>
      <c r="I895" s="28"/>
      <c r="J895" s="28"/>
      <c r="K895" s="28"/>
    </row>
    <row r="896" spans="2:11" x14ac:dyDescent="0.25">
      <c r="B896" s="137">
        <v>0.89100000000000001</v>
      </c>
      <c r="C896" s="138" cm="1">
        <f t="array" ref="C896">ad(B896)</f>
        <v>0.94094575973818595</v>
      </c>
      <c r="D896" s="7"/>
      <c r="E896" s="27"/>
      <c r="F896" s="27"/>
      <c r="G896" s="7"/>
      <c r="H896" s="28"/>
      <c r="I896" s="28"/>
      <c r="J896" s="28"/>
      <c r="K896" s="28"/>
    </row>
    <row r="897" spans="2:11" x14ac:dyDescent="0.25">
      <c r="B897" s="137">
        <v>0.89200000000000002</v>
      </c>
      <c r="C897" s="138" cm="1">
        <f t="array" ref="C897">ad(B897)</f>
        <v>0.94173774148740297</v>
      </c>
      <c r="D897" s="7"/>
      <c r="E897" s="27"/>
      <c r="F897" s="27"/>
      <c r="G897" s="7"/>
      <c r="H897" s="28"/>
      <c r="I897" s="28"/>
      <c r="J897" s="28"/>
      <c r="K897" s="28"/>
    </row>
    <row r="898" spans="2:11" x14ac:dyDescent="0.25">
      <c r="B898" s="137">
        <v>0.89300000000000002</v>
      </c>
      <c r="C898" s="138" cm="1">
        <f t="array" ref="C898">ad(B898)</f>
        <v>0.9425265070976887</v>
      </c>
      <c r="D898" s="7"/>
      <c r="E898" s="27"/>
      <c r="F898" s="27"/>
      <c r="G898" s="7"/>
      <c r="H898" s="28"/>
      <c r="I898" s="28"/>
      <c r="J898" s="28"/>
      <c r="K898" s="28"/>
    </row>
    <row r="899" spans="2:11" x14ac:dyDescent="0.25">
      <c r="B899" s="137">
        <v>0.89400000000000002</v>
      </c>
      <c r="C899" s="138" cm="1">
        <f t="array" ref="C899">ad(B899)</f>
        <v>0.94331203514653028</v>
      </c>
      <c r="D899" s="7"/>
      <c r="E899" s="27"/>
      <c r="F899" s="27"/>
      <c r="G899" s="7"/>
      <c r="H899" s="28"/>
      <c r="I899" s="28"/>
      <c r="J899" s="28"/>
      <c r="K899" s="28"/>
    </row>
    <row r="900" spans="2:11" x14ac:dyDescent="0.25">
      <c r="B900" s="137">
        <v>0.89500000000000002</v>
      </c>
      <c r="C900" s="138" cm="1">
        <f t="array" ref="C900">ad(B900)</f>
        <v>0.94409430394542793</v>
      </c>
      <c r="D900" s="7"/>
      <c r="E900" s="27"/>
      <c r="F900" s="27"/>
      <c r="G900" s="7"/>
      <c r="H900" s="28"/>
      <c r="I900" s="28"/>
      <c r="J900" s="28"/>
      <c r="K900" s="28"/>
    </row>
    <row r="901" spans="2:11" x14ac:dyDescent="0.25">
      <c r="B901" s="137">
        <v>0.89600000000000002</v>
      </c>
      <c r="C901" s="138" cm="1">
        <f t="array" ref="C901">ad(B901)</f>
        <v>0.94487329153364641</v>
      </c>
      <c r="D901" s="7"/>
      <c r="E901" s="27"/>
      <c r="F901" s="27"/>
      <c r="G901" s="7"/>
      <c r="H901" s="28"/>
      <c r="I901" s="28"/>
      <c r="J901" s="28"/>
      <c r="K901" s="28"/>
    </row>
    <row r="902" spans="2:11" x14ac:dyDescent="0.25">
      <c r="B902" s="137">
        <v>0.89700000000000002</v>
      </c>
      <c r="C902" s="138" cm="1">
        <f t="array" ref="C902">ad(B902)</f>
        <v>0.9456489756717591</v>
      </c>
      <c r="D902" s="7"/>
      <c r="E902" s="27"/>
      <c r="F902" s="27"/>
      <c r="G902" s="7"/>
      <c r="H902" s="28"/>
      <c r="I902" s="28"/>
      <c r="J902" s="28"/>
      <c r="K902" s="28"/>
    </row>
    <row r="903" spans="2:11" x14ac:dyDescent="0.25">
      <c r="B903" s="137">
        <v>0.89800000000000002</v>
      </c>
      <c r="C903" s="138" cm="1">
        <f t="array" ref="C903">ad(B903)</f>
        <v>0.94642133383497429</v>
      </c>
      <c r="D903" s="7"/>
      <c r="E903" s="27"/>
      <c r="F903" s="27"/>
      <c r="G903" s="7"/>
      <c r="H903" s="28"/>
      <c r="I903" s="28"/>
      <c r="J903" s="28"/>
      <c r="K903" s="28"/>
    </row>
    <row r="904" spans="2:11" x14ac:dyDescent="0.25">
      <c r="B904" s="137">
        <v>0.89900000000000002</v>
      </c>
      <c r="C904" s="138" cm="1">
        <f t="array" ref="C904">ad(B904)</f>
        <v>0.94719034320623563</v>
      </c>
      <c r="D904" s="7"/>
      <c r="E904" s="27"/>
      <c r="F904" s="27"/>
      <c r="G904" s="7"/>
      <c r="H904" s="28"/>
      <c r="I904" s="28"/>
      <c r="J904" s="28"/>
      <c r="K904" s="28"/>
    </row>
    <row r="905" spans="2:11" x14ac:dyDescent="0.25">
      <c r="B905" s="137">
        <v>0.9</v>
      </c>
      <c r="C905" s="138" cm="1">
        <f t="array" ref="C905">ad(B905)</f>
        <v>0.94795598066908604</v>
      </c>
      <c r="D905" s="7"/>
      <c r="E905" s="27"/>
      <c r="F905" s="27"/>
      <c r="G905" s="7"/>
      <c r="H905" s="28"/>
      <c r="I905" s="28"/>
      <c r="J905" s="28"/>
      <c r="K905" s="28"/>
    </row>
    <row r="906" spans="2:11" x14ac:dyDescent="0.25">
      <c r="B906" s="137">
        <v>0.90100000000000002</v>
      </c>
      <c r="C906" s="138" cm="1">
        <f t="array" ref="C906">ad(B906)</f>
        <v>0.94871822280028484</v>
      </c>
      <c r="D906" s="7"/>
      <c r="E906" s="27"/>
      <c r="F906" s="27"/>
      <c r="G906" s="7"/>
      <c r="H906" s="28"/>
      <c r="I906" s="28"/>
      <c r="J906" s="28"/>
      <c r="K906" s="28"/>
    </row>
    <row r="907" spans="2:11" x14ac:dyDescent="0.25">
      <c r="B907" s="137">
        <v>0.90200000000000002</v>
      </c>
      <c r="C907" s="138" cm="1">
        <f t="array" ref="C907">ad(B907)</f>
        <v>0.94947704586216597</v>
      </c>
      <c r="D907" s="7"/>
      <c r="E907" s="27"/>
      <c r="F907" s="27"/>
      <c r="G907" s="7"/>
      <c r="H907" s="28"/>
      <c r="I907" s="28"/>
      <c r="J907" s="28"/>
      <c r="K907" s="28"/>
    </row>
    <row r="908" spans="2:11" x14ac:dyDescent="0.25">
      <c r="B908" s="137">
        <v>0.90300000000000002</v>
      </c>
      <c r="C908" s="138" cm="1">
        <f t="array" ref="C908">ad(B908)</f>
        <v>0.950232425794727</v>
      </c>
      <c r="D908" s="7"/>
      <c r="E908" s="27"/>
      <c r="F908" s="27"/>
      <c r="G908" s="7"/>
      <c r="H908" s="28"/>
      <c r="I908" s="28"/>
      <c r="J908" s="28"/>
      <c r="K908" s="28"/>
    </row>
    <row r="909" spans="2:11" x14ac:dyDescent="0.25">
      <c r="B909" s="137">
        <v>0.90400000000000003</v>
      </c>
      <c r="C909" s="138" cm="1">
        <f t="array" ref="C909">ad(B909)</f>
        <v>0.95098433820743633</v>
      </c>
      <c r="D909" s="7"/>
      <c r="E909" s="27"/>
      <c r="F909" s="27"/>
      <c r="G909" s="7"/>
      <c r="H909" s="28"/>
      <c r="I909" s="28"/>
      <c r="J909" s="28"/>
      <c r="K909" s="28"/>
    </row>
    <row r="910" spans="2:11" x14ac:dyDescent="0.25">
      <c r="B910" s="137">
        <v>0.90500000000000003</v>
      </c>
      <c r="C910" s="138" cm="1">
        <f t="array" ref="C910">ad(B910)</f>
        <v>0.95173275837074267</v>
      </c>
      <c r="D910" s="7"/>
      <c r="E910" s="27"/>
      <c r="F910" s="27"/>
      <c r="G910" s="7"/>
      <c r="H910" s="28"/>
      <c r="I910" s="28"/>
      <c r="J910" s="28"/>
      <c r="K910" s="28"/>
    </row>
    <row r="911" spans="2:11" x14ac:dyDescent="0.25">
      <c r="B911" s="137">
        <v>0.90600000000000003</v>
      </c>
      <c r="C911" s="138" cm="1">
        <f t="array" ref="C911">ad(B911)</f>
        <v>0.95247766120727839</v>
      </c>
      <c r="D911" s="7"/>
      <c r="E911" s="27"/>
      <c r="F911" s="27"/>
      <c r="G911" s="7"/>
      <c r="H911" s="28"/>
      <c r="I911" s="28"/>
      <c r="J911" s="28"/>
      <c r="K911" s="28"/>
    </row>
    <row r="912" spans="2:11" x14ac:dyDescent="0.25">
      <c r="B912" s="137">
        <v>0.90700000000000003</v>
      </c>
      <c r="C912" s="138" cm="1">
        <f t="array" ref="C912">ad(B912)</f>
        <v>0.95321902128273572</v>
      </c>
      <c r="D912" s="7"/>
      <c r="E912" s="27"/>
      <c r="F912" s="27"/>
      <c r="G912" s="7"/>
      <c r="H912" s="28"/>
      <c r="I912" s="28"/>
      <c r="J912" s="28"/>
      <c r="K912" s="28"/>
    </row>
    <row r="913" spans="2:11" x14ac:dyDescent="0.25">
      <c r="B913" s="137">
        <v>0.90800000000000003</v>
      </c>
      <c r="C913" s="138" cm="1">
        <f t="array" ref="C913">ad(B913)</f>
        <v>0.95395681279640543</v>
      </c>
      <c r="D913" s="7"/>
      <c r="E913" s="27"/>
      <c r="F913" s="27"/>
      <c r="G913" s="7"/>
      <c r="H913" s="28"/>
      <c r="I913" s="28"/>
      <c r="J913" s="28"/>
      <c r="K913" s="28"/>
    </row>
    <row r="914" spans="2:11" x14ac:dyDescent="0.25">
      <c r="B914" s="137">
        <v>0.90900000000000003</v>
      </c>
      <c r="C914" s="138" cm="1">
        <f t="array" ref="C914">ad(B914)</f>
        <v>0.95469100957135788</v>
      </c>
      <c r="D914" s="7"/>
      <c r="E914" s="27"/>
      <c r="F914" s="27"/>
      <c r="G914" s="7"/>
      <c r="H914" s="28"/>
      <c r="I914" s="28"/>
      <c r="J914" s="28"/>
      <c r="K914" s="28"/>
    </row>
    <row r="915" spans="2:11" x14ac:dyDescent="0.25">
      <c r="B915" s="137">
        <v>0.91</v>
      </c>
      <c r="C915" s="138" cm="1">
        <f t="array" ref="C915">ad(B915)</f>
        <v>0.95542158504425134</v>
      </c>
      <c r="D915" s="7"/>
      <c r="E915" s="27"/>
      <c r="F915" s="27"/>
      <c r="G915" s="7"/>
      <c r="H915" s="28"/>
      <c r="I915" s="28"/>
      <c r="J915" s="28"/>
      <c r="K915" s="28"/>
    </row>
    <row r="916" spans="2:11" x14ac:dyDescent="0.25">
      <c r="B916" s="137">
        <v>0.91100000000000003</v>
      </c>
      <c r="C916" s="138" cm="1">
        <f t="array" ref="C916">ad(B916)</f>
        <v>0.95614851225474751</v>
      </c>
      <c r="D916" s="7"/>
      <c r="E916" s="27"/>
      <c r="F916" s="27"/>
      <c r="G916" s="7"/>
      <c r="H916" s="28"/>
      <c r="I916" s="28"/>
      <c r="J916" s="28"/>
      <c r="K916" s="28"/>
    </row>
    <row r="917" spans="2:11" x14ac:dyDescent="0.25">
      <c r="B917" s="137">
        <v>0.91200000000000003</v>
      </c>
      <c r="C917" s="138" cm="1">
        <f t="array" ref="C917">ad(B917)</f>
        <v>0.95687176383451589</v>
      </c>
      <c r="D917" s="7"/>
      <c r="E917" s="27"/>
      <c r="F917" s="27"/>
      <c r="G917" s="7"/>
      <c r="H917" s="28"/>
      <c r="I917" s="28"/>
      <c r="J917" s="28"/>
      <c r="K917" s="28"/>
    </row>
    <row r="918" spans="2:11" x14ac:dyDescent="0.25">
      <c r="B918" s="137">
        <v>0.91300000000000003</v>
      </c>
      <c r="C918" s="138" cm="1">
        <f t="array" ref="C918">ad(B918)</f>
        <v>0.95759131199580416</v>
      </c>
      <c r="D918" s="7"/>
      <c r="E918" s="27"/>
      <c r="F918" s="27"/>
      <c r="G918" s="7"/>
      <c r="H918" s="28"/>
      <c r="I918" s="28"/>
      <c r="J918" s="28"/>
      <c r="K918" s="28"/>
    </row>
    <row r="919" spans="2:11" x14ac:dyDescent="0.25">
      <c r="B919" s="137">
        <v>0.91400000000000003</v>
      </c>
      <c r="C919" s="138" cm="1">
        <f t="array" ref="C919">ad(B919)</f>
        <v>0.95830712851955457</v>
      </c>
      <c r="D919" s="7"/>
      <c r="E919" s="27"/>
      <c r="F919" s="27"/>
      <c r="G919" s="7"/>
      <c r="H919" s="28"/>
      <c r="I919" s="28"/>
      <c r="J919" s="28"/>
      <c r="K919" s="28"/>
    </row>
    <row r="920" spans="2:11" x14ac:dyDescent="0.25">
      <c r="B920" s="137">
        <v>0.91500000000000004</v>
      </c>
      <c r="C920" s="138" cm="1">
        <f t="array" ref="C920">ad(B920)</f>
        <v>0.95901918474304071</v>
      </c>
      <c r="D920" s="7"/>
      <c r="E920" s="27"/>
      <c r="F920" s="27"/>
      <c r="G920" s="7"/>
      <c r="H920" s="28"/>
      <c r="I920" s="28"/>
      <c r="J920" s="28"/>
      <c r="K920" s="28"/>
    </row>
    <row r="921" spans="2:11" x14ac:dyDescent="0.25">
      <c r="B921" s="137">
        <v>0.91600000000000004</v>
      </c>
      <c r="C921" s="138" cm="1">
        <f t="array" ref="C921">ad(B921)</f>
        <v>0.95972745154700134</v>
      </c>
      <c r="D921" s="7"/>
      <c r="E921" s="27"/>
      <c r="F921" s="27"/>
      <c r="G921" s="7"/>
      <c r="H921" s="28"/>
      <c r="I921" s="28"/>
      <c r="J921" s="28"/>
      <c r="K921" s="28"/>
    </row>
    <row r="922" spans="2:11" x14ac:dyDescent="0.25">
      <c r="B922" s="137">
        <v>0.91700000000000004</v>
      </c>
      <c r="C922" s="138" cm="1">
        <f t="array" ref="C922">ad(B922)</f>
        <v>0.96043189934224205</v>
      </c>
      <c r="D922" s="7"/>
      <c r="E922" s="27"/>
      <c r="F922" s="27"/>
      <c r="G922" s="7"/>
      <c r="H922" s="28"/>
      <c r="I922" s="28"/>
      <c r="J922" s="28"/>
      <c r="K922" s="28"/>
    </row>
    <row r="923" spans="2:11" x14ac:dyDescent="0.25">
      <c r="B923" s="137">
        <v>0.91800000000000004</v>
      </c>
      <c r="C923" s="138" cm="1">
        <f t="array" ref="C923">ad(B923)</f>
        <v>0.96113249805568013</v>
      </c>
      <c r="D923" s="7"/>
      <c r="E923" s="27"/>
      <c r="F923" s="27"/>
      <c r="G923" s="7"/>
      <c r="H923" s="28"/>
      <c r="I923" s="28"/>
      <c r="J923" s="28"/>
      <c r="K923" s="28"/>
    </row>
    <row r="924" spans="2:11" x14ac:dyDescent="0.25">
      <c r="B924" s="137">
        <v>0.91900000000000004</v>
      </c>
      <c r="C924" s="138" cm="1">
        <f t="array" ref="C924">ad(B924)</f>
        <v>0.96182921711579628</v>
      </c>
      <c r="D924" s="7"/>
      <c r="E924" s="27"/>
      <c r="F924" s="27"/>
      <c r="G924" s="7"/>
      <c r="H924" s="28"/>
      <c r="I924" s="28"/>
      <c r="J924" s="28"/>
      <c r="K924" s="28"/>
    </row>
    <row r="925" spans="2:11" x14ac:dyDescent="0.25">
      <c r="B925" s="137">
        <v>0.92</v>
      </c>
      <c r="C925" s="138" cm="1">
        <f t="array" ref="C925">ad(B925)</f>
        <v>0.96252202543746712</v>
      </c>
      <c r="D925" s="7"/>
      <c r="E925" s="27"/>
      <c r="F925" s="27"/>
      <c r="G925" s="7"/>
      <c r="H925" s="28"/>
      <c r="I925" s="28"/>
      <c r="J925" s="28"/>
      <c r="K925" s="28"/>
    </row>
    <row r="926" spans="2:11" x14ac:dyDescent="0.25">
      <c r="B926" s="137">
        <v>0.92100000000000004</v>
      </c>
      <c r="C926" s="138" cm="1">
        <f t="array" ref="C926">ad(B926)</f>
        <v>0.96321089140613847</v>
      </c>
      <c r="D926" s="7"/>
      <c r="E926" s="27"/>
      <c r="F926" s="27"/>
      <c r="G926" s="7"/>
      <c r="H926" s="28"/>
      <c r="I926" s="28"/>
      <c r="J926" s="28"/>
      <c r="K926" s="28"/>
    </row>
    <row r="927" spans="2:11" x14ac:dyDescent="0.25">
      <c r="B927" s="137">
        <v>0.92200000000000004</v>
      </c>
      <c r="C927" s="138" cm="1">
        <f t="array" ref="C927">ad(B927)</f>
        <v>0.96389578286130551</v>
      </c>
      <c r="D927" s="7"/>
      <c r="E927" s="27"/>
      <c r="F927" s="27"/>
      <c r="G927" s="7"/>
      <c r="H927" s="28"/>
      <c r="I927" s="28"/>
      <c r="J927" s="28"/>
      <c r="K927" s="28"/>
    </row>
    <row r="928" spans="2:11" x14ac:dyDescent="0.25">
      <c r="B928" s="137">
        <v>0.92300000000000004</v>
      </c>
      <c r="C928" s="138" cm="1">
        <f t="array" ref="C928">ad(B928)</f>
        <v>0.96457666707925882</v>
      </c>
      <c r="D928" s="7"/>
      <c r="E928" s="27"/>
      <c r="F928" s="27"/>
      <c r="G928" s="7"/>
      <c r="H928" s="28"/>
      <c r="I928" s="28"/>
      <c r="J928" s="28"/>
      <c r="K928" s="28"/>
    </row>
    <row r="929" spans="2:11" x14ac:dyDescent="0.25">
      <c r="B929" s="137">
        <v>0.92400000000000004</v>
      </c>
      <c r="C929" s="138" cm="1">
        <f t="array" ref="C929">ad(B929)</f>
        <v>0.96525351075505295</v>
      </c>
      <c r="D929" s="7"/>
      <c r="E929" s="27"/>
      <c r="F929" s="27"/>
      <c r="G929" s="7"/>
      <c r="H929" s="28"/>
      <c r="I929" s="28"/>
      <c r="J929" s="28"/>
      <c r="K929" s="28"/>
    </row>
    <row r="930" spans="2:11" x14ac:dyDescent="0.25">
      <c r="B930" s="137">
        <v>0.92500000000000004</v>
      </c>
      <c r="C930" s="138" cm="1">
        <f t="array" ref="C930">ad(B930)</f>
        <v>0.96592627998365344</v>
      </c>
      <c r="D930" s="7"/>
      <c r="E930" s="27"/>
      <c r="F930" s="27"/>
      <c r="G930" s="7"/>
      <c r="H930" s="28"/>
      <c r="I930" s="28"/>
      <c r="J930" s="28"/>
      <c r="K930" s="28"/>
    </row>
    <row r="931" spans="2:11" x14ac:dyDescent="0.25">
      <c r="B931" s="137">
        <v>0.92600000000000005</v>
      </c>
      <c r="C931" s="138" cm="1">
        <f t="array" ref="C931">ad(B931)</f>
        <v>0.96659494024021186</v>
      </c>
      <c r="D931" s="7"/>
      <c r="E931" s="27"/>
      <c r="F931" s="27"/>
      <c r="G931" s="7"/>
      <c r="H931" s="28"/>
      <c r="I931" s="28"/>
      <c r="J931" s="28"/>
      <c r="K931" s="28"/>
    </row>
    <row r="932" spans="2:11" x14ac:dyDescent="0.25">
      <c r="B932" s="137">
        <v>0.92700000000000005</v>
      </c>
      <c r="C932" s="138" cm="1">
        <f t="array" ref="C932">ad(B932)</f>
        <v>0.96725945635941801</v>
      </c>
      <c r="D932" s="7"/>
      <c r="E932" s="27"/>
      <c r="F932" s="27"/>
      <c r="G932" s="7"/>
      <c r="H932" s="28"/>
      <c r="I932" s="28"/>
      <c r="J932" s="28"/>
      <c r="K932" s="28"/>
    </row>
    <row r="933" spans="2:11" x14ac:dyDescent="0.25">
      <c r="B933" s="137">
        <v>0.92800000000000005</v>
      </c>
      <c r="C933" s="138" cm="1">
        <f t="array" ref="C933">ad(B933)</f>
        <v>0.96791979251386984</v>
      </c>
      <c r="D933" s="7"/>
      <c r="E933" s="27"/>
      <c r="F933" s="27"/>
      <c r="G933" s="7"/>
      <c r="H933" s="28"/>
      <c r="I933" s="28"/>
      <c r="J933" s="28"/>
      <c r="K933" s="28"/>
    </row>
    <row r="934" spans="2:11" x14ac:dyDescent="0.25">
      <c r="B934" s="137">
        <v>0.92900000000000005</v>
      </c>
      <c r="C934" s="138" cm="1">
        <f t="array" ref="C934">ad(B934)</f>
        <v>0.96857591219140327</v>
      </c>
      <c r="D934" s="7"/>
      <c r="E934" s="27"/>
      <c r="F934" s="27"/>
      <c r="G934" s="7"/>
      <c r="H934" s="28"/>
      <c r="I934" s="28"/>
      <c r="J934" s="28"/>
      <c r="K934" s="28"/>
    </row>
    <row r="935" spans="2:11" x14ac:dyDescent="0.25">
      <c r="B935" s="137">
        <v>0.93</v>
      </c>
      <c r="C935" s="138" cm="1">
        <f t="array" ref="C935">ad(B935)</f>
        <v>0.96922777817131445</v>
      </c>
      <c r="D935" s="7"/>
      <c r="E935" s="27"/>
      <c r="F935" s="27"/>
      <c r="G935" s="7"/>
      <c r="H935" s="28"/>
      <c r="I935" s="28"/>
      <c r="J935" s="28"/>
      <c r="K935" s="28"/>
    </row>
    <row r="936" spans="2:11" x14ac:dyDescent="0.25">
      <c r="B936" s="137">
        <v>0.93100000000000005</v>
      </c>
      <c r="C936" s="138" cm="1">
        <f t="array" ref="C936">ad(B936)</f>
        <v>0.96987535249940482</v>
      </c>
      <c r="D936" s="7"/>
      <c r="E936" s="27"/>
      <c r="F936" s="27"/>
      <c r="G936" s="7"/>
      <c r="H936" s="28"/>
      <c r="I936" s="28"/>
      <c r="J936" s="28"/>
      <c r="K936" s="28"/>
    </row>
    <row r="937" spans="2:11" x14ac:dyDescent="0.25">
      <c r="B937" s="137">
        <v>0.93200000000000005</v>
      </c>
      <c r="C937" s="138" cm="1">
        <f t="array" ref="C937">ad(B937)</f>
        <v>0.9705185964617713</v>
      </c>
      <c r="D937" s="7"/>
      <c r="E937" s="27"/>
      <c r="F937" s="27"/>
      <c r="G937" s="7"/>
      <c r="H937" s="28"/>
      <c r="I937" s="28"/>
      <c r="J937" s="28"/>
      <c r="K937" s="28"/>
    </row>
    <row r="938" spans="2:11" x14ac:dyDescent="0.25">
      <c r="B938" s="137">
        <v>0.93300000000000005</v>
      </c>
      <c r="C938" s="138" cm="1">
        <f t="array" ref="C938">ad(B938)</f>
        <v>0.97115747055726065</v>
      </c>
      <c r="D938" s="7"/>
      <c r="E938" s="27"/>
      <c r="F938" s="27"/>
      <c r="G938" s="7"/>
      <c r="H938" s="28"/>
      <c r="I938" s="28"/>
      <c r="J938" s="28"/>
      <c r="K938" s="28"/>
    </row>
    <row r="939" spans="2:11" x14ac:dyDescent="0.25">
      <c r="B939" s="137">
        <v>0.93400000000000005</v>
      </c>
      <c r="C939" s="138" cm="1">
        <f t="array" ref="C939">ad(B939)</f>
        <v>0.97179193446849843</v>
      </c>
      <c r="D939" s="7"/>
      <c r="E939" s="27"/>
      <c r="F939" s="27"/>
      <c r="G939" s="7"/>
      <c r="H939" s="28"/>
      <c r="I939" s="28"/>
      <c r="J939" s="28"/>
      <c r="K939" s="28"/>
    </row>
    <row r="940" spans="2:11" x14ac:dyDescent="0.25">
      <c r="B940" s="137">
        <v>0.93500000000000005</v>
      </c>
      <c r="C940" s="138" cm="1">
        <f t="array" ref="C940">ad(B940)</f>
        <v>0.97242194703139562</v>
      </c>
      <c r="D940" s="7"/>
      <c r="E940" s="27"/>
      <c r="F940" s="27"/>
      <c r="G940" s="7"/>
      <c r="H940" s="28"/>
      <c r="I940" s="28"/>
      <c r="J940" s="28"/>
      <c r="K940" s="28"/>
    </row>
    <row r="941" spans="2:11" x14ac:dyDescent="0.25">
      <c r="B941" s="137">
        <v>0.93600000000000005</v>
      </c>
      <c r="C941" s="138" cm="1">
        <f t="array" ref="C941">ad(B941)</f>
        <v>0.97304746620302796</v>
      </c>
      <c r="D941" s="7"/>
      <c r="E941" s="27"/>
      <c r="F941" s="27"/>
      <c r="G941" s="7"/>
      <c r="H941" s="28"/>
      <c r="I941" s="28"/>
      <c r="J941" s="28"/>
      <c r="K941" s="28"/>
    </row>
    <row r="942" spans="2:11" x14ac:dyDescent="0.25">
      <c r="B942" s="137">
        <v>0.93700000000000006</v>
      </c>
      <c r="C942" s="138" cm="1">
        <f t="array" ref="C942">ad(B942)</f>
        <v>0.97366844902777583</v>
      </c>
      <c r="D942" s="7"/>
      <c r="E942" s="27"/>
      <c r="F942" s="27"/>
      <c r="G942" s="7"/>
      <c r="H942" s="28"/>
      <c r="I942" s="28"/>
      <c r="J942" s="28"/>
      <c r="K942" s="28"/>
    </row>
    <row r="943" spans="2:11" x14ac:dyDescent="0.25">
      <c r="B943" s="137">
        <v>0.93799999999999994</v>
      </c>
      <c r="C943" s="138" cm="1">
        <f t="array" ref="C943">ad(B943)</f>
        <v>0.97428485160159983</v>
      </c>
      <c r="D943" s="7"/>
      <c r="E943" s="27"/>
      <c r="F943" s="27"/>
      <c r="G943" s="7"/>
      <c r="H943" s="28"/>
      <c r="I943" s="28"/>
      <c r="J943" s="28"/>
      <c r="K943" s="28"/>
    </row>
    <row r="944" spans="2:11" x14ac:dyDescent="0.25">
      <c r="B944" s="137">
        <v>0.93899999999999995</v>
      </c>
      <c r="C944" s="138" cm="1">
        <f t="array" ref="C944">ad(B944)</f>
        <v>0.97489662903431773</v>
      </c>
      <c r="D944" s="7"/>
      <c r="E944" s="27"/>
      <c r="F944" s="27"/>
      <c r="G944" s="7"/>
      <c r="H944" s="28"/>
      <c r="I944" s="28"/>
      <c r="J944" s="28"/>
      <c r="K944" s="28"/>
    </row>
    <row r="945" spans="2:11" x14ac:dyDescent="0.25">
      <c r="B945" s="137">
        <v>0.94</v>
      </c>
      <c r="C945" s="138" cm="1">
        <f t="array" ref="C945">ad(B945)</f>
        <v>0.97550373540973734</v>
      </c>
      <c r="D945" s="7"/>
      <c r="E945" s="27"/>
      <c r="F945" s="27"/>
      <c r="G945" s="7"/>
      <c r="H945" s="28"/>
      <c r="I945" s="28"/>
      <c r="J945" s="28"/>
      <c r="K945" s="28"/>
    </row>
    <row r="946" spans="2:11" x14ac:dyDescent="0.25">
      <c r="B946" s="137">
        <v>0.94099999999999995</v>
      </c>
      <c r="C946" s="138" cm="1">
        <f t="array" ref="C946">ad(B946)</f>
        <v>0.97610612374348493</v>
      </c>
      <c r="D946" s="7"/>
      <c r="E946" s="27"/>
      <c r="F946" s="27"/>
      <c r="G946" s="7"/>
      <c r="H946" s="28"/>
      <c r="I946" s="28"/>
      <c r="J946" s="28"/>
      <c r="K946" s="28"/>
    </row>
    <row r="947" spans="2:11" x14ac:dyDescent="0.25">
      <c r="B947" s="137">
        <v>0.94199999999999995</v>
      </c>
      <c r="C947" s="138" cm="1">
        <f t="array" ref="C947">ad(B947)</f>
        <v>0.97670374593835385</v>
      </c>
      <c r="D947" s="7"/>
      <c r="E947" s="27"/>
      <c r="F947" s="27"/>
      <c r="G947" s="7"/>
      <c r="H947" s="28"/>
      <c r="I947" s="28"/>
      <c r="J947" s="28"/>
      <c r="K947" s="28"/>
    </row>
    <row r="948" spans="2:11" x14ac:dyDescent="0.25">
      <c r="B948" s="137">
        <v>0.94299999999999995</v>
      </c>
      <c r="C948" s="138" cm="1">
        <f t="array" ref="C948">ad(B948)</f>
        <v>0.97729655273698479</v>
      </c>
      <c r="D948" s="7"/>
      <c r="E948" s="27"/>
      <c r="F948" s="27"/>
      <c r="G948" s="7"/>
      <c r="H948" s="28"/>
      <c r="I948" s="28"/>
      <c r="J948" s="28"/>
      <c r="K948" s="28"/>
    </row>
    <row r="949" spans="2:11" x14ac:dyDescent="0.25">
      <c r="B949" s="137">
        <v>0.94399999999999995</v>
      </c>
      <c r="C949" s="138" cm="1">
        <f t="array" ref="C949">ad(B949)</f>
        <v>0.97788449367166508</v>
      </c>
      <c r="D949" s="7"/>
      <c r="E949" s="27"/>
      <c r="F949" s="27"/>
      <c r="G949" s="7"/>
      <c r="H949" s="28"/>
      <c r="I949" s="28"/>
      <c r="J949" s="28"/>
      <c r="K949" s="28"/>
    </row>
    <row r="950" spans="2:11" x14ac:dyDescent="0.25">
      <c r="B950" s="137">
        <v>0.94499999999999995</v>
      </c>
      <c r="C950" s="138" cm="1">
        <f t="array" ref="C950">ad(B950)</f>
        <v>0.97846751701101908</v>
      </c>
      <c r="D950" s="7"/>
      <c r="E950" s="27"/>
      <c r="F950" s="27"/>
      <c r="G950" s="7"/>
      <c r="H950" s="28"/>
      <c r="I950" s="28"/>
      <c r="J950" s="28"/>
      <c r="K950" s="28"/>
    </row>
    <row r="951" spans="2:11" x14ac:dyDescent="0.25">
      <c r="B951" s="137">
        <v>0.94599999999999995</v>
      </c>
      <c r="C951" s="138" cm="1">
        <f t="array" ref="C951">ad(B951)</f>
        <v>0.97904556970333845</v>
      </c>
      <c r="D951" s="7"/>
      <c r="E951" s="27"/>
      <c r="F951" s="27"/>
      <c r="G951" s="7"/>
      <c r="H951" s="28"/>
      <c r="I951" s="28"/>
      <c r="J951" s="28"/>
      <c r="K951" s="28"/>
    </row>
    <row r="952" spans="2:11" x14ac:dyDescent="0.25">
      <c r="B952" s="137">
        <v>0.94699999999999995</v>
      </c>
      <c r="C952" s="138" cm="1">
        <f t="array" ref="C952">ad(B952)</f>
        <v>0.9796185973162701</v>
      </c>
      <c r="D952" s="7"/>
      <c r="E952" s="27"/>
      <c r="F952" s="27"/>
      <c r="G952" s="7"/>
      <c r="H952" s="28"/>
      <c r="I952" s="28"/>
      <c r="J952" s="28"/>
      <c r="K952" s="28"/>
    </row>
    <row r="953" spans="2:11" x14ac:dyDescent="0.25">
      <c r="B953" s="137">
        <v>0.94799999999999995</v>
      </c>
      <c r="C953" s="138" cm="1">
        <f t="array" ref="C953">ad(B953)</f>
        <v>0.98018654397255855</v>
      </c>
      <c r="D953" s="7"/>
      <c r="E953" s="27"/>
      <c r="F953" s="27"/>
      <c r="G953" s="7"/>
      <c r="H953" s="28"/>
      <c r="I953" s="28"/>
      <c r="J953" s="28"/>
      <c r="K953" s="28"/>
    </row>
    <row r="954" spans="2:11" x14ac:dyDescent="0.25">
      <c r="B954" s="137">
        <v>0.94899999999999995</v>
      </c>
      <c r="C954" s="138" cm="1">
        <f t="array" ref="C954">ad(B954)</f>
        <v>0.98074935228150317</v>
      </c>
      <c r="D954" s="7"/>
      <c r="E954" s="27"/>
      <c r="F954" s="27"/>
      <c r="G954" s="7"/>
      <c r="H954" s="28"/>
      <c r="I954" s="28"/>
      <c r="J954" s="28"/>
      <c r="K954" s="28"/>
    </row>
    <row r="955" spans="2:11" x14ac:dyDescent="0.25">
      <c r="B955" s="137">
        <v>0.95</v>
      </c>
      <c r="C955" s="138" cm="1">
        <f t="array" ref="C955">ad(B955)</f>
        <v>0.98130696326575062</v>
      </c>
      <c r="D955" s="7"/>
      <c r="E955" s="27"/>
      <c r="F955" s="27"/>
      <c r="G955" s="7"/>
      <c r="H955" s="28"/>
      <c r="I955" s="28"/>
      <c r="J955" s="28"/>
      <c r="K955" s="28"/>
    </row>
    <row r="956" spans="2:11" x14ac:dyDescent="0.25">
      <c r="B956" s="137">
        <v>0.95099999999999996</v>
      </c>
      <c r="C956" s="138" cm="1">
        <f t="array" ref="C956">ad(B956)</f>
        <v>0.98185931628301371</v>
      </c>
      <c r="D956" s="7"/>
      <c r="E956" s="27"/>
      <c r="F956" s="27"/>
      <c r="G956" s="7"/>
      <c r="H956" s="28"/>
      <c r="I956" s="28"/>
      <c r="J956" s="28"/>
      <c r="K956" s="28"/>
    </row>
    <row r="957" spans="2:11" x14ac:dyDescent="0.25">
      <c r="B957" s="137">
        <v>0.95199999999999996</v>
      </c>
      <c r="C957" s="138" cm="1">
        <f t="array" ref="C957">ad(B957)</f>
        <v>0.9824063489422441</v>
      </c>
      <c r="D957" s="7"/>
      <c r="E957" s="27"/>
      <c r="F957" s="27"/>
      <c r="G957" s="7"/>
      <c r="H957" s="28"/>
      <c r="I957" s="28"/>
      <c r="J957" s="28"/>
      <c r="K957" s="28"/>
    </row>
    <row r="958" spans="2:11" x14ac:dyDescent="0.25">
      <c r="B958" s="137">
        <v>0.95299999999999996</v>
      </c>
      <c r="C958" s="138" cm="1">
        <f t="array" ref="C958">ad(B958)</f>
        <v>0.98294799701375224</v>
      </c>
      <c r="D958" s="7"/>
      <c r="E958" s="27"/>
      <c r="F958" s="27"/>
      <c r="G958" s="7"/>
      <c r="H958" s="28"/>
      <c r="I958" s="28"/>
      <c r="J958" s="28"/>
      <c r="K958" s="28"/>
    </row>
    <row r="959" spans="2:11" x14ac:dyDescent="0.25">
      <c r="B959" s="137">
        <v>0.95399999999999996</v>
      </c>
      <c r="C959" s="138" cm="1">
        <f t="array" ref="C959">ad(B959)</f>
        <v>0.98348419433269185</v>
      </c>
      <c r="D959" s="7"/>
      <c r="E959" s="27"/>
      <c r="F959" s="27"/>
      <c r="G959" s="7"/>
      <c r="H959" s="28"/>
      <c r="I959" s="28"/>
      <c r="J959" s="28"/>
      <c r="K959" s="28"/>
    </row>
    <row r="960" spans="2:11" x14ac:dyDescent="0.25">
      <c r="B960" s="137">
        <v>0.95499999999999996</v>
      </c>
      <c r="C960" s="138" cm="1">
        <f t="array" ref="C960">ad(B960)</f>
        <v>0.98401487269526844</v>
      </c>
      <c r="D960" s="7"/>
      <c r="E960" s="27"/>
      <c r="F960" s="27"/>
      <c r="G960" s="7"/>
      <c r="H960" s="28"/>
      <c r="I960" s="28"/>
      <c r="J960" s="28"/>
      <c r="K960" s="28"/>
    </row>
    <row r="961" spans="2:11" x14ac:dyDescent="0.25">
      <c r="B961" s="137">
        <v>0.95599999999999996</v>
      </c>
      <c r="C961" s="138" cm="1">
        <f t="array" ref="C961">ad(B961)</f>
        <v>0.98453996174694813</v>
      </c>
      <c r="D961" s="7"/>
      <c r="E961" s="27"/>
      <c r="F961" s="27"/>
      <c r="G961" s="7"/>
      <c r="H961" s="28"/>
      <c r="I961" s="28"/>
      <c r="J961" s="28"/>
      <c r="K961" s="28"/>
    </row>
    <row r="962" spans="2:11" x14ac:dyDescent="0.25">
      <c r="B962" s="137">
        <v>0.95699999999999996</v>
      </c>
      <c r="C962" s="138" cm="1">
        <f t="array" ref="C962">ad(B962)</f>
        <v>0.98505938886185573</v>
      </c>
      <c r="D962" s="7"/>
      <c r="E962" s="27"/>
      <c r="F962" s="27"/>
      <c r="G962" s="7"/>
      <c r="H962" s="28"/>
      <c r="I962" s="28"/>
      <c r="J962" s="28"/>
      <c r="K962" s="28"/>
    </row>
    <row r="963" spans="2:11" x14ac:dyDescent="0.25">
      <c r="B963" s="137">
        <v>0.95799999999999996</v>
      </c>
      <c r="C963" s="138" cm="1">
        <f t="array" ref="C963">ad(B963)</f>
        <v>0.98557307901244418</v>
      </c>
      <c r="D963" s="7"/>
      <c r="E963" s="27"/>
      <c r="F963" s="27"/>
      <c r="G963" s="7"/>
      <c r="H963" s="28"/>
      <c r="I963" s="28"/>
      <c r="J963" s="28"/>
      <c r="K963" s="28"/>
    </row>
    <row r="964" spans="2:11" x14ac:dyDescent="0.25">
      <c r="B964" s="137">
        <v>0.95899999999999996</v>
      </c>
      <c r="C964" s="138" cm="1">
        <f t="array" ref="C964">ad(B964)</f>
        <v>0.98608095462840595</v>
      </c>
      <c r="D964" s="7"/>
      <c r="E964" s="27"/>
      <c r="F964" s="27"/>
      <c r="G964" s="7"/>
      <c r="H964" s="28"/>
      <c r="I964" s="28"/>
      <c r="J964" s="28"/>
      <c r="K964" s="28"/>
    </row>
    <row r="965" spans="2:11" x14ac:dyDescent="0.25">
      <c r="B965" s="137">
        <v>0.96</v>
      </c>
      <c r="C965" s="138" cm="1">
        <f t="array" ref="C965">ad(B965)</f>
        <v>0.98658293544364717</v>
      </c>
      <c r="D965" s="7"/>
      <c r="E965" s="27"/>
      <c r="F965" s="27"/>
      <c r="G965" s="7"/>
      <c r="H965" s="28"/>
      <c r="I965" s="28"/>
      <c r="J965" s="28"/>
      <c r="K965" s="28"/>
    </row>
    <row r="966" spans="2:11" x14ac:dyDescent="0.25">
      <c r="B966" s="137">
        <v>0.96099999999999997</v>
      </c>
      <c r="C966" s="138" cm="1">
        <f t="array" ref="C966">ad(B966)</f>
        <v>0.98707893832999982</v>
      </c>
      <c r="D966" s="7"/>
      <c r="E966" s="27"/>
      <c r="F966" s="27"/>
      <c r="G966" s="7"/>
      <c r="H966" s="28"/>
      <c r="I966" s="28"/>
      <c r="J966" s="28"/>
      <c r="K966" s="28"/>
    </row>
    <row r="967" spans="2:11" x14ac:dyDescent="0.25">
      <c r="B967" s="137">
        <v>0.96199999999999997</v>
      </c>
      <c r="C967" s="138" cm="1">
        <f t="array" ref="C967">ad(B967)</f>
        <v>0.98756887711614605</v>
      </c>
      <c r="D967" s="7"/>
      <c r="E967" s="27"/>
      <c r="F967" s="27"/>
      <c r="G967" s="7"/>
      <c r="H967" s="28"/>
      <c r="I967" s="28"/>
      <c r="J967" s="28"/>
      <c r="K967" s="28"/>
    </row>
    <row r="968" spans="2:11" x14ac:dyDescent="0.25">
      <c r="B968" s="137">
        <v>0.96299999999999997</v>
      </c>
      <c r="C968" s="138" cm="1">
        <f t="array" ref="C968">ad(B968)</f>
        <v>0.98805266239002321</v>
      </c>
      <c r="D968" s="7"/>
      <c r="E968" s="27"/>
      <c r="F968" s="27"/>
      <c r="G968" s="7"/>
      <c r="H968" s="28"/>
      <c r="I968" s="28"/>
      <c r="J968" s="28"/>
      <c r="K968" s="28"/>
    </row>
    <row r="969" spans="2:11" x14ac:dyDescent="0.25">
      <c r="B969" s="137">
        <v>0.96399999999999997</v>
      </c>
      <c r="C969" s="138" cm="1">
        <f t="array" ref="C969">ad(B969)</f>
        <v>0.98853020128271174</v>
      </c>
      <c r="D969" s="7"/>
      <c r="E969" s="27"/>
      <c r="F969" s="27"/>
      <c r="G969" s="7"/>
      <c r="H969" s="28"/>
      <c r="I969" s="28"/>
      <c r="J969" s="28"/>
      <c r="K969" s="28"/>
    </row>
    <row r="970" spans="2:11" x14ac:dyDescent="0.25">
      <c r="B970" s="137">
        <v>0.96499999999999997</v>
      </c>
      <c r="C970" s="138" cm="1">
        <f t="array" ref="C970">ad(B970)</f>
        <v>0.98900139723151304</v>
      </c>
      <c r="D970" s="7"/>
      <c r="E970" s="27"/>
      <c r="F970" s="27"/>
      <c r="G970" s="7"/>
      <c r="H970" s="28"/>
      <c r="I970" s="28"/>
      <c r="J970" s="28"/>
      <c r="K970" s="28"/>
    </row>
    <row r="971" spans="2:11" x14ac:dyDescent="0.25">
      <c r="B971" s="137">
        <v>0.96599999999999997</v>
      </c>
      <c r="C971" s="138" cm="1">
        <f t="array" ref="C971">ad(B971)</f>
        <v>0.98946614971956048</v>
      </c>
      <c r="D971" s="7"/>
      <c r="E971" s="27"/>
      <c r="F971" s="27"/>
      <c r="G971" s="7"/>
      <c r="H971" s="28"/>
      <c r="I971" s="28"/>
      <c r="J971" s="28"/>
      <c r="K971" s="28"/>
    </row>
    <row r="972" spans="2:11" x14ac:dyDescent="0.25">
      <c r="B972" s="137">
        <v>0.96699999999999997</v>
      </c>
      <c r="C972" s="138" cm="1">
        <f t="array" ref="C972">ad(B972)</f>
        <v>0.98992435398888523</v>
      </c>
      <c r="D972" s="7"/>
      <c r="E972" s="27"/>
      <c r="F972" s="27"/>
      <c r="G972" s="7"/>
      <c r="H972" s="28"/>
      <c r="I972" s="28"/>
      <c r="J972" s="28"/>
      <c r="K972" s="28"/>
    </row>
    <row r="973" spans="2:11" x14ac:dyDescent="0.25">
      <c r="B973" s="137">
        <v>0.96799999999999997</v>
      </c>
      <c r="C973" s="138" cm="1">
        <f t="array" ref="C973">ad(B973)</f>
        <v>0.99037590072334547</v>
      </c>
      <c r="D973" s="7"/>
      <c r="E973" s="27"/>
      <c r="F973" s="27"/>
      <c r="G973" s="7"/>
      <c r="H973" s="28"/>
      <c r="I973" s="28"/>
      <c r="J973" s="28"/>
      <c r="K973" s="28"/>
    </row>
    <row r="974" spans="2:11" x14ac:dyDescent="0.25">
      <c r="B974" s="137">
        <v>0.96899999999999997</v>
      </c>
      <c r="C974" s="138" cm="1">
        <f t="array" ref="C974">ad(B974)</f>
        <v>0.9908206756972191</v>
      </c>
      <c r="D974" s="7"/>
      <c r="E974" s="27"/>
      <c r="F974" s="27"/>
      <c r="G974" s="7"/>
      <c r="H974" s="28"/>
      <c r="I974" s="28"/>
      <c r="J974" s="28"/>
      <c r="K974" s="28"/>
    </row>
    <row r="975" spans="2:11" x14ac:dyDescent="0.25">
      <c r="B975" s="137">
        <v>0.97</v>
      </c>
      <c r="C975" s="138" cm="1">
        <f t="array" ref="C975">ad(B975)</f>
        <v>0.9912585593845149</v>
      </c>
      <c r="D975" s="7"/>
      <c r="E975" s="27"/>
      <c r="F975" s="27"/>
      <c r="G975" s="7"/>
      <c r="H975" s="28"/>
      <c r="I975" s="28"/>
      <c r="J975" s="28"/>
      <c r="K975" s="28"/>
    </row>
    <row r="976" spans="2:11" x14ac:dyDescent="0.25">
      <c r="B976" s="137">
        <v>0.97099999999999997</v>
      </c>
      <c r="C976" s="138" cm="1">
        <f t="array" ref="C976">ad(B976)</f>
        <v>0.99168942652316383</v>
      </c>
      <c r="D976" s="7"/>
      <c r="E976" s="27"/>
      <c r="F976" s="27"/>
      <c r="G976" s="7"/>
      <c r="H976" s="28"/>
      <c r="I976" s="28"/>
      <c r="J976" s="28"/>
      <c r="K976" s="28"/>
    </row>
    <row r="977" spans="2:11" x14ac:dyDescent="0.25">
      <c r="B977" s="137">
        <v>0.97199999999999998</v>
      </c>
      <c r="C977" s="138" cm="1">
        <f t="array" ref="C977">ad(B977)</f>
        <v>0.99211314562715125</v>
      </c>
      <c r="D977" s="7"/>
      <c r="E977" s="27"/>
      <c r="F977" s="27"/>
      <c r="G977" s="7"/>
      <c r="H977" s="28"/>
      <c r="I977" s="28"/>
      <c r="J977" s="28"/>
      <c r="K977" s="28"/>
    </row>
    <row r="978" spans="2:11" x14ac:dyDescent="0.25">
      <c r="B978" s="137">
        <v>0.97299999999999998</v>
      </c>
      <c r="C978" s="138" cm="1">
        <f t="array" ref="C978">ad(B978)</f>
        <v>0.99252957843829737</v>
      </c>
      <c r="D978" s="7"/>
      <c r="E978" s="27"/>
      <c r="F978" s="27"/>
      <c r="G978" s="7"/>
      <c r="H978" s="28"/>
      <c r="I978" s="28"/>
      <c r="J978" s="28"/>
      <c r="K978" s="28"/>
    </row>
    <row r="979" spans="2:11" x14ac:dyDescent="0.25">
      <c r="B979" s="137">
        <v>0.97399999999999998</v>
      </c>
      <c r="C979" s="138" cm="1">
        <f t="array" ref="C979">ad(B979)</f>
        <v>0.99293857930772034</v>
      </c>
      <c r="D979" s="7"/>
      <c r="E979" s="27"/>
      <c r="F979" s="27"/>
      <c r="G979" s="7"/>
      <c r="H979" s="28"/>
      <c r="I979" s="28"/>
      <c r="J979" s="28"/>
      <c r="K979" s="28"/>
    </row>
    <row r="980" spans="2:11" x14ac:dyDescent="0.25">
      <c r="B980" s="137">
        <v>0.97499999999999998</v>
      </c>
      <c r="C980" s="138" cm="1">
        <f t="array" ref="C980">ad(B980)</f>
        <v>0.99333999449492938</v>
      </c>
      <c r="D980" s="7"/>
      <c r="E980" s="27"/>
      <c r="F980" s="27"/>
      <c r="G980" s="7"/>
      <c r="H980" s="28"/>
      <c r="I980" s="28"/>
      <c r="J980" s="28"/>
      <c r="K980" s="28"/>
    </row>
    <row r="981" spans="2:11" x14ac:dyDescent="0.25">
      <c r="B981" s="137">
        <v>0.97599999999999998</v>
      </c>
      <c r="C981" s="138" cm="1">
        <f t="array" ref="C981">ad(B981)</f>
        <v>0.99373366136985997</v>
      </c>
      <c r="D981" s="7"/>
      <c r="E981" s="27"/>
      <c r="F981" s="27"/>
      <c r="G981" s="7"/>
      <c r="H981" s="28"/>
      <c r="I981" s="28"/>
      <c r="J981" s="28"/>
      <c r="K981" s="28"/>
    </row>
    <row r="982" spans="2:11" x14ac:dyDescent="0.25">
      <c r="B982" s="137">
        <v>0.97699999999999998</v>
      </c>
      <c r="C982" s="138" cm="1">
        <f t="array" ref="C982">ad(B982)</f>
        <v>0.99411940749983452</v>
      </c>
      <c r="D982" s="7"/>
      <c r="E982" s="27"/>
      <c r="F982" s="27"/>
      <c r="G982" s="7"/>
      <c r="H982" s="28"/>
      <c r="I982" s="28"/>
      <c r="J982" s="28"/>
      <c r="K982" s="28"/>
    </row>
    <row r="983" spans="2:11" x14ac:dyDescent="0.25">
      <c r="B983" s="137">
        <v>0.97799999999999998</v>
      </c>
      <c r="C983" s="138" cm="1">
        <f t="array" ref="C983">ad(B983)</f>
        <v>0.99449704959916241</v>
      </c>
      <c r="D983" s="7"/>
      <c r="E983" s="27"/>
      <c r="F983" s="27"/>
      <c r="G983" s="7"/>
      <c r="H983" s="28"/>
      <c r="I983" s="28"/>
      <c r="J983" s="28"/>
      <c r="K983" s="28"/>
    </row>
    <row r="984" spans="2:11" x14ac:dyDescent="0.25">
      <c r="B984" s="137">
        <v>0.97899999999999998</v>
      </c>
      <c r="C984" s="138" cm="1">
        <f t="array" ref="C984">ad(B984)</f>
        <v>0.99486639231357354</v>
      </c>
      <c r="D984" s="7"/>
      <c r="E984" s="27"/>
      <c r="F984" s="27"/>
      <c r="G984" s="7"/>
      <c r="H984" s="28"/>
      <c r="I984" s="28"/>
      <c r="J984" s="28"/>
      <c r="K984" s="28"/>
    </row>
    <row r="985" spans="2:11" x14ac:dyDescent="0.25">
      <c r="B985" s="137">
        <v>0.98</v>
      </c>
      <c r="C985" s="138" cm="1">
        <f t="array" ref="C985">ad(B985)</f>
        <v>0.99522722680446996</v>
      </c>
      <c r="D985" s="7"/>
      <c r="E985" s="27"/>
      <c r="F985" s="27"/>
      <c r="G985" s="7"/>
      <c r="H985" s="28"/>
      <c r="I985" s="28"/>
      <c r="J985" s="28"/>
      <c r="K985" s="28"/>
    </row>
    <row r="986" spans="2:11" x14ac:dyDescent="0.25">
      <c r="B986" s="137">
        <v>0.98099999999999998</v>
      </c>
      <c r="C986" s="138" cm="1">
        <f t="array" ref="C986">ad(B986)</f>
        <v>0.9955793290884507</v>
      </c>
      <c r="D986" s="7"/>
      <c r="E986" s="27"/>
      <c r="F986" s="27"/>
      <c r="G986" s="7"/>
      <c r="H986" s="28"/>
      <c r="I986" s="28"/>
      <c r="J986" s="28"/>
      <c r="K986" s="28"/>
    </row>
    <row r="987" spans="2:11" x14ac:dyDescent="0.25">
      <c r="B987" s="137">
        <v>0.98199999999999998</v>
      </c>
      <c r="C987" s="138" cm="1">
        <f t="array" ref="C987">ad(B987)</f>
        <v>0.99592245807480739</v>
      </c>
      <c r="D987" s="7"/>
      <c r="E987" s="27"/>
      <c r="F987" s="27"/>
      <c r="G987" s="7"/>
      <c r="H987" s="28"/>
      <c r="I987" s="28"/>
      <c r="J987" s="28"/>
      <c r="K987" s="28"/>
    </row>
    <row r="988" spans="2:11" x14ac:dyDescent="0.25">
      <c r="B988" s="137">
        <v>0.98299999999999998</v>
      </c>
      <c r="C988" s="138" cm="1">
        <f t="array" ref="C988">ad(B988)</f>
        <v>0.99625635322636008</v>
      </c>
      <c r="D988" s="7"/>
      <c r="E988" s="27"/>
      <c r="F988" s="27"/>
      <c r="G988" s="7"/>
      <c r="H988" s="28"/>
      <c r="I988" s="28"/>
      <c r="J988" s="28"/>
      <c r="K988" s="28"/>
    </row>
    <row r="989" spans="2:11" x14ac:dyDescent="0.25">
      <c r="B989" s="137">
        <v>0.98399999999999999</v>
      </c>
      <c r="C989" s="138" cm="1">
        <f t="array" ref="C989">ad(B989)</f>
        <v>0.99658073174514639</v>
      </c>
      <c r="D989" s="7"/>
      <c r="E989" s="27"/>
      <c r="F989" s="27"/>
      <c r="G989" s="7"/>
      <c r="H989" s="28"/>
      <c r="I989" s="28"/>
      <c r="J989" s="28"/>
      <c r="K989" s="28"/>
    </row>
    <row r="990" spans="2:11" x14ac:dyDescent="0.25">
      <c r="B990" s="137">
        <v>0.98499999999999999</v>
      </c>
      <c r="C990" s="138" cm="1">
        <f t="array" ref="C990">ad(B990)</f>
        <v>0.99689528515099868</v>
      </c>
      <c r="D990" s="7"/>
      <c r="E990" s="27"/>
      <c r="F990" s="27"/>
      <c r="G990" s="7"/>
      <c r="H990" s="28"/>
      <c r="I990" s="28"/>
      <c r="J990" s="28"/>
      <c r="K990" s="28"/>
    </row>
    <row r="991" spans="2:11" x14ac:dyDescent="0.25">
      <c r="B991" s="137">
        <v>0.98599999999999999</v>
      </c>
      <c r="C991" s="138" cm="1">
        <f t="array" ref="C991">ad(B991)</f>
        <v>0.99719967507325191</v>
      </c>
      <c r="D991" s="7"/>
      <c r="E991" s="27"/>
      <c r="F991" s="27"/>
      <c r="G991" s="7"/>
      <c r="H991" s="28"/>
      <c r="I991" s="28"/>
      <c r="J991" s="28"/>
      <c r="K991" s="28"/>
    </row>
    <row r="992" spans="2:11" x14ac:dyDescent="0.25">
      <c r="B992" s="137">
        <v>0.98699999999999999</v>
      </c>
      <c r="C992" s="138" cm="1">
        <f t="array" ref="C992">ad(B992)</f>
        <v>0.99749352800608881</v>
      </c>
      <c r="D992" s="7"/>
      <c r="E992" s="27"/>
      <c r="F992" s="27"/>
      <c r="G992" s="7"/>
      <c r="H992" s="28"/>
      <c r="I992" s="28"/>
      <c r="J992" s="28"/>
      <c r="K992" s="28"/>
    </row>
    <row r="993" spans="2:11" x14ac:dyDescent="0.25">
      <c r="B993" s="137">
        <v>0.98799999999999999</v>
      </c>
      <c r="C993" s="138" cm="1">
        <f t="array" ref="C993">ad(B993)</f>
        <v>0.99777642867384675</v>
      </c>
      <c r="D993" s="7"/>
      <c r="E993" s="27"/>
      <c r="F993" s="27"/>
      <c r="G993" s="7"/>
      <c r="H993" s="28"/>
      <c r="I993" s="28"/>
      <c r="J993" s="28"/>
      <c r="K993" s="28"/>
    </row>
    <row r="994" spans="2:11" x14ac:dyDescent="0.25">
      <c r="B994" s="137">
        <v>0.98899999999999999</v>
      </c>
      <c r="C994" s="138" cm="1">
        <f t="array" ref="C994">ad(B994)</f>
        <v>0.99804791149270389</v>
      </c>
      <c r="D994" s="7"/>
      <c r="E994" s="27"/>
      <c r="F994" s="27"/>
      <c r="G994" s="7"/>
      <c r="H994" s="28"/>
      <c r="I994" s="28"/>
      <c r="J994" s="28"/>
      <c r="K994" s="28"/>
    </row>
    <row r="995" spans="2:11" x14ac:dyDescent="0.25">
      <c r="B995" s="137">
        <v>0.99</v>
      </c>
      <c r="C995" s="138" cm="1">
        <f t="array" ref="C995">ad(B995)</f>
        <v>0.99830744936198323</v>
      </c>
      <c r="D995" s="7"/>
      <c r="E995" s="27"/>
      <c r="F995" s="27"/>
      <c r="G995" s="7"/>
      <c r="H995" s="28"/>
      <c r="I995" s="28"/>
      <c r="J995" s="28"/>
      <c r="K995" s="28"/>
    </row>
    <row r="996" spans="2:11" x14ac:dyDescent="0.25">
      <c r="B996" s="137">
        <v>0.99099999999999999</v>
      </c>
      <c r="C996" s="138" cm="1">
        <f t="array" ref="C996">ad(B996)</f>
        <v>0.99855443860275339</v>
      </c>
      <c r="D996" s="7"/>
      <c r="E996" s="27"/>
      <c r="F996" s="27"/>
      <c r="G996" s="7"/>
      <c r="H996" s="28"/>
      <c r="I996" s="28"/>
      <c r="J996" s="28"/>
      <c r="K996" s="28"/>
    </row>
    <row r="997" spans="2:11" x14ac:dyDescent="0.25">
      <c r="B997" s="137">
        <v>0.99199999999999999</v>
      </c>
      <c r="C997" s="138" cm="1">
        <f t="array" ref="C997">ad(B997)</f>
        <v>0.99878817814978427</v>
      </c>
      <c r="D997" s="7"/>
      <c r="E997" s="27"/>
      <c r="F997" s="27"/>
      <c r="G997" s="7"/>
      <c r="H997" s="28"/>
      <c r="I997" s="28"/>
      <c r="J997" s="28"/>
      <c r="K997" s="28"/>
    </row>
    <row r="998" spans="2:11" x14ac:dyDescent="0.25">
      <c r="B998" s="137">
        <v>0.99299999999999999</v>
      </c>
      <c r="C998" s="138" cm="1">
        <f t="array" ref="C998">ad(B998)</f>
        <v>0.99900783982102581</v>
      </c>
      <c r="D998" s="7"/>
      <c r="E998" s="27"/>
      <c r="F998" s="27"/>
      <c r="G998" s="7"/>
      <c r="H998" s="28"/>
      <c r="I998" s="28"/>
      <c r="J998" s="28"/>
      <c r="K998" s="28"/>
    </row>
    <row r="999" spans="2:11" x14ac:dyDescent="0.25">
      <c r="B999" s="137">
        <v>0.99399999999999999</v>
      </c>
      <c r="C999" s="138" cm="1">
        <f t="array" ref="C999">ad(B999)</f>
        <v>0.9992124240326401</v>
      </c>
      <c r="D999" s="7"/>
      <c r="E999" s="27"/>
      <c r="F999" s="27"/>
      <c r="G999" s="7"/>
      <c r="H999" s="28"/>
      <c r="I999" s="28"/>
      <c r="J999" s="28"/>
      <c r="K999" s="28"/>
    </row>
    <row r="1000" spans="2:11" x14ac:dyDescent="0.25">
      <c r="B1000" s="137">
        <v>0.995</v>
      </c>
      <c r="C1000" s="138" cm="1">
        <f t="array" ref="C1000">ad(B1000)</f>
        <v>0.99940069024429878</v>
      </c>
      <c r="D1000" s="7"/>
      <c r="E1000" s="27"/>
      <c r="F1000" s="27"/>
      <c r="G1000" s="7"/>
      <c r="H1000" s="28"/>
      <c r="I1000" s="28"/>
      <c r="J1000" s="28"/>
      <c r="K1000" s="28"/>
    </row>
    <row r="1001" spans="2:11" x14ac:dyDescent="0.25">
      <c r="B1001" s="137">
        <v>0.996</v>
      </c>
      <c r="C1001" s="138" cm="1">
        <f t="array" ref="C1001">ad(B1001)</f>
        <v>0.99957103979653628</v>
      </c>
      <c r="D1001" s="7"/>
      <c r="E1001" s="27"/>
      <c r="F1001" s="27"/>
      <c r="G1001" s="7"/>
      <c r="H1001" s="28"/>
      <c r="I1001" s="28"/>
      <c r="J1001" s="28"/>
      <c r="K1001" s="28"/>
    </row>
    <row r="1002" spans="2:11" x14ac:dyDescent="0.25">
      <c r="B1002" s="137">
        <v>0.997</v>
      </c>
      <c r="C1002" s="138" cm="1">
        <f t="array" ref="C1002">ad(B1002)</f>
        <v>0.99972129838427559</v>
      </c>
      <c r="D1002" s="7"/>
      <c r="E1002" s="27"/>
      <c r="F1002" s="27"/>
      <c r="G1002" s="7"/>
      <c r="H1002" s="28"/>
      <c r="I1002" s="28"/>
      <c r="J1002" s="28"/>
      <c r="K1002" s="28"/>
    </row>
    <row r="1003" spans="2:11" x14ac:dyDescent="0.25">
      <c r="B1003" s="137">
        <v>0.998</v>
      </c>
      <c r="C1003" s="138" cm="1">
        <f t="array" ref="C1003">ad(B1003)</f>
        <v>0.99984824846223963</v>
      </c>
      <c r="D1003" s="7"/>
      <c r="E1003" s="27"/>
      <c r="F1003" s="27"/>
      <c r="G1003" s="7"/>
      <c r="H1003" s="28"/>
      <c r="I1003" s="28"/>
      <c r="J1003" s="28"/>
      <c r="K1003" s="28"/>
    </row>
    <row r="1004" spans="2:11" x14ac:dyDescent="0.25">
      <c r="B1004" s="137">
        <v>0.999</v>
      </c>
      <c r="C1004" s="138" cm="1">
        <f t="array" ref="C1004">ad(B1004)</f>
        <v>0.99994633161531321</v>
      </c>
      <c r="D1004" s="7"/>
      <c r="E1004" s="27"/>
      <c r="F1004" s="27"/>
      <c r="G1004" s="7"/>
      <c r="H1004" s="28"/>
      <c r="I1004" s="28"/>
      <c r="J1004" s="28"/>
      <c r="K1004" s="28"/>
    </row>
    <row r="1005" spans="2:11" x14ac:dyDescent="0.25">
      <c r="B1005" s="137">
        <v>1</v>
      </c>
      <c r="C1005" s="138" cm="1">
        <f t="array" ref="C1005">ad(B1005)</f>
        <v>1</v>
      </c>
      <c r="D1005" s="7"/>
      <c r="E1005" s="27"/>
      <c r="F1005" s="27"/>
      <c r="G1005" s="7"/>
      <c r="H1005" s="28"/>
      <c r="I1005" s="28"/>
      <c r="J1005" s="28"/>
      <c r="K1005" s="28"/>
    </row>
    <row r="1006" spans="2:11" x14ac:dyDescent="0.25">
      <c r="B1006" s="25"/>
      <c r="C1006" s="8"/>
      <c r="D1006" s="7"/>
      <c r="E1006" s="27"/>
      <c r="F1006" s="27"/>
      <c r="G1006" s="7"/>
      <c r="H1006" s="28"/>
      <c r="I1006" s="28"/>
      <c r="J1006" s="28"/>
      <c r="K1006" s="28"/>
    </row>
    <row r="1007" spans="2:11" x14ac:dyDescent="0.25">
      <c r="B1007" s="25"/>
      <c r="C1007" s="8"/>
      <c r="D1007" s="7"/>
      <c r="E1007" s="27"/>
      <c r="F1007" s="27"/>
      <c r="G1007" s="7"/>
      <c r="H1007" s="28"/>
      <c r="I1007" s="28"/>
      <c r="J1007" s="28"/>
      <c r="K1007" s="28"/>
    </row>
    <row r="1008" spans="2:11" x14ac:dyDescent="0.25">
      <c r="B1008" s="25"/>
      <c r="C1008" s="8"/>
      <c r="D1008" s="7"/>
      <c r="E1008" s="27"/>
      <c r="F1008" s="27"/>
      <c r="G1008" s="7"/>
      <c r="H1008" s="28"/>
      <c r="I1008" s="28"/>
      <c r="J1008" s="28"/>
      <c r="K1008" s="28"/>
    </row>
    <row r="1009" spans="2:11" x14ac:dyDescent="0.25">
      <c r="B1009" s="25"/>
      <c r="C1009" s="8"/>
      <c r="D1009" s="7"/>
      <c r="E1009" s="27"/>
      <c r="F1009" s="27"/>
      <c r="G1009" s="7"/>
      <c r="H1009" s="28"/>
      <c r="I1009" s="28"/>
      <c r="J1009" s="28"/>
      <c r="K1009" s="28"/>
    </row>
    <row r="1010" spans="2:11" x14ac:dyDescent="0.25">
      <c r="B1010" s="25"/>
      <c r="C1010" s="8"/>
      <c r="D1010" s="7"/>
      <c r="E1010" s="27"/>
      <c r="F1010" s="27"/>
      <c r="G1010" s="7"/>
      <c r="H1010" s="28"/>
      <c r="I1010" s="28"/>
      <c r="J1010" s="28"/>
      <c r="K1010" s="28"/>
    </row>
    <row r="1011" spans="2:11" x14ac:dyDescent="0.25">
      <c r="B1011" s="25"/>
      <c r="C1011" s="8"/>
      <c r="D1011" s="7"/>
      <c r="E1011" s="27"/>
      <c r="F1011" s="27"/>
      <c r="G1011" s="7"/>
      <c r="H1011" s="28"/>
      <c r="I1011" s="28"/>
      <c r="J1011" s="28"/>
      <c r="K1011" s="28"/>
    </row>
    <row r="1012" spans="2:11" x14ac:dyDescent="0.25">
      <c r="B1012" s="25"/>
      <c r="C1012" s="8"/>
      <c r="D1012" s="7"/>
      <c r="E1012" s="27"/>
      <c r="F1012" s="27"/>
      <c r="G1012" s="7"/>
      <c r="H1012" s="28"/>
      <c r="I1012" s="28"/>
      <c r="J1012" s="28"/>
      <c r="K1012" s="28"/>
    </row>
    <row r="1013" spans="2:11" x14ac:dyDescent="0.25">
      <c r="B1013" s="25"/>
      <c r="C1013" s="8"/>
      <c r="D1013" s="7"/>
      <c r="E1013" s="27"/>
      <c r="F1013" s="27"/>
      <c r="G1013" s="7"/>
      <c r="H1013" s="28"/>
      <c r="I1013" s="28"/>
      <c r="J1013" s="28"/>
      <c r="K1013" s="28"/>
    </row>
    <row r="1014" spans="2:11" x14ac:dyDescent="0.25">
      <c r="B1014" s="25"/>
      <c r="C1014" s="8"/>
      <c r="D1014" s="7"/>
      <c r="E1014" s="27"/>
      <c r="F1014" s="27"/>
      <c r="G1014" s="7"/>
      <c r="H1014" s="28"/>
      <c r="I1014" s="28"/>
      <c r="J1014" s="28"/>
      <c r="K1014" s="28"/>
    </row>
    <row r="1015" spans="2:11" x14ac:dyDescent="0.25">
      <c r="B1015" s="25"/>
      <c r="C1015" s="8"/>
      <c r="D1015" s="7"/>
      <c r="E1015" s="27"/>
      <c r="F1015" s="27"/>
      <c r="G1015" s="7"/>
      <c r="H1015" s="28"/>
      <c r="I1015" s="28"/>
      <c r="J1015" s="28"/>
      <c r="K1015" s="28"/>
    </row>
    <row r="1016" spans="2:11" x14ac:dyDescent="0.25">
      <c r="B1016" s="25"/>
      <c r="C1016" s="8"/>
      <c r="D1016" s="7"/>
      <c r="E1016" s="27"/>
      <c r="F1016" s="27"/>
      <c r="G1016" s="7"/>
      <c r="H1016" s="28"/>
      <c r="I1016" s="28"/>
      <c r="J1016" s="28"/>
      <c r="K1016" s="28"/>
    </row>
    <row r="1017" spans="2:11" x14ac:dyDescent="0.25">
      <c r="B1017" s="25"/>
      <c r="C1017" s="8"/>
      <c r="D1017" s="7"/>
      <c r="E1017" s="27"/>
      <c r="F1017" s="27"/>
      <c r="G1017" s="7"/>
      <c r="H1017" s="28"/>
      <c r="I1017" s="28"/>
      <c r="J1017" s="28"/>
      <c r="K1017" s="28"/>
    </row>
    <row r="1018" spans="2:11" x14ac:dyDescent="0.25">
      <c r="B1018" s="25"/>
      <c r="C1018" s="8"/>
      <c r="D1018" s="7"/>
      <c r="E1018" s="27"/>
      <c r="F1018" s="27"/>
      <c r="G1018" s="7"/>
      <c r="H1018" s="28"/>
      <c r="I1018" s="28"/>
      <c r="J1018" s="28"/>
      <c r="K1018" s="28"/>
    </row>
    <row r="1019" spans="2:11" x14ac:dyDescent="0.25">
      <c r="B1019" s="25"/>
      <c r="C1019" s="8"/>
      <c r="D1019" s="7"/>
      <c r="E1019" s="27"/>
      <c r="F1019" s="27"/>
      <c r="G1019" s="7"/>
      <c r="H1019" s="28"/>
      <c r="I1019" s="28"/>
      <c r="J1019" s="28"/>
      <c r="K1019" s="28"/>
    </row>
    <row r="1020" spans="2:11" x14ac:dyDescent="0.25">
      <c r="B1020" s="25"/>
      <c r="C1020" s="8"/>
      <c r="D1020" s="7"/>
      <c r="E1020" s="27"/>
      <c r="F1020" s="27"/>
      <c r="G1020" s="7"/>
      <c r="H1020" s="28"/>
      <c r="I1020" s="28"/>
      <c r="J1020" s="28"/>
      <c r="K1020" s="28"/>
    </row>
    <row r="1021" spans="2:11" x14ac:dyDescent="0.25">
      <c r="B1021" s="25"/>
      <c r="C1021" s="8"/>
      <c r="D1021" s="7"/>
      <c r="E1021" s="27"/>
      <c r="F1021" s="27"/>
      <c r="G1021" s="7"/>
      <c r="H1021" s="28"/>
      <c r="I1021" s="28"/>
      <c r="J1021" s="28"/>
      <c r="K1021" s="28"/>
    </row>
    <row r="1022" spans="2:11" x14ac:dyDescent="0.25">
      <c r="B1022" s="25"/>
      <c r="C1022" s="8"/>
      <c r="D1022" s="7"/>
      <c r="E1022" s="27"/>
      <c r="F1022" s="27"/>
      <c r="G1022" s="7"/>
      <c r="H1022" s="28"/>
      <c r="I1022" s="28"/>
      <c r="J1022" s="28"/>
      <c r="K1022" s="28"/>
    </row>
    <row r="1023" spans="2:11" x14ac:dyDescent="0.25">
      <c r="B1023" s="25"/>
      <c r="C1023" s="8"/>
      <c r="D1023" s="7"/>
      <c r="E1023" s="27"/>
      <c r="F1023" s="27"/>
      <c r="G1023" s="7"/>
      <c r="H1023" s="28"/>
      <c r="I1023" s="28"/>
      <c r="J1023" s="28"/>
      <c r="K1023" s="28"/>
    </row>
    <row r="1024" spans="2:11" x14ac:dyDescent="0.25">
      <c r="B1024" s="25"/>
      <c r="C1024" s="8"/>
      <c r="D1024" s="7"/>
      <c r="E1024" s="27"/>
      <c r="F1024" s="27"/>
      <c r="G1024" s="7"/>
      <c r="H1024" s="28"/>
      <c r="I1024" s="28"/>
      <c r="J1024" s="28"/>
      <c r="K1024" s="28"/>
    </row>
    <row r="1025" spans="2:11" x14ac:dyDescent="0.25">
      <c r="B1025" s="25"/>
      <c r="C1025" s="8"/>
      <c r="D1025" s="7"/>
      <c r="E1025" s="27"/>
      <c r="F1025" s="27"/>
      <c r="G1025" s="7"/>
      <c r="H1025" s="28"/>
      <c r="I1025" s="28"/>
      <c r="J1025" s="28"/>
      <c r="K1025" s="28"/>
    </row>
    <row r="1026" spans="2:11" x14ac:dyDescent="0.25">
      <c r="B1026" s="25"/>
      <c r="C1026" s="8"/>
      <c r="D1026" s="7"/>
      <c r="E1026" s="27"/>
      <c r="F1026" s="27"/>
      <c r="G1026" s="7"/>
      <c r="H1026" s="28"/>
      <c r="I1026" s="28"/>
      <c r="J1026" s="28"/>
      <c r="K1026" s="28"/>
    </row>
    <row r="1027" spans="2:11" x14ac:dyDescent="0.25">
      <c r="B1027" s="25"/>
      <c r="C1027" s="8"/>
      <c r="D1027" s="7"/>
      <c r="E1027" s="27"/>
      <c r="F1027" s="27"/>
      <c r="G1027" s="7"/>
      <c r="H1027" s="28"/>
      <c r="I1027" s="28"/>
      <c r="J1027" s="28"/>
      <c r="K1027" s="28"/>
    </row>
    <row r="1028" spans="2:11" x14ac:dyDescent="0.25">
      <c r="B1028" s="25"/>
      <c r="C1028" s="8"/>
      <c r="D1028" s="7"/>
      <c r="E1028" s="27"/>
      <c r="F1028" s="27"/>
      <c r="G1028" s="7"/>
      <c r="H1028" s="28"/>
      <c r="I1028" s="28"/>
      <c r="J1028" s="28"/>
      <c r="K1028" s="28"/>
    </row>
    <row r="1029" spans="2:11" x14ac:dyDescent="0.25">
      <c r="B1029" s="25"/>
      <c r="C1029" s="8"/>
      <c r="D1029" s="7"/>
      <c r="E1029" s="27"/>
      <c r="F1029" s="27"/>
      <c r="G1029" s="7"/>
      <c r="H1029" s="28"/>
      <c r="I1029" s="28"/>
      <c r="J1029" s="28"/>
      <c r="K1029" s="28"/>
    </row>
    <row r="1030" spans="2:11" x14ac:dyDescent="0.25">
      <c r="B1030" s="25"/>
      <c r="C1030" s="8"/>
      <c r="D1030" s="7"/>
      <c r="E1030" s="27"/>
      <c r="F1030" s="27"/>
      <c r="G1030" s="7"/>
      <c r="H1030" s="28"/>
      <c r="I1030" s="28"/>
      <c r="J1030" s="28"/>
      <c r="K1030" s="28"/>
    </row>
    <row r="1031" spans="2:11" x14ac:dyDescent="0.25">
      <c r="B1031" s="25"/>
      <c r="C1031" s="8"/>
      <c r="D1031" s="7"/>
      <c r="E1031" s="27"/>
      <c r="F1031" s="27"/>
      <c r="G1031" s="7"/>
      <c r="H1031" s="28"/>
      <c r="I1031" s="28"/>
      <c r="J1031" s="28"/>
      <c r="K1031" s="28"/>
    </row>
    <row r="1032" spans="2:11" x14ac:dyDescent="0.25">
      <c r="B1032" s="25"/>
      <c r="C1032" s="8"/>
      <c r="D1032" s="7"/>
      <c r="E1032" s="27"/>
      <c r="F1032" s="27"/>
      <c r="G1032" s="7"/>
      <c r="H1032" s="28"/>
      <c r="I1032" s="28"/>
      <c r="J1032" s="28"/>
      <c r="K1032" s="28"/>
    </row>
    <row r="1033" spans="2:11" x14ac:dyDescent="0.25">
      <c r="B1033" s="25"/>
      <c r="C1033" s="8"/>
      <c r="D1033" s="7"/>
      <c r="E1033" s="27"/>
      <c r="F1033" s="27"/>
      <c r="G1033" s="7"/>
      <c r="H1033" s="28"/>
      <c r="I1033" s="28"/>
      <c r="J1033" s="28"/>
      <c r="K1033" s="28"/>
    </row>
    <row r="1034" spans="2:11" x14ac:dyDescent="0.25">
      <c r="B1034" s="25"/>
      <c r="C1034" s="8"/>
      <c r="D1034" s="7"/>
      <c r="E1034" s="27"/>
      <c r="F1034" s="27"/>
      <c r="G1034" s="7"/>
      <c r="H1034" s="28"/>
      <c r="I1034" s="28"/>
      <c r="J1034" s="28"/>
      <c r="K1034" s="28"/>
    </row>
    <row r="1035" spans="2:11" x14ac:dyDescent="0.25">
      <c r="B1035" s="25"/>
      <c r="C1035" s="8"/>
      <c r="D1035" s="7"/>
      <c r="E1035" s="27"/>
      <c r="F1035" s="27"/>
      <c r="G1035" s="7"/>
      <c r="H1035" s="28"/>
      <c r="I1035" s="28"/>
      <c r="J1035" s="28"/>
      <c r="K1035" s="28"/>
    </row>
    <row r="1036" spans="2:11" x14ac:dyDescent="0.25">
      <c r="B1036" s="25"/>
      <c r="C1036" s="8"/>
      <c r="D1036" s="7"/>
      <c r="E1036" s="27"/>
      <c r="F1036" s="27"/>
      <c r="G1036" s="7"/>
      <c r="H1036" s="28"/>
      <c r="I1036" s="28"/>
      <c r="J1036" s="28"/>
      <c r="K1036" s="28"/>
    </row>
    <row r="1037" spans="2:11" x14ac:dyDescent="0.25">
      <c r="B1037" s="25"/>
      <c r="C1037" s="8"/>
      <c r="D1037" s="7"/>
      <c r="E1037" s="27"/>
      <c r="F1037" s="27"/>
      <c r="G1037" s="7"/>
      <c r="H1037" s="28"/>
      <c r="I1037" s="28"/>
      <c r="J1037" s="28"/>
      <c r="K1037" s="28"/>
    </row>
    <row r="1038" spans="2:11" x14ac:dyDescent="0.25">
      <c r="B1038" s="25"/>
      <c r="C1038" s="8"/>
      <c r="D1038" s="7"/>
      <c r="E1038" s="27"/>
      <c r="F1038" s="27"/>
      <c r="G1038" s="7"/>
      <c r="H1038" s="28"/>
      <c r="I1038" s="28"/>
      <c r="J1038" s="28"/>
      <c r="K1038" s="28"/>
    </row>
    <row r="1039" spans="2:11" x14ac:dyDescent="0.25">
      <c r="B1039" s="25"/>
      <c r="C1039" s="8"/>
      <c r="D1039" s="7"/>
      <c r="E1039" s="27"/>
      <c r="F1039" s="27"/>
      <c r="G1039" s="7"/>
      <c r="H1039" s="28"/>
      <c r="I1039" s="28"/>
      <c r="J1039" s="28"/>
      <c r="K1039" s="28"/>
    </row>
    <row r="1040" spans="2:11" x14ac:dyDescent="0.25">
      <c r="B1040" s="25"/>
      <c r="C1040" s="8"/>
      <c r="D1040" s="7"/>
      <c r="E1040" s="27"/>
      <c r="F1040" s="27"/>
      <c r="G1040" s="7"/>
      <c r="H1040" s="28"/>
      <c r="I1040" s="28"/>
      <c r="J1040" s="28"/>
      <c r="K1040" s="28"/>
    </row>
    <row r="1041" spans="2:11" x14ac:dyDescent="0.25">
      <c r="B1041" s="25"/>
      <c r="C1041" s="8"/>
      <c r="D1041" s="7"/>
      <c r="E1041" s="27"/>
      <c r="F1041" s="27"/>
      <c r="G1041" s="7"/>
      <c r="H1041" s="28"/>
      <c r="I1041" s="28"/>
      <c r="J1041" s="28"/>
      <c r="K1041" s="28"/>
    </row>
    <row r="1042" spans="2:11" x14ac:dyDescent="0.25">
      <c r="B1042" s="25"/>
      <c r="C1042" s="8"/>
      <c r="D1042" s="7"/>
      <c r="E1042" s="27"/>
      <c r="F1042" s="27"/>
      <c r="G1042" s="7"/>
      <c r="H1042" s="28"/>
      <c r="I1042" s="28"/>
      <c r="J1042" s="28"/>
      <c r="K1042" s="28"/>
    </row>
    <row r="1043" spans="2:11" x14ac:dyDescent="0.25">
      <c r="B1043" s="25"/>
      <c r="C1043" s="8"/>
      <c r="D1043" s="7"/>
      <c r="E1043" s="27"/>
      <c r="F1043" s="27"/>
      <c r="G1043" s="7"/>
      <c r="H1043" s="28"/>
      <c r="I1043" s="28"/>
      <c r="J1043" s="28"/>
      <c r="K1043" s="28"/>
    </row>
    <row r="1044" spans="2:11" x14ac:dyDescent="0.25">
      <c r="B1044" s="25"/>
      <c r="C1044" s="8"/>
      <c r="D1044" s="7"/>
      <c r="E1044" s="27"/>
      <c r="F1044" s="27"/>
      <c r="G1044" s="7"/>
      <c r="H1044" s="28"/>
      <c r="I1044" s="28"/>
      <c r="J1044" s="28"/>
      <c r="K1044" s="28"/>
    </row>
    <row r="1045" spans="2:11" x14ac:dyDescent="0.25">
      <c r="B1045" s="25"/>
      <c r="C1045" s="8"/>
      <c r="D1045" s="7"/>
      <c r="E1045" s="27"/>
      <c r="F1045" s="27"/>
      <c r="G1045" s="7"/>
      <c r="H1045" s="28"/>
      <c r="I1045" s="28"/>
      <c r="J1045" s="28"/>
      <c r="K1045" s="28"/>
    </row>
    <row r="1046" spans="2:11" x14ac:dyDescent="0.25">
      <c r="B1046" s="25"/>
      <c r="C1046" s="8"/>
      <c r="D1046" s="7"/>
      <c r="E1046" s="27"/>
      <c r="F1046" s="27"/>
      <c r="G1046" s="7"/>
      <c r="H1046" s="28"/>
      <c r="I1046" s="28"/>
      <c r="J1046" s="28"/>
      <c r="K1046" s="28"/>
    </row>
    <row r="1047" spans="2:11" x14ac:dyDescent="0.25">
      <c r="B1047" s="25"/>
      <c r="C1047" s="8"/>
      <c r="D1047" s="7"/>
      <c r="E1047" s="27"/>
      <c r="F1047" s="27"/>
      <c r="G1047" s="7"/>
      <c r="H1047" s="28"/>
      <c r="I1047" s="28"/>
      <c r="J1047" s="28"/>
      <c r="K1047" s="28"/>
    </row>
    <row r="1048" spans="2:11" x14ac:dyDescent="0.25">
      <c r="B1048" s="25"/>
      <c r="C1048" s="8"/>
      <c r="D1048" s="7"/>
      <c r="E1048" s="27"/>
      <c r="F1048" s="27"/>
      <c r="G1048" s="7"/>
      <c r="H1048" s="28"/>
      <c r="I1048" s="28"/>
      <c r="J1048" s="28"/>
      <c r="K1048" s="28"/>
    </row>
    <row r="1049" spans="2:11" x14ac:dyDescent="0.25">
      <c r="B1049" s="25"/>
      <c r="C1049" s="8"/>
      <c r="D1049" s="7"/>
      <c r="E1049" s="27"/>
      <c r="F1049" s="27"/>
      <c r="G1049" s="7"/>
      <c r="H1049" s="28"/>
      <c r="I1049" s="28"/>
      <c r="J1049" s="28"/>
      <c r="K1049" s="28"/>
    </row>
    <row r="1050" spans="2:11" x14ac:dyDescent="0.25">
      <c r="B1050" s="25"/>
      <c r="C1050" s="8"/>
      <c r="D1050" s="7"/>
      <c r="E1050" s="27"/>
      <c r="F1050" s="27"/>
      <c r="G1050" s="7"/>
      <c r="H1050" s="28"/>
      <c r="I1050" s="28"/>
      <c r="J1050" s="28"/>
      <c r="K1050" s="28"/>
    </row>
    <row r="1051" spans="2:11" x14ac:dyDescent="0.25">
      <c r="B1051" s="25"/>
      <c r="C1051" s="8"/>
      <c r="D1051" s="7"/>
      <c r="E1051" s="27"/>
      <c r="F1051" s="27"/>
      <c r="G1051" s="7"/>
      <c r="H1051" s="28"/>
      <c r="I1051" s="28"/>
      <c r="J1051" s="28"/>
      <c r="K1051" s="28"/>
    </row>
    <row r="1052" spans="2:11" x14ac:dyDescent="0.25">
      <c r="B1052" s="25"/>
      <c r="C1052" s="8"/>
      <c r="D1052" s="7"/>
      <c r="E1052" s="27"/>
      <c r="F1052" s="27"/>
      <c r="G1052" s="7"/>
      <c r="H1052" s="28"/>
      <c r="I1052" s="28"/>
      <c r="J1052" s="28"/>
      <c r="K1052" s="28"/>
    </row>
    <row r="1053" spans="2:11" x14ac:dyDescent="0.25">
      <c r="B1053" s="25"/>
      <c r="C1053" s="8"/>
      <c r="D1053" s="7"/>
      <c r="E1053" s="27"/>
      <c r="F1053" s="27"/>
      <c r="G1053" s="7"/>
      <c r="H1053" s="28"/>
      <c r="I1053" s="28"/>
      <c r="J1053" s="28"/>
      <c r="K1053" s="28"/>
    </row>
    <row r="1054" spans="2:11" x14ac:dyDescent="0.25">
      <c r="B1054" s="25"/>
      <c r="C1054" s="8"/>
      <c r="D1054" s="7"/>
      <c r="E1054" s="27"/>
      <c r="F1054" s="27"/>
      <c r="G1054" s="7"/>
      <c r="H1054" s="28"/>
      <c r="I1054" s="28"/>
      <c r="J1054" s="28"/>
      <c r="K1054" s="28"/>
    </row>
    <row r="1055" spans="2:11" x14ac:dyDescent="0.25">
      <c r="B1055" s="25"/>
      <c r="C1055" s="8"/>
      <c r="D1055" s="7"/>
      <c r="E1055" s="27"/>
      <c r="F1055" s="27"/>
      <c r="G1055" s="7"/>
      <c r="H1055" s="28"/>
      <c r="I1055" s="28"/>
      <c r="J1055" s="28"/>
      <c r="K1055" s="28"/>
    </row>
    <row r="1056" spans="2:11" x14ac:dyDescent="0.25">
      <c r="B1056" s="25"/>
      <c r="C1056" s="8"/>
      <c r="D1056" s="7"/>
      <c r="E1056" s="27"/>
      <c r="F1056" s="27"/>
      <c r="G1056" s="7"/>
      <c r="H1056" s="28"/>
      <c r="I1056" s="28"/>
      <c r="J1056" s="28"/>
      <c r="K1056" s="28"/>
    </row>
    <row r="1057" spans="2:11" x14ac:dyDescent="0.25">
      <c r="B1057" s="25"/>
      <c r="C1057" s="8"/>
      <c r="D1057" s="7"/>
      <c r="E1057" s="27"/>
      <c r="F1057" s="27"/>
      <c r="G1057" s="7"/>
      <c r="H1057" s="28"/>
      <c r="I1057" s="28"/>
      <c r="J1057" s="28"/>
      <c r="K1057" s="28"/>
    </row>
    <row r="1058" spans="2:11" x14ac:dyDescent="0.25">
      <c r="B1058" s="25"/>
      <c r="C1058" s="8"/>
      <c r="D1058" s="7"/>
      <c r="E1058" s="27"/>
      <c r="F1058" s="27"/>
      <c r="G1058" s="7"/>
      <c r="H1058" s="28"/>
      <c r="I1058" s="28"/>
      <c r="J1058" s="28"/>
      <c r="K1058" s="28"/>
    </row>
    <row r="1059" spans="2:11" x14ac:dyDescent="0.25">
      <c r="B1059" s="25"/>
      <c r="C1059" s="8"/>
      <c r="D1059" s="7"/>
      <c r="E1059" s="27"/>
      <c r="F1059" s="27"/>
      <c r="G1059" s="7"/>
      <c r="H1059" s="28"/>
      <c r="I1059" s="28"/>
      <c r="J1059" s="28"/>
      <c r="K1059" s="28"/>
    </row>
    <row r="1060" spans="2:11" x14ac:dyDescent="0.25">
      <c r="B1060" s="25"/>
      <c r="C1060" s="8"/>
      <c r="D1060" s="7"/>
      <c r="E1060" s="27"/>
      <c r="F1060" s="27"/>
      <c r="G1060" s="7"/>
      <c r="H1060" s="28"/>
      <c r="I1060" s="28"/>
      <c r="J1060" s="28"/>
      <c r="K1060" s="28"/>
    </row>
    <row r="1061" spans="2:11" x14ac:dyDescent="0.25">
      <c r="B1061" s="25"/>
      <c r="C1061" s="8"/>
      <c r="D1061" s="7"/>
      <c r="E1061" s="27"/>
      <c r="F1061" s="27"/>
      <c r="G1061" s="7"/>
      <c r="H1061" s="28"/>
      <c r="I1061" s="28"/>
      <c r="J1061" s="28"/>
      <c r="K1061" s="28"/>
    </row>
    <row r="1062" spans="2:11" x14ac:dyDescent="0.25">
      <c r="B1062" s="25"/>
      <c r="C1062" s="8"/>
      <c r="D1062" s="7"/>
      <c r="E1062" s="27"/>
      <c r="F1062" s="27"/>
      <c r="G1062" s="7"/>
      <c r="H1062" s="28"/>
      <c r="I1062" s="28"/>
      <c r="J1062" s="28"/>
      <c r="K1062" s="28"/>
    </row>
    <row r="1063" spans="2:11" x14ac:dyDescent="0.25">
      <c r="B1063" s="25"/>
      <c r="C1063" s="8"/>
      <c r="D1063" s="7"/>
      <c r="E1063" s="27"/>
      <c r="F1063" s="27"/>
      <c r="G1063" s="7"/>
      <c r="H1063" s="28"/>
      <c r="I1063" s="28"/>
      <c r="J1063" s="28"/>
      <c r="K1063" s="28"/>
    </row>
    <row r="1064" spans="2:11" x14ac:dyDescent="0.25">
      <c r="B1064" s="25"/>
      <c r="C1064" s="8"/>
      <c r="D1064" s="7"/>
      <c r="E1064" s="27"/>
      <c r="F1064" s="27"/>
      <c r="G1064" s="7"/>
      <c r="H1064" s="28"/>
      <c r="I1064" s="28"/>
      <c r="J1064" s="28"/>
      <c r="K1064" s="28"/>
    </row>
    <row r="1065" spans="2:11" x14ac:dyDescent="0.25">
      <c r="B1065" s="25"/>
      <c r="C1065" s="8"/>
      <c r="D1065" s="7"/>
      <c r="E1065" s="27"/>
      <c r="F1065" s="27"/>
      <c r="G1065" s="7"/>
      <c r="H1065" s="28"/>
      <c r="I1065" s="28"/>
      <c r="J1065" s="28"/>
      <c r="K1065" s="28"/>
    </row>
    <row r="1066" spans="2:11" x14ac:dyDescent="0.25">
      <c r="B1066" s="25"/>
      <c r="C1066" s="8"/>
      <c r="D1066" s="7"/>
      <c r="E1066" s="27"/>
      <c r="F1066" s="27"/>
      <c r="G1066" s="7"/>
      <c r="H1066" s="28"/>
      <c r="I1066" s="28"/>
      <c r="J1066" s="28"/>
      <c r="K1066" s="28"/>
    </row>
    <row r="1067" spans="2:11" x14ac:dyDescent="0.25">
      <c r="B1067" s="25"/>
      <c r="C1067" s="8"/>
      <c r="D1067" s="7"/>
      <c r="E1067" s="27"/>
      <c r="F1067" s="27"/>
      <c r="G1067" s="7"/>
      <c r="H1067" s="28"/>
      <c r="I1067" s="28"/>
      <c r="J1067" s="28"/>
      <c r="K1067" s="28"/>
    </row>
    <row r="1068" spans="2:11" x14ac:dyDescent="0.25">
      <c r="B1068" s="25"/>
      <c r="C1068" s="8"/>
      <c r="D1068" s="7"/>
      <c r="E1068" s="27"/>
      <c r="F1068" s="27"/>
      <c r="G1068" s="7"/>
      <c r="H1068" s="28"/>
      <c r="I1068" s="28"/>
      <c r="J1068" s="28"/>
      <c r="K1068" s="28"/>
    </row>
    <row r="1069" spans="2:11" x14ac:dyDescent="0.25">
      <c r="B1069" s="25"/>
      <c r="C1069" s="8"/>
      <c r="D1069" s="7"/>
      <c r="E1069" s="27"/>
      <c r="F1069" s="27"/>
      <c r="G1069" s="7"/>
      <c r="H1069" s="28"/>
      <c r="I1069" s="28"/>
      <c r="J1069" s="28"/>
      <c r="K1069" s="28"/>
    </row>
    <row r="1070" spans="2:11" x14ac:dyDescent="0.25">
      <c r="B1070" s="25"/>
      <c r="C1070" s="8"/>
      <c r="D1070" s="7"/>
      <c r="E1070" s="27"/>
      <c r="F1070" s="27"/>
      <c r="G1070" s="7"/>
      <c r="H1070" s="28"/>
      <c r="I1070" s="28"/>
      <c r="J1070" s="28"/>
      <c r="K1070" s="28"/>
    </row>
    <row r="1071" spans="2:11" x14ac:dyDescent="0.25">
      <c r="B1071" s="25"/>
      <c r="C1071" s="8"/>
      <c r="D1071" s="7"/>
      <c r="E1071" s="27"/>
      <c r="F1071" s="27"/>
      <c r="G1071" s="7"/>
      <c r="H1071" s="28"/>
      <c r="I1071" s="28"/>
      <c r="J1071" s="28"/>
      <c r="K1071" s="28"/>
    </row>
    <row r="1072" spans="2:11" x14ac:dyDescent="0.25">
      <c r="B1072" s="25"/>
      <c r="C1072" s="8"/>
      <c r="D1072" s="7"/>
      <c r="E1072" s="27"/>
      <c r="F1072" s="27"/>
      <c r="G1072" s="7"/>
      <c r="H1072" s="28"/>
      <c r="I1072" s="28"/>
      <c r="J1072" s="28"/>
      <c r="K1072" s="28"/>
    </row>
    <row r="1073" spans="2:11" x14ac:dyDescent="0.25">
      <c r="B1073" s="25"/>
      <c r="C1073" s="8"/>
      <c r="D1073" s="7"/>
      <c r="E1073" s="27"/>
      <c r="F1073" s="27"/>
      <c r="G1073" s="7"/>
      <c r="H1073" s="28"/>
      <c r="I1073" s="28"/>
      <c r="J1073" s="28"/>
      <c r="K1073" s="28"/>
    </row>
    <row r="1074" spans="2:11" x14ac:dyDescent="0.25">
      <c r="B1074" s="25"/>
      <c r="C1074" s="8"/>
      <c r="D1074" s="7"/>
      <c r="E1074" s="27"/>
      <c r="F1074" s="27"/>
      <c r="G1074" s="7"/>
      <c r="H1074" s="28"/>
      <c r="I1074" s="28"/>
      <c r="J1074" s="28"/>
      <c r="K1074" s="28"/>
    </row>
    <row r="1075" spans="2:11" x14ac:dyDescent="0.25">
      <c r="B1075" s="25"/>
      <c r="C1075" s="8"/>
      <c r="D1075" s="7"/>
      <c r="E1075" s="27"/>
      <c r="F1075" s="27"/>
      <c r="G1075" s="7"/>
      <c r="H1075" s="28"/>
      <c r="I1075" s="28"/>
      <c r="J1075" s="28"/>
      <c r="K1075" s="28"/>
    </row>
    <row r="1076" spans="2:11" x14ac:dyDescent="0.25">
      <c r="B1076" s="25"/>
      <c r="C1076" s="8"/>
      <c r="D1076" s="7"/>
      <c r="E1076" s="27"/>
      <c r="F1076" s="27"/>
      <c r="G1076" s="7"/>
      <c r="H1076" s="28"/>
      <c r="I1076" s="28"/>
      <c r="J1076" s="28"/>
      <c r="K1076" s="28"/>
    </row>
    <row r="1077" spans="2:11" x14ac:dyDescent="0.25">
      <c r="B1077" s="25"/>
      <c r="C1077" s="8"/>
      <c r="D1077" s="7"/>
      <c r="E1077" s="27"/>
      <c r="F1077" s="27"/>
      <c r="G1077" s="7"/>
      <c r="H1077" s="28"/>
      <c r="I1077" s="28"/>
      <c r="J1077" s="28"/>
      <c r="K1077" s="28"/>
    </row>
    <row r="1078" spans="2:11" x14ac:dyDescent="0.25">
      <c r="B1078" s="25"/>
      <c r="C1078" s="8"/>
      <c r="D1078" s="7"/>
      <c r="E1078" s="27"/>
      <c r="F1078" s="27"/>
      <c r="G1078" s="7"/>
      <c r="H1078" s="28"/>
      <c r="I1078" s="28"/>
      <c r="J1078" s="28"/>
      <c r="K1078" s="28"/>
    </row>
    <row r="1079" spans="2:11" x14ac:dyDescent="0.25">
      <c r="B1079" s="25"/>
      <c r="C1079" s="8"/>
      <c r="D1079" s="7"/>
      <c r="E1079" s="27"/>
      <c r="F1079" s="27"/>
      <c r="G1079" s="7"/>
      <c r="H1079" s="28"/>
      <c r="I1079" s="28"/>
      <c r="J1079" s="28"/>
      <c r="K1079" s="28"/>
    </row>
    <row r="1080" spans="2:11" x14ac:dyDescent="0.25">
      <c r="B1080" s="25"/>
      <c r="C1080" s="8"/>
      <c r="D1080" s="7"/>
      <c r="E1080" s="27"/>
      <c r="F1080" s="27"/>
      <c r="G1080" s="7"/>
      <c r="H1080" s="28"/>
      <c r="I1080" s="28"/>
      <c r="J1080" s="28"/>
      <c r="K1080" s="28"/>
    </row>
    <row r="1081" spans="2:11" x14ac:dyDescent="0.25">
      <c r="B1081" s="25"/>
      <c r="C1081" s="8"/>
      <c r="D1081" s="7"/>
      <c r="E1081" s="27"/>
      <c r="F1081" s="27"/>
      <c r="G1081" s="7"/>
      <c r="H1081" s="28"/>
      <c r="I1081" s="28"/>
      <c r="J1081" s="28"/>
      <c r="K1081" s="28"/>
    </row>
    <row r="1082" spans="2:11" x14ac:dyDescent="0.25">
      <c r="B1082" s="25"/>
      <c r="C1082" s="8"/>
      <c r="D1082" s="7"/>
      <c r="E1082" s="27"/>
      <c r="F1082" s="27"/>
      <c r="G1082" s="7"/>
      <c r="H1082" s="28"/>
      <c r="I1082" s="28"/>
      <c r="J1082" s="28"/>
      <c r="K1082" s="28"/>
    </row>
    <row r="1083" spans="2:11" x14ac:dyDescent="0.25">
      <c r="B1083" s="25"/>
      <c r="C1083" s="8"/>
      <c r="D1083" s="7"/>
      <c r="E1083" s="27"/>
      <c r="F1083" s="27"/>
      <c r="G1083" s="7"/>
      <c r="H1083" s="28"/>
      <c r="I1083" s="28"/>
      <c r="J1083" s="28"/>
      <c r="K1083" s="28"/>
    </row>
    <row r="1084" spans="2:11" x14ac:dyDescent="0.25">
      <c r="B1084" s="25"/>
      <c r="C1084" s="8"/>
      <c r="D1084" s="7"/>
      <c r="E1084" s="27"/>
      <c r="F1084" s="27"/>
      <c r="G1084" s="7"/>
      <c r="H1084" s="28"/>
      <c r="I1084" s="28"/>
      <c r="J1084" s="28"/>
      <c r="K1084" s="28"/>
    </row>
    <row r="1085" spans="2:11" x14ac:dyDescent="0.25">
      <c r="B1085" s="25"/>
      <c r="C1085" s="8"/>
      <c r="D1085" s="7"/>
      <c r="E1085" s="27"/>
      <c r="F1085" s="27"/>
      <c r="G1085" s="7"/>
      <c r="H1085" s="28"/>
      <c r="I1085" s="28"/>
      <c r="J1085" s="28"/>
      <c r="K1085" s="28"/>
    </row>
    <row r="1086" spans="2:11" x14ac:dyDescent="0.25">
      <c r="B1086" s="25"/>
      <c r="C1086" s="8"/>
      <c r="D1086" s="7"/>
      <c r="E1086" s="27"/>
      <c r="F1086" s="27"/>
      <c r="G1086" s="7"/>
      <c r="H1086" s="28"/>
      <c r="I1086" s="28"/>
      <c r="J1086" s="28"/>
      <c r="K1086" s="28"/>
    </row>
    <row r="1087" spans="2:11" x14ac:dyDescent="0.25">
      <c r="B1087" s="25"/>
      <c r="C1087" s="8"/>
      <c r="D1087" s="7"/>
      <c r="E1087" s="27"/>
      <c r="F1087" s="27"/>
      <c r="G1087" s="7"/>
      <c r="H1087" s="28"/>
      <c r="I1087" s="28"/>
      <c r="J1087" s="28"/>
      <c r="K1087" s="28"/>
    </row>
    <row r="1088" spans="2:11" x14ac:dyDescent="0.25">
      <c r="B1088" s="25"/>
      <c r="C1088" s="8"/>
      <c r="D1088" s="7"/>
      <c r="E1088" s="27"/>
      <c r="F1088" s="27"/>
      <c r="G1088" s="7"/>
      <c r="H1088" s="28"/>
      <c r="I1088" s="28"/>
      <c r="J1088" s="28"/>
      <c r="K1088" s="28"/>
    </row>
    <row r="1089" spans="2:11" x14ac:dyDescent="0.25">
      <c r="B1089" s="25"/>
      <c r="C1089" s="8"/>
      <c r="D1089" s="7"/>
      <c r="E1089" s="27"/>
      <c r="F1089" s="27"/>
      <c r="G1089" s="7"/>
      <c r="H1089" s="28"/>
      <c r="I1089" s="28"/>
      <c r="J1089" s="28"/>
      <c r="K1089" s="28"/>
    </row>
    <row r="1090" spans="2:11" x14ac:dyDescent="0.25">
      <c r="B1090" s="25"/>
      <c r="C1090" s="8"/>
      <c r="D1090" s="7"/>
      <c r="E1090" s="27"/>
      <c r="F1090" s="27"/>
      <c r="G1090" s="7"/>
      <c r="H1090" s="28"/>
      <c r="I1090" s="28"/>
      <c r="J1090" s="28"/>
      <c r="K1090" s="28"/>
    </row>
    <row r="1091" spans="2:11" x14ac:dyDescent="0.25">
      <c r="B1091" s="25"/>
      <c r="C1091" s="8"/>
      <c r="D1091" s="7"/>
      <c r="E1091" s="27"/>
      <c r="F1091" s="27"/>
      <c r="G1091" s="7"/>
      <c r="H1091" s="28"/>
      <c r="I1091" s="28"/>
      <c r="J1091" s="28"/>
      <c r="K1091" s="28"/>
    </row>
    <row r="1092" spans="2:11" x14ac:dyDescent="0.25">
      <c r="B1092" s="25"/>
      <c r="C1092" s="8"/>
      <c r="D1092" s="7"/>
      <c r="E1092" s="27"/>
      <c r="F1092" s="27"/>
      <c r="G1092" s="7"/>
      <c r="H1092" s="28"/>
      <c r="I1092" s="28"/>
      <c r="J1092" s="28"/>
      <c r="K1092" s="28"/>
    </row>
    <row r="1093" spans="2:11" x14ac:dyDescent="0.25">
      <c r="B1093" s="25"/>
      <c r="C1093" s="8"/>
      <c r="D1093" s="7"/>
      <c r="E1093" s="27"/>
      <c r="F1093" s="27"/>
      <c r="G1093" s="7"/>
      <c r="H1093" s="28"/>
      <c r="I1093" s="28"/>
      <c r="J1093" s="28"/>
      <c r="K1093" s="28"/>
    </row>
    <row r="1094" spans="2:11" x14ac:dyDescent="0.25">
      <c r="B1094" s="25"/>
      <c r="C1094" s="8"/>
      <c r="D1094" s="7"/>
      <c r="E1094" s="27"/>
      <c r="F1094" s="27"/>
      <c r="G1094" s="7"/>
      <c r="H1094" s="28"/>
      <c r="I1094" s="28"/>
      <c r="J1094" s="28"/>
      <c r="K1094" s="28"/>
    </row>
    <row r="1095" spans="2:11" x14ac:dyDescent="0.25">
      <c r="B1095" s="25"/>
      <c r="C1095" s="8"/>
      <c r="D1095" s="7"/>
      <c r="E1095" s="27"/>
      <c r="F1095" s="27"/>
      <c r="G1095" s="7"/>
      <c r="H1095" s="28"/>
      <c r="I1095" s="28"/>
      <c r="J1095" s="28"/>
      <c r="K1095" s="28"/>
    </row>
    <row r="1096" spans="2:11" x14ac:dyDescent="0.25">
      <c r="B1096" s="25"/>
      <c r="C1096" s="8"/>
      <c r="D1096" s="7"/>
      <c r="E1096" s="27"/>
      <c r="F1096" s="27"/>
      <c r="G1096" s="7"/>
      <c r="H1096" s="28"/>
      <c r="I1096" s="28"/>
      <c r="J1096" s="28"/>
      <c r="K1096" s="28"/>
    </row>
    <row r="1097" spans="2:11" x14ac:dyDescent="0.25">
      <c r="B1097" s="25"/>
      <c r="C1097" s="8"/>
      <c r="D1097" s="7"/>
      <c r="E1097" s="27"/>
      <c r="F1097" s="27"/>
      <c r="G1097" s="7"/>
      <c r="H1097" s="28"/>
      <c r="I1097" s="28"/>
      <c r="J1097" s="28"/>
      <c r="K1097" s="28"/>
    </row>
    <row r="1098" spans="2:11" x14ac:dyDescent="0.25">
      <c r="B1098" s="25"/>
      <c r="C1098" s="8"/>
      <c r="D1098" s="7"/>
      <c r="E1098" s="27"/>
      <c r="F1098" s="27"/>
      <c r="G1098" s="7"/>
      <c r="H1098" s="28"/>
      <c r="I1098" s="28"/>
      <c r="J1098" s="28"/>
      <c r="K1098" s="28"/>
    </row>
    <row r="1099" spans="2:11" x14ac:dyDescent="0.25">
      <c r="B1099" s="25"/>
      <c r="C1099" s="8"/>
      <c r="D1099" s="7"/>
      <c r="E1099" s="27"/>
      <c r="F1099" s="27"/>
      <c r="G1099" s="7"/>
      <c r="H1099" s="28"/>
      <c r="I1099" s="28"/>
      <c r="J1099" s="28"/>
      <c r="K1099" s="28"/>
    </row>
    <row r="1100" spans="2:11" x14ac:dyDescent="0.25">
      <c r="B1100" s="25"/>
      <c r="C1100" s="8"/>
      <c r="D1100" s="7"/>
      <c r="E1100" s="27"/>
      <c r="F1100" s="27"/>
      <c r="G1100" s="7"/>
      <c r="H1100" s="28"/>
      <c r="I1100" s="28"/>
      <c r="J1100" s="28"/>
      <c r="K1100" s="28"/>
    </row>
    <row r="1101" spans="2:11" x14ac:dyDescent="0.25">
      <c r="B1101" s="25"/>
      <c r="C1101" s="8"/>
      <c r="D1101" s="7"/>
      <c r="E1101" s="27"/>
      <c r="F1101" s="27"/>
      <c r="G1101" s="7"/>
      <c r="H1101" s="28"/>
      <c r="I1101" s="28"/>
      <c r="J1101" s="28"/>
      <c r="K1101" s="28"/>
    </row>
    <row r="1102" spans="2:11" x14ac:dyDescent="0.25">
      <c r="B1102" s="25"/>
      <c r="C1102" s="8"/>
      <c r="D1102" s="7"/>
      <c r="E1102" s="27"/>
      <c r="F1102" s="27"/>
      <c r="G1102" s="7"/>
      <c r="H1102" s="28"/>
      <c r="I1102" s="28"/>
      <c r="J1102" s="28"/>
      <c r="K1102" s="28"/>
    </row>
    <row r="1103" spans="2:11" x14ac:dyDescent="0.25">
      <c r="B1103" s="25"/>
      <c r="C1103" s="8"/>
      <c r="D1103" s="7"/>
      <c r="E1103" s="27"/>
      <c r="F1103" s="27"/>
      <c r="G1103" s="7"/>
      <c r="H1103" s="28"/>
      <c r="I1103" s="28"/>
      <c r="J1103" s="28"/>
      <c r="K1103" s="28"/>
    </row>
    <row r="1104" spans="2:11" x14ac:dyDescent="0.25">
      <c r="B1104" s="25"/>
      <c r="C1104" s="8"/>
      <c r="D1104" s="7"/>
      <c r="E1104" s="27"/>
      <c r="F1104" s="27"/>
      <c r="G1104" s="7"/>
      <c r="H1104" s="28"/>
      <c r="I1104" s="28"/>
      <c r="J1104" s="28"/>
      <c r="K1104" s="28"/>
    </row>
    <row r="1105" spans="2:11" x14ac:dyDescent="0.25">
      <c r="B1105" s="25"/>
      <c r="C1105" s="8"/>
      <c r="D1105" s="7"/>
      <c r="E1105" s="27"/>
      <c r="F1105" s="27"/>
      <c r="G1105" s="7"/>
      <c r="H1105" s="28"/>
      <c r="I1105" s="28"/>
      <c r="J1105" s="28"/>
      <c r="K1105" s="28"/>
    </row>
    <row r="1106" spans="2:11" x14ac:dyDescent="0.25">
      <c r="B1106" s="25"/>
      <c r="C1106" s="8"/>
      <c r="D1106" s="7"/>
      <c r="E1106" s="27"/>
      <c r="F1106" s="27"/>
      <c r="G1106" s="7"/>
      <c r="H1106" s="28"/>
      <c r="I1106" s="28"/>
      <c r="J1106" s="28"/>
      <c r="K1106" s="28"/>
    </row>
    <row r="1107" spans="2:11" x14ac:dyDescent="0.25">
      <c r="B1107" s="25"/>
      <c r="C1107" s="8"/>
      <c r="D1107" s="7"/>
      <c r="E1107" s="27"/>
      <c r="F1107" s="27"/>
      <c r="G1107" s="7"/>
      <c r="H1107" s="28"/>
      <c r="I1107" s="28"/>
      <c r="J1107" s="28"/>
      <c r="K1107" s="28"/>
    </row>
    <row r="1108" spans="2:11" x14ac:dyDescent="0.25">
      <c r="B1108" s="25"/>
      <c r="C1108" s="8"/>
      <c r="D1108" s="7"/>
      <c r="E1108" s="27"/>
      <c r="F1108" s="27"/>
      <c r="G1108" s="7"/>
      <c r="H1108" s="28"/>
      <c r="I1108" s="28"/>
      <c r="J1108" s="28"/>
      <c r="K1108" s="28"/>
    </row>
    <row r="1109" spans="2:11" x14ac:dyDescent="0.25">
      <c r="B1109" s="25"/>
      <c r="C1109" s="8"/>
      <c r="D1109" s="7"/>
      <c r="E1109" s="27"/>
      <c r="F1109" s="27"/>
      <c r="G1109" s="7"/>
      <c r="H1109" s="28"/>
      <c r="I1109" s="28"/>
      <c r="J1109" s="28"/>
      <c r="K1109" s="28"/>
    </row>
    <row r="1110" spans="2:11" x14ac:dyDescent="0.25">
      <c r="B1110" s="25"/>
      <c r="C1110" s="8"/>
      <c r="D1110" s="7"/>
      <c r="E1110" s="27"/>
      <c r="F1110" s="27"/>
      <c r="G1110" s="7"/>
      <c r="H1110" s="28"/>
      <c r="I1110" s="28"/>
      <c r="J1110" s="28"/>
      <c r="K1110" s="28"/>
    </row>
    <row r="1111" spans="2:11" x14ac:dyDescent="0.25">
      <c r="B1111" s="25"/>
      <c r="C1111" s="8"/>
      <c r="D1111" s="7"/>
      <c r="E1111" s="27"/>
      <c r="F1111" s="27"/>
      <c r="G1111" s="7"/>
      <c r="H1111" s="28"/>
      <c r="I1111" s="28"/>
      <c r="J1111" s="28"/>
      <c r="K1111" s="28"/>
    </row>
    <row r="1112" spans="2:11" x14ac:dyDescent="0.25">
      <c r="B1112" s="25"/>
      <c r="C1112" s="8"/>
      <c r="D1112" s="7"/>
      <c r="E1112" s="27"/>
      <c r="F1112" s="27"/>
      <c r="G1112" s="7"/>
      <c r="H1112" s="28"/>
      <c r="I1112" s="28"/>
      <c r="J1112" s="28"/>
      <c r="K1112" s="28"/>
    </row>
    <row r="1113" spans="2:11" x14ac:dyDescent="0.25">
      <c r="B1113" s="25"/>
      <c r="C1113" s="8"/>
      <c r="D1113" s="7"/>
      <c r="E1113" s="27"/>
      <c r="F1113" s="27"/>
      <c r="G1113" s="7"/>
      <c r="H1113" s="28"/>
      <c r="I1113" s="28"/>
      <c r="J1113" s="28"/>
      <c r="K1113" s="28"/>
    </row>
    <row r="1114" spans="2:11" x14ac:dyDescent="0.25">
      <c r="B1114" s="25"/>
      <c r="C1114" s="8"/>
      <c r="D1114" s="7"/>
      <c r="E1114" s="27"/>
      <c r="F1114" s="27"/>
      <c r="G1114" s="7"/>
      <c r="H1114" s="28"/>
      <c r="I1114" s="28"/>
      <c r="J1114" s="28"/>
      <c r="K1114" s="28"/>
    </row>
    <row r="1115" spans="2:11" x14ac:dyDescent="0.25">
      <c r="B1115" s="25"/>
      <c r="C1115" s="8"/>
      <c r="D1115" s="7"/>
      <c r="E1115" s="27"/>
      <c r="F1115" s="27"/>
      <c r="G1115" s="7"/>
      <c r="H1115" s="28"/>
      <c r="I1115" s="28"/>
      <c r="J1115" s="28"/>
      <c r="K1115" s="28"/>
    </row>
    <row r="1116" spans="2:11" x14ac:dyDescent="0.25">
      <c r="B1116" s="25"/>
      <c r="C1116" s="8"/>
      <c r="D1116" s="7"/>
      <c r="E1116" s="27"/>
      <c r="F1116" s="27"/>
      <c r="G1116" s="7"/>
      <c r="H1116" s="28"/>
      <c r="I1116" s="28"/>
      <c r="J1116" s="28"/>
      <c r="K1116" s="28"/>
    </row>
    <row r="1117" spans="2:11" x14ac:dyDescent="0.25">
      <c r="B1117" s="25"/>
      <c r="C1117" s="8"/>
      <c r="D1117" s="7"/>
      <c r="E1117" s="27"/>
      <c r="F1117" s="27"/>
      <c r="G1117" s="7"/>
      <c r="H1117" s="28"/>
      <c r="I1117" s="28"/>
      <c r="J1117" s="28"/>
      <c r="K1117" s="28"/>
    </row>
    <row r="1118" spans="2:11" x14ac:dyDescent="0.25">
      <c r="B1118" s="25"/>
      <c r="C1118" s="8"/>
      <c r="D1118" s="7"/>
      <c r="E1118" s="27"/>
      <c r="F1118" s="27"/>
      <c r="G1118" s="7"/>
      <c r="H1118" s="28"/>
      <c r="I1118" s="28"/>
      <c r="J1118" s="28"/>
      <c r="K1118" s="28"/>
    </row>
    <row r="1119" spans="2:11" x14ac:dyDescent="0.25">
      <c r="B1119" s="25"/>
      <c r="C1119" s="8"/>
      <c r="D1119" s="7"/>
      <c r="E1119" s="27"/>
      <c r="F1119" s="27"/>
      <c r="G1119" s="7"/>
      <c r="H1119" s="28"/>
      <c r="I1119" s="28"/>
      <c r="J1119" s="28"/>
      <c r="K1119" s="28"/>
    </row>
    <row r="1120" spans="2:11" x14ac:dyDescent="0.25">
      <c r="B1120" s="25"/>
      <c r="C1120" s="8"/>
      <c r="D1120" s="7"/>
      <c r="E1120" s="27"/>
      <c r="F1120" s="27"/>
      <c r="G1120" s="7"/>
      <c r="H1120" s="28"/>
      <c r="I1120" s="28"/>
      <c r="J1120" s="28"/>
      <c r="K1120" s="28"/>
    </row>
    <row r="1121" spans="2:11" x14ac:dyDescent="0.25">
      <c r="B1121" s="25"/>
      <c r="C1121" s="8"/>
      <c r="D1121" s="7"/>
      <c r="E1121" s="27"/>
      <c r="F1121" s="27"/>
      <c r="G1121" s="7"/>
      <c r="H1121" s="28"/>
      <c r="I1121" s="28"/>
      <c r="J1121" s="28"/>
      <c r="K1121" s="28"/>
    </row>
    <row r="1122" spans="2:11" x14ac:dyDescent="0.25">
      <c r="B1122" s="25"/>
      <c r="C1122" s="8"/>
      <c r="D1122" s="7"/>
      <c r="E1122" s="27"/>
      <c r="F1122" s="27"/>
      <c r="G1122" s="7"/>
      <c r="H1122" s="28"/>
      <c r="I1122" s="28"/>
      <c r="J1122" s="28"/>
      <c r="K1122" s="28"/>
    </row>
    <row r="1123" spans="2:11" x14ac:dyDescent="0.25">
      <c r="B1123" s="25"/>
      <c r="C1123" s="8"/>
      <c r="D1123" s="7"/>
      <c r="E1123" s="27"/>
      <c r="F1123" s="27"/>
      <c r="G1123" s="7"/>
      <c r="H1123" s="28"/>
      <c r="I1123" s="28"/>
      <c r="J1123" s="28"/>
      <c r="K1123" s="28"/>
    </row>
    <row r="1124" spans="2:11" x14ac:dyDescent="0.25">
      <c r="B1124" s="25"/>
      <c r="C1124" s="8"/>
      <c r="D1124" s="7"/>
      <c r="E1124" s="27"/>
      <c r="F1124" s="27"/>
      <c r="G1124" s="7"/>
      <c r="H1124" s="28"/>
      <c r="I1124" s="28"/>
      <c r="J1124" s="28"/>
      <c r="K1124" s="28"/>
    </row>
    <row r="1125" spans="2:11" x14ac:dyDescent="0.25">
      <c r="B1125" s="25"/>
      <c r="C1125" s="8"/>
      <c r="D1125" s="7"/>
      <c r="E1125" s="27"/>
      <c r="F1125" s="27"/>
      <c r="G1125" s="7"/>
      <c r="H1125" s="28"/>
      <c r="I1125" s="28"/>
      <c r="J1125" s="28"/>
      <c r="K1125" s="28"/>
    </row>
    <row r="1126" spans="2:11" x14ac:dyDescent="0.25">
      <c r="B1126" s="25"/>
      <c r="C1126" s="8"/>
      <c r="D1126" s="7"/>
      <c r="E1126" s="27"/>
      <c r="F1126" s="27"/>
      <c r="G1126" s="7"/>
      <c r="H1126" s="28"/>
      <c r="I1126" s="28"/>
      <c r="J1126" s="28"/>
      <c r="K1126" s="28"/>
    </row>
    <row r="1127" spans="2:11" x14ac:dyDescent="0.25">
      <c r="B1127" s="25"/>
      <c r="C1127" s="8"/>
      <c r="D1127" s="7"/>
      <c r="E1127" s="27"/>
      <c r="F1127" s="27"/>
      <c r="G1127" s="7"/>
      <c r="H1127" s="28"/>
      <c r="I1127" s="28"/>
      <c r="J1127" s="28"/>
      <c r="K1127" s="28"/>
    </row>
    <row r="1128" spans="2:11" x14ac:dyDescent="0.25">
      <c r="B1128" s="25"/>
      <c r="C1128" s="8"/>
      <c r="D1128" s="7"/>
      <c r="E1128" s="27"/>
      <c r="F1128" s="27"/>
      <c r="G1128" s="7"/>
      <c r="H1128" s="28"/>
      <c r="I1128" s="28"/>
      <c r="J1128" s="28"/>
      <c r="K1128" s="28"/>
    </row>
    <row r="1129" spans="2:11" x14ac:dyDescent="0.25">
      <c r="B1129" s="25"/>
      <c r="C1129" s="8"/>
      <c r="D1129" s="7"/>
      <c r="E1129" s="27"/>
      <c r="F1129" s="27"/>
      <c r="G1129" s="7"/>
      <c r="H1129" s="28"/>
      <c r="I1129" s="28"/>
      <c r="J1129" s="28"/>
      <c r="K1129" s="28"/>
    </row>
    <row r="1130" spans="2:11" x14ac:dyDescent="0.25">
      <c r="B1130" s="25"/>
      <c r="C1130" s="8"/>
      <c r="D1130" s="7"/>
      <c r="E1130" s="27"/>
      <c r="F1130" s="27"/>
      <c r="G1130" s="7"/>
      <c r="H1130" s="28"/>
      <c r="I1130" s="28"/>
      <c r="J1130" s="28"/>
      <c r="K1130" s="28"/>
    </row>
    <row r="1131" spans="2:11" x14ac:dyDescent="0.25">
      <c r="B1131" s="25"/>
      <c r="C1131" s="8"/>
      <c r="D1131" s="7"/>
      <c r="E1131" s="27"/>
      <c r="F1131" s="27"/>
      <c r="G1131" s="7"/>
      <c r="H1131" s="28"/>
      <c r="I1131" s="28"/>
      <c r="J1131" s="28"/>
      <c r="K1131" s="28"/>
    </row>
    <row r="1132" spans="2:11" x14ac:dyDescent="0.25">
      <c r="B1132" s="25"/>
      <c r="C1132" s="8"/>
      <c r="D1132" s="7"/>
      <c r="E1132" s="27"/>
      <c r="F1132" s="27"/>
      <c r="G1132" s="7"/>
      <c r="H1132" s="28"/>
      <c r="I1132" s="28"/>
      <c r="J1132" s="28"/>
      <c r="K1132" s="28"/>
    </row>
    <row r="1133" spans="2:11" x14ac:dyDescent="0.25">
      <c r="B1133" s="25"/>
      <c r="C1133" s="8"/>
      <c r="D1133" s="7"/>
      <c r="E1133" s="27"/>
      <c r="F1133" s="27"/>
      <c r="G1133" s="7"/>
      <c r="H1133" s="28"/>
      <c r="I1133" s="28"/>
      <c r="J1133" s="28"/>
      <c r="K1133" s="28"/>
    </row>
    <row r="1134" spans="2:11" x14ac:dyDescent="0.25">
      <c r="B1134" s="25"/>
      <c r="C1134" s="8"/>
      <c r="D1134" s="7"/>
      <c r="E1134" s="27"/>
      <c r="F1134" s="27"/>
      <c r="G1134" s="7"/>
      <c r="H1134" s="28"/>
      <c r="I1134" s="28"/>
      <c r="J1134" s="28"/>
      <c r="K1134" s="28"/>
    </row>
    <row r="1135" spans="2:11" x14ac:dyDescent="0.25">
      <c r="B1135" s="25"/>
      <c r="C1135" s="8"/>
      <c r="D1135" s="7"/>
      <c r="E1135" s="27"/>
      <c r="F1135" s="27"/>
      <c r="G1135" s="7"/>
      <c r="H1135" s="28"/>
      <c r="I1135" s="28"/>
      <c r="J1135" s="28"/>
      <c r="K1135" s="28"/>
    </row>
    <row r="1136" spans="2:11" x14ac:dyDescent="0.25">
      <c r="B1136" s="25"/>
      <c r="C1136" s="8"/>
      <c r="D1136" s="7"/>
      <c r="E1136" s="27"/>
      <c r="F1136" s="27"/>
      <c r="G1136" s="7"/>
      <c r="H1136" s="28"/>
      <c r="I1136" s="28"/>
      <c r="J1136" s="28"/>
      <c r="K1136" s="28"/>
    </row>
    <row r="1137" spans="2:11" x14ac:dyDescent="0.25">
      <c r="B1137" s="25"/>
      <c r="C1137" s="8"/>
      <c r="D1137" s="7"/>
      <c r="E1137" s="27"/>
      <c r="F1137" s="27"/>
      <c r="G1137" s="7"/>
      <c r="H1137" s="28"/>
      <c r="I1137" s="28"/>
      <c r="J1137" s="28"/>
      <c r="K1137" s="28"/>
    </row>
    <row r="1138" spans="2:11" x14ac:dyDescent="0.25">
      <c r="B1138" s="25"/>
      <c r="C1138" s="8"/>
      <c r="D1138" s="7"/>
      <c r="E1138" s="27"/>
      <c r="F1138" s="27"/>
      <c r="G1138" s="7"/>
      <c r="H1138" s="28"/>
      <c r="I1138" s="28"/>
      <c r="J1138" s="28"/>
      <c r="K1138" s="28"/>
    </row>
    <row r="1139" spans="2:11" x14ac:dyDescent="0.25">
      <c r="B1139" s="25"/>
      <c r="C1139" s="8"/>
      <c r="D1139" s="7"/>
      <c r="E1139" s="27"/>
      <c r="F1139" s="27"/>
      <c r="G1139" s="7"/>
      <c r="H1139" s="28"/>
      <c r="I1139" s="28"/>
      <c r="J1139" s="28"/>
      <c r="K1139" s="28"/>
    </row>
    <row r="1140" spans="2:11" x14ac:dyDescent="0.25">
      <c r="B1140" s="25"/>
      <c r="C1140" s="8"/>
      <c r="D1140" s="7"/>
      <c r="E1140" s="27"/>
      <c r="F1140" s="27"/>
      <c r="G1140" s="7"/>
      <c r="H1140" s="28"/>
      <c r="I1140" s="28"/>
      <c r="J1140" s="28"/>
      <c r="K1140" s="28"/>
    </row>
    <row r="1141" spans="2:11" x14ac:dyDescent="0.25">
      <c r="B1141" s="25"/>
      <c r="C1141" s="8"/>
      <c r="D1141" s="7"/>
      <c r="E1141" s="27"/>
      <c r="F1141" s="27"/>
      <c r="G1141" s="7"/>
      <c r="H1141" s="28"/>
      <c r="I1141" s="28"/>
      <c r="J1141" s="28"/>
      <c r="K1141" s="28"/>
    </row>
    <row r="1142" spans="2:11" x14ac:dyDescent="0.25">
      <c r="B1142" s="25"/>
      <c r="C1142" s="8"/>
      <c r="D1142" s="7"/>
      <c r="E1142" s="27"/>
      <c r="F1142" s="27"/>
      <c r="G1142" s="7"/>
      <c r="H1142" s="28"/>
      <c r="I1142" s="28"/>
      <c r="J1142" s="28"/>
      <c r="K1142" s="28"/>
    </row>
    <row r="1143" spans="2:11" x14ac:dyDescent="0.25">
      <c r="B1143" s="25"/>
      <c r="C1143" s="8"/>
      <c r="D1143" s="7"/>
      <c r="E1143" s="27"/>
      <c r="F1143" s="27"/>
      <c r="G1143" s="7"/>
      <c r="H1143" s="28"/>
      <c r="I1143" s="28"/>
      <c r="J1143" s="28"/>
      <c r="K1143" s="28"/>
    </row>
    <row r="1144" spans="2:11" x14ac:dyDescent="0.25">
      <c r="B1144" s="25"/>
      <c r="C1144" s="8"/>
      <c r="D1144" s="7"/>
      <c r="E1144" s="27"/>
      <c r="F1144" s="27"/>
      <c r="G1144" s="7"/>
      <c r="H1144" s="28"/>
      <c r="I1144" s="28"/>
      <c r="J1144" s="28"/>
      <c r="K1144" s="28"/>
    </row>
    <row r="1145" spans="2:11" x14ac:dyDescent="0.25">
      <c r="B1145" s="25"/>
      <c r="C1145" s="8"/>
      <c r="D1145" s="7"/>
      <c r="E1145" s="27"/>
      <c r="F1145" s="27"/>
      <c r="G1145" s="7"/>
      <c r="H1145" s="28"/>
      <c r="I1145" s="28"/>
      <c r="J1145" s="28"/>
      <c r="K1145" s="28"/>
    </row>
    <row r="1146" spans="2:11" x14ac:dyDescent="0.25">
      <c r="B1146" s="25"/>
      <c r="C1146" s="8"/>
      <c r="D1146" s="7"/>
      <c r="E1146" s="27"/>
      <c r="F1146" s="27"/>
      <c r="G1146" s="7"/>
      <c r="H1146" s="28"/>
      <c r="I1146" s="28"/>
      <c r="J1146" s="28"/>
      <c r="K1146" s="28"/>
    </row>
    <row r="1147" spans="2:11" x14ac:dyDescent="0.25">
      <c r="B1147" s="25"/>
      <c r="C1147" s="8"/>
      <c r="D1147" s="7"/>
      <c r="E1147" s="27"/>
      <c r="F1147" s="27"/>
      <c r="G1147" s="7"/>
      <c r="H1147" s="28"/>
      <c r="I1147" s="28"/>
      <c r="J1147" s="28"/>
      <c r="K1147" s="28"/>
    </row>
    <row r="1148" spans="2:11" x14ac:dyDescent="0.25">
      <c r="B1148" s="25"/>
      <c r="C1148" s="8"/>
      <c r="D1148" s="7"/>
      <c r="E1148" s="27"/>
      <c r="F1148" s="27"/>
      <c r="G1148" s="7"/>
      <c r="H1148" s="28"/>
      <c r="I1148" s="28"/>
      <c r="J1148" s="28"/>
      <c r="K1148" s="28"/>
    </row>
    <row r="1149" spans="2:11" x14ac:dyDescent="0.25">
      <c r="B1149" s="25"/>
      <c r="C1149" s="8"/>
      <c r="D1149" s="7"/>
      <c r="E1149" s="27"/>
      <c r="F1149" s="27"/>
      <c r="G1149" s="7"/>
      <c r="H1149" s="28"/>
      <c r="I1149" s="28"/>
      <c r="J1149" s="28"/>
      <c r="K1149" s="28"/>
    </row>
    <row r="1150" spans="2:11" x14ac:dyDescent="0.25">
      <c r="B1150" s="25"/>
      <c r="C1150" s="8"/>
      <c r="D1150" s="7"/>
      <c r="E1150" s="27"/>
      <c r="F1150" s="27"/>
      <c r="G1150" s="7"/>
      <c r="H1150" s="28"/>
      <c r="I1150" s="28"/>
      <c r="J1150" s="28"/>
      <c r="K1150" s="28"/>
    </row>
    <row r="1151" spans="2:11" x14ac:dyDescent="0.25">
      <c r="B1151" s="25"/>
      <c r="C1151" s="8"/>
      <c r="D1151" s="7"/>
      <c r="E1151" s="27"/>
      <c r="F1151" s="27"/>
      <c r="G1151" s="7"/>
      <c r="H1151" s="28"/>
      <c r="I1151" s="28"/>
      <c r="J1151" s="28"/>
      <c r="K1151" s="28"/>
    </row>
    <row r="1152" spans="2:11" x14ac:dyDescent="0.25">
      <c r="B1152" s="25"/>
      <c r="C1152" s="8"/>
      <c r="D1152" s="7"/>
      <c r="E1152" s="27"/>
      <c r="F1152" s="27"/>
      <c r="G1152" s="7"/>
      <c r="H1152" s="28"/>
      <c r="I1152" s="28"/>
      <c r="J1152" s="28"/>
      <c r="K1152" s="28"/>
    </row>
    <row r="1153" spans="2:11" x14ac:dyDescent="0.25">
      <c r="B1153" s="25"/>
      <c r="C1153" s="8"/>
      <c r="D1153" s="7"/>
      <c r="E1153" s="27"/>
      <c r="F1153" s="27"/>
      <c r="G1153" s="7"/>
      <c r="H1153" s="28"/>
      <c r="I1153" s="28"/>
      <c r="J1153" s="28"/>
      <c r="K1153" s="28"/>
    </row>
    <row r="1154" spans="2:11" x14ac:dyDescent="0.25">
      <c r="B1154" s="25"/>
      <c r="C1154" s="8"/>
      <c r="D1154" s="7"/>
      <c r="E1154" s="27"/>
      <c r="F1154" s="27"/>
      <c r="G1154" s="7"/>
      <c r="H1154" s="28"/>
      <c r="I1154" s="28"/>
      <c r="J1154" s="28"/>
      <c r="K1154" s="28"/>
    </row>
    <row r="1155" spans="2:11" x14ac:dyDescent="0.25">
      <c r="B1155" s="25"/>
      <c r="C1155" s="8"/>
      <c r="D1155" s="7"/>
      <c r="E1155" s="27"/>
      <c r="F1155" s="27"/>
      <c r="G1155" s="7"/>
      <c r="H1155" s="28"/>
      <c r="I1155" s="28"/>
      <c r="J1155" s="28"/>
      <c r="K1155" s="28"/>
    </row>
    <row r="1156" spans="2:11" x14ac:dyDescent="0.25">
      <c r="B1156" s="25"/>
      <c r="C1156" s="8"/>
      <c r="D1156" s="7"/>
      <c r="E1156" s="27"/>
      <c r="F1156" s="27"/>
      <c r="G1156" s="7"/>
      <c r="H1156" s="28"/>
      <c r="I1156" s="28"/>
      <c r="J1156" s="28"/>
      <c r="K1156" s="28"/>
    </row>
    <row r="1157" spans="2:11" x14ac:dyDescent="0.25">
      <c r="B1157" s="25"/>
      <c r="C1157" s="8"/>
      <c r="D1157" s="7"/>
      <c r="E1157" s="27"/>
      <c r="F1157" s="27"/>
      <c r="G1157" s="7"/>
      <c r="H1157" s="28"/>
      <c r="I1157" s="28"/>
      <c r="J1157" s="28"/>
      <c r="K1157" s="28"/>
    </row>
    <row r="1158" spans="2:11" x14ac:dyDescent="0.25">
      <c r="B1158" s="25"/>
      <c r="C1158" s="8"/>
      <c r="D1158" s="7"/>
      <c r="E1158" s="27"/>
      <c r="F1158" s="27"/>
      <c r="G1158" s="7"/>
      <c r="H1158" s="28"/>
      <c r="I1158" s="28"/>
      <c r="J1158" s="28"/>
      <c r="K1158" s="28"/>
    </row>
    <row r="1159" spans="2:11" x14ac:dyDescent="0.25">
      <c r="B1159" s="25"/>
      <c r="C1159" s="8"/>
      <c r="D1159" s="7"/>
      <c r="E1159" s="27"/>
      <c r="F1159" s="27"/>
      <c r="G1159" s="7"/>
      <c r="H1159" s="28"/>
      <c r="I1159" s="28"/>
      <c r="J1159" s="28"/>
      <c r="K1159" s="28"/>
    </row>
    <row r="1160" spans="2:11" x14ac:dyDescent="0.25">
      <c r="B1160" s="25"/>
      <c r="C1160" s="8"/>
      <c r="D1160" s="7"/>
      <c r="E1160" s="27"/>
      <c r="F1160" s="27"/>
      <c r="G1160" s="7"/>
      <c r="H1160" s="28"/>
      <c r="I1160" s="28"/>
      <c r="J1160" s="28"/>
      <c r="K1160" s="28"/>
    </row>
    <row r="1161" spans="2:11" x14ac:dyDescent="0.25">
      <c r="B1161" s="25"/>
      <c r="C1161" s="8"/>
      <c r="D1161" s="7"/>
      <c r="E1161" s="27"/>
      <c r="F1161" s="27"/>
      <c r="G1161" s="7"/>
      <c r="H1161" s="28"/>
      <c r="I1161" s="28"/>
      <c r="J1161" s="28"/>
      <c r="K1161" s="28"/>
    </row>
    <row r="1162" spans="2:11" x14ac:dyDescent="0.25">
      <c r="B1162" s="25"/>
      <c r="C1162" s="8"/>
      <c r="D1162" s="7"/>
      <c r="E1162" s="27"/>
      <c r="F1162" s="27"/>
      <c r="G1162" s="7"/>
      <c r="H1162" s="28"/>
      <c r="I1162" s="28"/>
      <c r="J1162" s="28"/>
      <c r="K1162" s="28"/>
    </row>
    <row r="1163" spans="2:11" x14ac:dyDescent="0.25">
      <c r="B1163" s="25"/>
      <c r="C1163" s="8"/>
      <c r="D1163" s="7"/>
      <c r="E1163" s="27"/>
      <c r="F1163" s="27"/>
      <c r="G1163" s="7"/>
      <c r="H1163" s="28"/>
      <c r="I1163" s="28"/>
      <c r="J1163" s="28"/>
      <c r="K1163" s="28"/>
    </row>
    <row r="1164" spans="2:11" x14ac:dyDescent="0.25">
      <c r="B1164" s="25"/>
      <c r="C1164" s="8"/>
      <c r="D1164" s="7"/>
      <c r="E1164" s="27"/>
      <c r="F1164" s="27"/>
      <c r="G1164" s="7"/>
      <c r="H1164" s="28"/>
      <c r="I1164" s="28"/>
      <c r="J1164" s="28"/>
      <c r="K1164" s="28"/>
    </row>
    <row r="1165" spans="2:11" x14ac:dyDescent="0.25">
      <c r="B1165" s="25"/>
      <c r="C1165" s="8"/>
      <c r="D1165" s="7"/>
      <c r="E1165" s="27"/>
      <c r="F1165" s="27"/>
      <c r="G1165" s="7"/>
      <c r="H1165" s="28"/>
      <c r="I1165" s="28"/>
      <c r="J1165" s="28"/>
      <c r="K1165" s="28"/>
    </row>
    <row r="1166" spans="2:11" x14ac:dyDescent="0.25">
      <c r="B1166" s="25"/>
      <c r="C1166" s="8"/>
      <c r="D1166" s="7"/>
      <c r="E1166" s="27"/>
      <c r="F1166" s="27"/>
      <c r="G1166" s="7"/>
      <c r="H1166" s="28"/>
      <c r="I1166" s="28"/>
      <c r="J1166" s="28"/>
      <c r="K1166" s="28"/>
    </row>
    <row r="1167" spans="2:11" x14ac:dyDescent="0.25">
      <c r="B1167" s="25"/>
      <c r="C1167" s="8"/>
      <c r="D1167" s="7"/>
      <c r="E1167" s="27"/>
      <c r="F1167" s="27"/>
      <c r="G1167" s="7"/>
      <c r="H1167" s="28"/>
      <c r="I1167" s="28"/>
      <c r="J1167" s="28"/>
      <c r="K1167" s="28"/>
    </row>
    <row r="1168" spans="2:11" x14ac:dyDescent="0.25">
      <c r="B1168" s="25"/>
      <c r="C1168" s="8"/>
      <c r="D1168" s="7"/>
      <c r="E1168" s="27"/>
      <c r="F1168" s="27"/>
      <c r="G1168" s="7"/>
      <c r="H1168" s="28"/>
      <c r="I1168" s="28"/>
      <c r="J1168" s="28"/>
      <c r="K1168" s="28"/>
    </row>
    <row r="1169" spans="2:11" x14ac:dyDescent="0.25">
      <c r="B1169" s="25"/>
      <c r="C1169" s="8"/>
      <c r="D1169" s="7"/>
      <c r="E1169" s="27"/>
      <c r="F1169" s="27"/>
      <c r="G1169" s="7"/>
      <c r="H1169" s="28"/>
      <c r="I1169" s="28"/>
      <c r="J1169" s="28"/>
      <c r="K1169" s="28"/>
    </row>
    <row r="1170" spans="2:11" x14ac:dyDescent="0.25">
      <c r="B1170" s="25"/>
      <c r="C1170" s="8"/>
      <c r="D1170" s="7"/>
      <c r="E1170" s="27"/>
      <c r="F1170" s="27"/>
      <c r="G1170" s="7"/>
      <c r="H1170" s="28"/>
      <c r="I1170" s="28"/>
      <c r="J1170" s="28"/>
      <c r="K1170" s="28"/>
    </row>
    <row r="1171" spans="2:11" x14ac:dyDescent="0.25">
      <c r="B1171" s="25"/>
      <c r="C1171" s="8"/>
      <c r="D1171" s="7"/>
      <c r="E1171" s="27"/>
      <c r="F1171" s="27"/>
      <c r="G1171" s="7"/>
      <c r="H1171" s="28"/>
      <c r="I1171" s="28"/>
      <c r="J1171" s="28"/>
      <c r="K1171" s="28"/>
    </row>
    <row r="1172" spans="2:11" x14ac:dyDescent="0.25">
      <c r="B1172" s="25"/>
      <c r="C1172" s="8"/>
      <c r="D1172" s="7"/>
      <c r="E1172" s="27"/>
      <c r="F1172" s="27"/>
      <c r="G1172" s="7"/>
      <c r="H1172" s="28"/>
      <c r="I1172" s="28"/>
      <c r="J1172" s="28"/>
      <c r="K1172" s="28"/>
    </row>
    <row r="1173" spans="2:11" x14ac:dyDescent="0.25">
      <c r="B1173" s="25"/>
      <c r="C1173" s="8"/>
      <c r="D1173" s="7"/>
      <c r="E1173" s="27"/>
      <c r="F1173" s="27"/>
      <c r="G1173" s="7"/>
      <c r="H1173" s="28"/>
      <c r="I1173" s="28"/>
      <c r="J1173" s="28"/>
      <c r="K1173" s="28"/>
    </row>
    <row r="1174" spans="2:11" x14ac:dyDescent="0.25">
      <c r="B1174" s="25"/>
      <c r="C1174" s="8"/>
      <c r="D1174" s="7"/>
      <c r="E1174" s="27"/>
      <c r="F1174" s="27"/>
      <c r="G1174" s="7"/>
      <c r="H1174" s="28"/>
      <c r="I1174" s="28"/>
      <c r="J1174" s="28"/>
      <c r="K1174" s="28"/>
    </row>
    <row r="1175" spans="2:11" x14ac:dyDescent="0.25">
      <c r="B1175" s="25"/>
      <c r="C1175" s="8"/>
      <c r="D1175" s="7"/>
      <c r="E1175" s="27"/>
      <c r="F1175" s="27"/>
      <c r="G1175" s="7"/>
      <c r="H1175" s="28"/>
      <c r="I1175" s="28"/>
      <c r="J1175" s="28"/>
      <c r="K1175" s="28"/>
    </row>
    <row r="1176" spans="2:11" x14ac:dyDescent="0.25">
      <c r="B1176" s="25"/>
      <c r="C1176" s="8"/>
      <c r="D1176" s="7"/>
      <c r="E1176" s="27"/>
      <c r="F1176" s="27"/>
      <c r="G1176" s="7"/>
      <c r="H1176" s="28"/>
      <c r="I1176" s="28"/>
      <c r="J1176" s="28"/>
      <c r="K1176" s="28"/>
    </row>
    <row r="1177" spans="2:11" x14ac:dyDescent="0.25">
      <c r="B1177" s="25"/>
      <c r="C1177" s="8"/>
      <c r="D1177" s="7"/>
      <c r="E1177" s="27"/>
      <c r="F1177" s="27"/>
      <c r="G1177" s="7"/>
      <c r="H1177" s="28"/>
      <c r="I1177" s="28"/>
      <c r="J1177" s="28"/>
      <c r="K1177" s="28"/>
    </row>
    <row r="1178" spans="2:11" x14ac:dyDescent="0.25">
      <c r="B1178" s="25"/>
      <c r="C1178" s="8"/>
      <c r="D1178" s="7"/>
      <c r="E1178" s="27"/>
      <c r="F1178" s="27"/>
      <c r="G1178" s="7"/>
      <c r="H1178" s="28"/>
      <c r="I1178" s="28"/>
      <c r="J1178" s="28"/>
      <c r="K1178" s="28"/>
    </row>
    <row r="1179" spans="2:11" x14ac:dyDescent="0.25">
      <c r="B1179" s="25"/>
      <c r="C1179" s="8"/>
      <c r="D1179" s="7"/>
      <c r="E1179" s="27"/>
      <c r="F1179" s="27"/>
      <c r="G1179" s="7"/>
      <c r="H1179" s="28"/>
      <c r="I1179" s="28"/>
      <c r="J1179" s="28"/>
      <c r="K1179" s="28"/>
    </row>
    <row r="1180" spans="2:11" x14ac:dyDescent="0.25">
      <c r="B1180" s="25"/>
      <c r="C1180" s="8"/>
      <c r="D1180" s="7"/>
      <c r="E1180" s="27"/>
      <c r="F1180" s="27"/>
      <c r="G1180" s="7"/>
      <c r="H1180" s="28"/>
      <c r="I1180" s="28"/>
      <c r="J1180" s="28"/>
      <c r="K1180" s="28"/>
    </row>
    <row r="1181" spans="2:11" x14ac:dyDescent="0.25">
      <c r="B1181" s="25"/>
      <c r="C1181" s="8"/>
      <c r="D1181" s="7"/>
      <c r="E1181" s="27"/>
      <c r="F1181" s="27"/>
      <c r="G1181" s="7"/>
      <c r="H1181" s="28"/>
      <c r="I1181" s="28"/>
      <c r="J1181" s="28"/>
      <c r="K1181" s="28"/>
    </row>
    <row r="1182" spans="2:11" x14ac:dyDescent="0.25">
      <c r="B1182" s="25"/>
      <c r="C1182" s="8"/>
      <c r="D1182" s="7"/>
      <c r="E1182" s="27"/>
      <c r="F1182" s="27"/>
      <c r="G1182" s="7"/>
      <c r="H1182" s="28"/>
      <c r="I1182" s="28"/>
      <c r="J1182" s="28"/>
      <c r="K1182" s="28"/>
    </row>
    <row r="1183" spans="2:11" x14ac:dyDescent="0.25">
      <c r="B1183" s="25"/>
      <c r="C1183" s="8"/>
      <c r="D1183" s="7"/>
      <c r="E1183" s="27"/>
      <c r="F1183" s="27"/>
      <c r="G1183" s="7"/>
      <c r="H1183" s="28"/>
      <c r="I1183" s="28"/>
      <c r="J1183" s="28"/>
      <c r="K1183" s="28"/>
    </row>
    <row r="1184" spans="2:11" x14ac:dyDescent="0.25">
      <c r="B1184" s="25"/>
      <c r="C1184" s="8"/>
      <c r="D1184" s="7"/>
      <c r="E1184" s="27"/>
      <c r="F1184" s="27"/>
      <c r="G1184" s="7"/>
      <c r="H1184" s="28"/>
      <c r="I1184" s="28"/>
      <c r="J1184" s="28"/>
      <c r="K1184" s="28"/>
    </row>
    <row r="1185" spans="2:11" x14ac:dyDescent="0.25">
      <c r="B1185" s="25"/>
      <c r="C1185" s="8"/>
      <c r="D1185" s="7"/>
      <c r="E1185" s="27"/>
      <c r="F1185" s="27"/>
      <c r="G1185" s="7"/>
      <c r="H1185" s="28"/>
      <c r="I1185" s="28"/>
      <c r="J1185" s="28"/>
      <c r="K1185" s="28"/>
    </row>
    <row r="1186" spans="2:11" x14ac:dyDescent="0.25">
      <c r="B1186" s="25"/>
      <c r="C1186" s="8"/>
      <c r="D1186" s="7"/>
      <c r="E1186" s="27"/>
      <c r="F1186" s="27"/>
      <c r="G1186" s="7"/>
      <c r="H1186" s="28"/>
      <c r="I1186" s="28"/>
      <c r="J1186" s="28"/>
      <c r="K1186" s="28"/>
    </row>
    <row r="1187" spans="2:11" x14ac:dyDescent="0.25">
      <c r="B1187" s="25"/>
      <c r="C1187" s="8"/>
      <c r="D1187" s="7"/>
      <c r="E1187" s="27"/>
      <c r="F1187" s="27"/>
      <c r="G1187" s="7"/>
      <c r="H1187" s="28"/>
      <c r="I1187" s="28"/>
      <c r="J1187" s="28"/>
      <c r="K1187" s="28"/>
    </row>
    <row r="1188" spans="2:11" x14ac:dyDescent="0.25">
      <c r="B1188" s="25"/>
      <c r="C1188" s="8"/>
      <c r="D1188" s="7"/>
      <c r="E1188" s="27"/>
      <c r="F1188" s="27"/>
      <c r="G1188" s="7"/>
      <c r="H1188" s="28"/>
      <c r="I1188" s="28"/>
      <c r="J1188" s="28"/>
      <c r="K1188" s="28"/>
    </row>
    <row r="1189" spans="2:11" x14ac:dyDescent="0.25">
      <c r="B1189" s="25"/>
      <c r="C1189" s="8"/>
      <c r="D1189" s="7"/>
      <c r="E1189" s="27"/>
      <c r="F1189" s="27"/>
      <c r="G1189" s="7"/>
      <c r="H1189" s="28"/>
      <c r="I1189" s="28"/>
      <c r="J1189" s="28"/>
      <c r="K1189" s="28"/>
    </row>
    <row r="1190" spans="2:11" x14ac:dyDescent="0.25">
      <c r="B1190" s="25"/>
      <c r="C1190" s="8"/>
      <c r="D1190" s="7"/>
      <c r="E1190" s="27"/>
      <c r="F1190" s="27"/>
      <c r="G1190" s="7"/>
      <c r="H1190" s="28"/>
      <c r="I1190" s="28"/>
      <c r="J1190" s="28"/>
      <c r="K1190" s="28"/>
    </row>
    <row r="1191" spans="2:11" x14ac:dyDescent="0.25">
      <c r="B1191" s="25"/>
      <c r="C1191" s="8"/>
      <c r="D1191" s="7"/>
      <c r="E1191" s="27"/>
      <c r="F1191" s="27"/>
      <c r="G1191" s="7"/>
      <c r="H1191" s="28"/>
      <c r="I1191" s="28"/>
      <c r="J1191" s="28"/>
      <c r="K1191" s="28"/>
    </row>
    <row r="1192" spans="2:11" x14ac:dyDescent="0.25">
      <c r="B1192" s="25"/>
      <c r="C1192" s="8"/>
      <c r="D1192" s="7"/>
      <c r="E1192" s="27"/>
      <c r="F1192" s="27"/>
      <c r="G1192" s="7"/>
      <c r="H1192" s="28"/>
      <c r="I1192" s="28"/>
      <c r="J1192" s="28"/>
      <c r="K1192" s="28"/>
    </row>
    <row r="1193" spans="2:11" x14ac:dyDescent="0.25">
      <c r="B1193" s="25"/>
      <c r="C1193" s="8"/>
      <c r="D1193" s="7"/>
      <c r="E1193" s="27"/>
      <c r="F1193" s="27"/>
      <c r="G1193" s="7"/>
      <c r="H1193" s="28"/>
      <c r="I1193" s="28"/>
      <c r="J1193" s="28"/>
      <c r="K1193" s="28"/>
    </row>
    <row r="1194" spans="2:11" x14ac:dyDescent="0.25">
      <c r="B1194" s="25"/>
      <c r="C1194" s="8"/>
      <c r="D1194" s="7"/>
      <c r="E1194" s="27"/>
      <c r="F1194" s="27"/>
      <c r="G1194" s="7"/>
      <c r="H1194" s="28"/>
      <c r="I1194" s="28"/>
      <c r="J1194" s="28"/>
      <c r="K1194" s="28"/>
    </row>
    <row r="1195" spans="2:11" x14ac:dyDescent="0.25">
      <c r="B1195" s="25"/>
      <c r="C1195" s="8"/>
      <c r="D1195" s="7"/>
      <c r="E1195" s="27"/>
      <c r="F1195" s="27"/>
      <c r="G1195" s="7"/>
      <c r="H1195" s="28"/>
      <c r="I1195" s="28"/>
      <c r="J1195" s="28"/>
      <c r="K1195" s="28"/>
    </row>
    <row r="1196" spans="2:11" x14ac:dyDescent="0.25">
      <c r="B1196" s="25"/>
      <c r="C1196" s="8"/>
      <c r="D1196" s="7"/>
      <c r="E1196" s="27"/>
      <c r="F1196" s="27"/>
      <c r="G1196" s="7"/>
      <c r="H1196" s="28"/>
      <c r="I1196" s="28"/>
      <c r="J1196" s="28"/>
      <c r="K1196" s="28"/>
    </row>
    <row r="1197" spans="2:11" x14ac:dyDescent="0.25">
      <c r="B1197" s="25"/>
      <c r="C1197" s="8"/>
      <c r="D1197" s="7"/>
      <c r="E1197" s="27"/>
      <c r="F1197" s="27"/>
      <c r="G1197" s="7"/>
      <c r="H1197" s="28"/>
      <c r="I1197" s="28"/>
      <c r="J1197" s="28"/>
      <c r="K1197" s="28"/>
    </row>
    <row r="1198" spans="2:11" x14ac:dyDescent="0.25">
      <c r="B1198" s="25"/>
      <c r="C1198" s="8"/>
      <c r="D1198" s="7"/>
      <c r="E1198" s="27"/>
      <c r="F1198" s="27"/>
      <c r="G1198" s="7"/>
      <c r="H1198" s="28"/>
      <c r="I1198" s="28"/>
      <c r="J1198" s="28"/>
      <c r="K1198" s="28"/>
    </row>
    <row r="1199" spans="2:11" x14ac:dyDescent="0.25">
      <c r="B1199" s="25"/>
      <c r="C1199" s="8"/>
      <c r="D1199" s="7"/>
      <c r="E1199" s="27"/>
      <c r="F1199" s="27"/>
      <c r="G1199" s="7"/>
      <c r="H1199" s="28"/>
      <c r="I1199" s="28"/>
      <c r="J1199" s="28"/>
      <c r="K1199" s="28"/>
    </row>
    <row r="1200" spans="2:11" x14ac:dyDescent="0.25">
      <c r="B1200" s="25"/>
      <c r="C1200" s="8"/>
      <c r="D1200" s="7"/>
      <c r="E1200" s="27"/>
      <c r="F1200" s="27"/>
      <c r="G1200" s="7"/>
      <c r="H1200" s="28"/>
      <c r="I1200" s="28"/>
      <c r="J1200" s="28"/>
      <c r="K1200" s="28"/>
    </row>
    <row r="1201" spans="2:11" x14ac:dyDescent="0.25">
      <c r="B1201" s="25"/>
      <c r="C1201" s="8"/>
      <c r="D1201" s="7"/>
      <c r="E1201" s="27"/>
      <c r="F1201" s="27"/>
      <c r="G1201" s="7"/>
      <c r="H1201" s="28"/>
      <c r="I1201" s="28"/>
      <c r="J1201" s="28"/>
      <c r="K1201" s="28"/>
    </row>
    <row r="1202" spans="2:11" x14ac:dyDescent="0.25">
      <c r="B1202" s="25"/>
      <c r="C1202" s="8"/>
      <c r="D1202" s="7"/>
      <c r="E1202" s="27"/>
      <c r="F1202" s="27"/>
      <c r="G1202" s="7"/>
      <c r="H1202" s="28"/>
      <c r="I1202" s="28"/>
      <c r="J1202" s="28"/>
      <c r="K1202" s="28"/>
    </row>
    <row r="1203" spans="2:11" x14ac:dyDescent="0.25">
      <c r="B1203" s="25"/>
      <c r="C1203" s="8"/>
      <c r="D1203" s="7"/>
      <c r="E1203" s="27"/>
      <c r="F1203" s="27"/>
      <c r="G1203" s="7"/>
      <c r="H1203" s="28"/>
      <c r="I1203" s="28"/>
      <c r="J1203" s="28"/>
      <c r="K1203" s="28"/>
    </row>
    <row r="1204" spans="2:11" x14ac:dyDescent="0.25">
      <c r="B1204" s="25"/>
      <c r="C1204" s="8"/>
      <c r="D1204" s="7"/>
      <c r="E1204" s="27"/>
      <c r="F1204" s="27"/>
      <c r="G1204" s="7"/>
      <c r="H1204" s="28"/>
      <c r="I1204" s="28"/>
      <c r="J1204" s="28"/>
      <c r="K1204" s="28"/>
    </row>
    <row r="1205" spans="2:11" x14ac:dyDescent="0.25">
      <c r="B1205" s="25"/>
      <c r="C1205" s="8"/>
      <c r="D1205" s="7"/>
      <c r="E1205" s="27"/>
      <c r="F1205" s="27"/>
      <c r="G1205" s="7"/>
      <c r="H1205" s="28"/>
      <c r="I1205" s="28"/>
      <c r="J1205" s="28"/>
      <c r="K1205" s="28"/>
    </row>
    <row r="1206" spans="2:11" x14ac:dyDescent="0.25">
      <c r="B1206" s="25"/>
      <c r="C1206" s="8"/>
      <c r="D1206" s="7"/>
      <c r="E1206" s="27"/>
      <c r="F1206" s="27"/>
      <c r="G1206" s="7"/>
      <c r="H1206" s="28"/>
      <c r="I1206" s="28"/>
      <c r="J1206" s="28"/>
      <c r="K1206" s="28"/>
    </row>
    <row r="1207" spans="2:11" x14ac:dyDescent="0.25">
      <c r="B1207" s="25"/>
      <c r="C1207" s="8"/>
      <c r="D1207" s="7"/>
      <c r="E1207" s="27"/>
      <c r="F1207" s="27"/>
      <c r="G1207" s="7"/>
      <c r="H1207" s="28"/>
      <c r="I1207" s="28"/>
      <c r="J1207" s="28"/>
      <c r="K1207" s="28"/>
    </row>
    <row r="1208" spans="2:11" x14ac:dyDescent="0.25">
      <c r="B1208" s="25"/>
      <c r="C1208" s="8"/>
      <c r="D1208" s="7"/>
      <c r="E1208" s="27"/>
      <c r="F1208" s="27"/>
      <c r="G1208" s="7"/>
      <c r="H1208" s="28"/>
      <c r="I1208" s="28"/>
      <c r="J1208" s="28"/>
      <c r="K1208" s="28"/>
    </row>
    <row r="1209" spans="2:11" x14ac:dyDescent="0.25">
      <c r="B1209" s="25"/>
      <c r="C1209" s="8"/>
      <c r="D1209" s="7"/>
      <c r="E1209" s="27"/>
      <c r="F1209" s="27"/>
      <c r="G1209" s="7"/>
      <c r="H1209" s="28"/>
      <c r="I1209" s="28"/>
      <c r="J1209" s="28"/>
      <c r="K1209" s="28"/>
    </row>
    <row r="1210" spans="2:11" x14ac:dyDescent="0.25">
      <c r="B1210" s="25"/>
      <c r="C1210" s="8"/>
      <c r="D1210" s="7"/>
      <c r="E1210" s="27"/>
      <c r="F1210" s="27"/>
      <c r="G1210" s="7"/>
      <c r="H1210" s="28"/>
      <c r="I1210" s="28"/>
      <c r="J1210" s="28"/>
      <c r="K1210" s="28"/>
    </row>
    <row r="1211" spans="2:11" x14ac:dyDescent="0.25">
      <c r="B1211" s="25"/>
      <c r="C1211" s="8"/>
      <c r="D1211" s="7"/>
      <c r="E1211" s="27"/>
      <c r="F1211" s="27"/>
      <c r="G1211" s="7"/>
      <c r="H1211" s="28"/>
      <c r="I1211" s="28"/>
      <c r="J1211" s="28"/>
      <c r="K1211" s="28"/>
    </row>
    <row r="1212" spans="2:11" x14ac:dyDescent="0.25">
      <c r="B1212" s="25"/>
      <c r="C1212" s="8"/>
      <c r="D1212" s="7"/>
      <c r="E1212" s="27"/>
      <c r="F1212" s="27"/>
      <c r="G1212" s="7"/>
      <c r="H1212" s="28"/>
      <c r="I1212" s="28"/>
      <c r="J1212" s="28"/>
      <c r="K1212" s="28"/>
    </row>
    <row r="1213" spans="2:11" x14ac:dyDescent="0.25">
      <c r="B1213" s="25"/>
      <c r="C1213" s="8"/>
      <c r="D1213" s="7"/>
      <c r="E1213" s="27"/>
      <c r="F1213" s="27"/>
      <c r="G1213" s="7"/>
      <c r="H1213" s="28"/>
      <c r="I1213" s="28"/>
      <c r="J1213" s="28"/>
      <c r="K1213" s="28"/>
    </row>
    <row r="1214" spans="2:11" x14ac:dyDescent="0.25">
      <c r="B1214" s="25"/>
      <c r="C1214" s="8"/>
      <c r="D1214" s="7"/>
      <c r="E1214" s="27"/>
      <c r="F1214" s="27"/>
      <c r="G1214" s="7"/>
      <c r="H1214" s="28"/>
      <c r="I1214" s="28"/>
      <c r="J1214" s="28"/>
      <c r="K1214" s="28"/>
    </row>
    <row r="1215" spans="2:11" x14ac:dyDescent="0.25">
      <c r="B1215" s="25"/>
      <c r="C1215" s="8"/>
      <c r="D1215" s="7"/>
      <c r="E1215" s="27"/>
      <c r="F1215" s="27"/>
      <c r="G1215" s="7"/>
      <c r="H1215" s="28"/>
      <c r="I1215" s="28"/>
      <c r="J1215" s="28"/>
      <c r="K1215" s="28"/>
    </row>
    <row r="1216" spans="2:11" x14ac:dyDescent="0.25">
      <c r="B1216" s="25"/>
      <c r="C1216" s="8"/>
      <c r="D1216" s="7"/>
      <c r="E1216" s="27"/>
      <c r="F1216" s="27"/>
      <c r="G1216" s="7"/>
      <c r="H1216" s="28"/>
      <c r="I1216" s="28"/>
      <c r="J1216" s="28"/>
      <c r="K1216" s="28"/>
    </row>
    <row r="1217" spans="2:11" x14ac:dyDescent="0.25">
      <c r="B1217" s="25"/>
      <c r="C1217" s="8"/>
      <c r="D1217" s="7"/>
      <c r="E1217" s="27"/>
      <c r="F1217" s="27"/>
      <c r="G1217" s="7"/>
      <c r="H1217" s="28"/>
      <c r="I1217" s="28"/>
      <c r="J1217" s="28"/>
      <c r="K1217" s="28"/>
    </row>
    <row r="1218" spans="2:11" x14ac:dyDescent="0.25">
      <c r="B1218" s="25"/>
      <c r="C1218" s="8"/>
      <c r="D1218" s="7"/>
      <c r="E1218" s="27"/>
      <c r="F1218" s="27"/>
      <c r="G1218" s="7"/>
      <c r="H1218" s="28"/>
      <c r="I1218" s="28"/>
      <c r="J1218" s="28"/>
      <c r="K1218" s="28"/>
    </row>
    <row r="1219" spans="2:11" x14ac:dyDescent="0.25">
      <c r="B1219" s="25"/>
      <c r="C1219" s="8"/>
      <c r="D1219" s="7"/>
      <c r="E1219" s="27"/>
      <c r="F1219" s="27"/>
      <c r="G1219" s="7"/>
      <c r="H1219" s="28"/>
      <c r="I1219" s="28"/>
      <c r="J1219" s="28"/>
      <c r="K1219" s="28"/>
    </row>
    <row r="1220" spans="2:11" x14ac:dyDescent="0.25">
      <c r="B1220" s="25"/>
      <c r="C1220" s="8"/>
      <c r="D1220" s="7"/>
      <c r="E1220" s="27"/>
      <c r="F1220" s="27"/>
      <c r="G1220" s="7"/>
      <c r="H1220" s="28"/>
      <c r="I1220" s="28"/>
      <c r="J1220" s="28"/>
      <c r="K1220" s="28"/>
    </row>
    <row r="1221" spans="2:11" x14ac:dyDescent="0.25">
      <c r="B1221" s="25"/>
      <c r="C1221" s="8"/>
      <c r="D1221" s="7"/>
      <c r="E1221" s="27"/>
      <c r="F1221" s="27"/>
      <c r="G1221" s="7"/>
      <c r="H1221" s="28"/>
      <c r="I1221" s="28"/>
      <c r="J1221" s="28"/>
      <c r="K1221" s="28"/>
    </row>
    <row r="1222" spans="2:11" x14ac:dyDescent="0.25">
      <c r="B1222" s="25"/>
      <c r="C1222" s="8"/>
      <c r="D1222" s="7"/>
      <c r="E1222" s="27"/>
      <c r="F1222" s="27"/>
      <c r="G1222" s="7"/>
      <c r="H1222" s="28"/>
      <c r="I1222" s="28"/>
      <c r="J1222" s="28"/>
      <c r="K1222" s="28"/>
    </row>
    <row r="1223" spans="2:11" x14ac:dyDescent="0.25">
      <c r="B1223" s="25"/>
      <c r="C1223" s="8"/>
      <c r="D1223" s="7"/>
      <c r="E1223" s="27"/>
      <c r="F1223" s="27"/>
      <c r="G1223" s="7"/>
      <c r="H1223" s="28"/>
      <c r="I1223" s="28"/>
      <c r="J1223" s="28"/>
      <c r="K1223" s="28"/>
    </row>
    <row r="1224" spans="2:11" x14ac:dyDescent="0.25">
      <c r="B1224" s="25"/>
      <c r="C1224" s="8"/>
      <c r="D1224" s="7"/>
      <c r="E1224" s="27"/>
      <c r="F1224" s="27"/>
      <c r="G1224" s="7"/>
      <c r="H1224" s="28"/>
      <c r="I1224" s="28"/>
      <c r="J1224" s="28"/>
      <c r="K1224" s="28"/>
    </row>
    <row r="1225" spans="2:11" x14ac:dyDescent="0.25">
      <c r="B1225" s="25"/>
      <c r="C1225" s="8"/>
      <c r="D1225" s="7"/>
      <c r="E1225" s="27"/>
      <c r="F1225" s="27"/>
      <c r="G1225" s="7"/>
      <c r="H1225" s="28"/>
      <c r="I1225" s="28"/>
      <c r="J1225" s="28"/>
      <c r="K1225" s="28"/>
    </row>
    <row r="1226" spans="2:11" x14ac:dyDescent="0.25">
      <c r="B1226" s="25"/>
      <c r="C1226" s="8"/>
      <c r="D1226" s="7"/>
      <c r="E1226" s="27"/>
      <c r="F1226" s="27"/>
      <c r="G1226" s="7"/>
      <c r="H1226" s="28"/>
      <c r="I1226" s="28"/>
      <c r="J1226" s="28"/>
      <c r="K1226" s="28"/>
    </row>
    <row r="1227" spans="2:11" x14ac:dyDescent="0.25">
      <c r="B1227" s="25"/>
      <c r="C1227" s="8"/>
      <c r="D1227" s="7"/>
      <c r="E1227" s="27"/>
      <c r="F1227" s="27"/>
      <c r="G1227" s="7"/>
      <c r="H1227" s="28"/>
      <c r="I1227" s="28"/>
      <c r="J1227" s="28"/>
      <c r="K1227" s="28"/>
    </row>
    <row r="1228" spans="2:11" x14ac:dyDescent="0.25">
      <c r="B1228" s="25"/>
      <c r="C1228" s="8"/>
      <c r="D1228" s="7"/>
      <c r="E1228" s="27"/>
      <c r="F1228" s="27"/>
      <c r="G1228" s="7"/>
      <c r="H1228" s="28"/>
      <c r="I1228" s="28"/>
      <c r="J1228" s="28"/>
      <c r="K1228" s="28"/>
    </row>
    <row r="1229" spans="2:11" x14ac:dyDescent="0.25">
      <c r="B1229" s="25"/>
      <c r="C1229" s="8"/>
      <c r="D1229" s="7"/>
      <c r="E1229" s="27"/>
      <c r="F1229" s="27"/>
      <c r="G1229" s="7"/>
      <c r="H1229" s="28"/>
      <c r="I1229" s="28"/>
      <c r="J1229" s="28"/>
      <c r="K1229" s="28"/>
    </row>
    <row r="1230" spans="2:11" x14ac:dyDescent="0.25">
      <c r="B1230" s="25"/>
      <c r="C1230" s="8"/>
      <c r="D1230" s="7"/>
      <c r="E1230" s="27"/>
      <c r="F1230" s="27"/>
      <c r="G1230" s="7"/>
      <c r="H1230" s="28"/>
      <c r="I1230" s="28"/>
      <c r="J1230" s="28"/>
      <c r="K1230" s="28"/>
    </row>
    <row r="1231" spans="2:11" x14ac:dyDescent="0.25">
      <c r="B1231" s="25"/>
      <c r="C1231" s="8"/>
      <c r="D1231" s="7"/>
      <c r="E1231" s="27"/>
      <c r="F1231" s="27"/>
      <c r="G1231" s="7"/>
      <c r="H1231" s="28"/>
      <c r="I1231" s="28"/>
      <c r="J1231" s="28"/>
      <c r="K1231" s="28"/>
    </row>
    <row r="1232" spans="2:11" x14ac:dyDescent="0.25">
      <c r="B1232" s="25"/>
      <c r="C1232" s="8"/>
      <c r="D1232" s="7"/>
      <c r="E1232" s="27"/>
      <c r="F1232" s="27"/>
      <c r="G1232" s="7"/>
      <c r="H1232" s="28"/>
      <c r="I1232" s="28"/>
      <c r="J1232" s="28"/>
      <c r="K1232" s="28"/>
    </row>
    <row r="1233" spans="2:11" x14ac:dyDescent="0.25">
      <c r="B1233" s="25"/>
      <c r="C1233" s="8"/>
      <c r="D1233" s="7"/>
      <c r="E1233" s="27"/>
      <c r="F1233" s="27"/>
      <c r="G1233" s="7"/>
      <c r="H1233" s="28"/>
      <c r="I1233" s="28"/>
      <c r="J1233" s="28"/>
      <c r="K1233" s="28"/>
    </row>
    <row r="1234" spans="2:11" x14ac:dyDescent="0.25">
      <c r="B1234" s="25"/>
      <c r="C1234" s="8"/>
      <c r="D1234" s="7"/>
      <c r="E1234" s="27"/>
      <c r="F1234" s="27"/>
      <c r="G1234" s="7"/>
      <c r="H1234" s="28"/>
      <c r="I1234" s="28"/>
      <c r="J1234" s="28"/>
      <c r="K1234" s="28"/>
    </row>
    <row r="1235" spans="2:11" x14ac:dyDescent="0.25">
      <c r="B1235" s="25"/>
      <c r="C1235" s="8"/>
      <c r="D1235" s="7"/>
      <c r="E1235" s="27"/>
      <c r="F1235" s="27"/>
      <c r="G1235" s="7"/>
      <c r="H1235" s="28"/>
      <c r="I1235" s="28"/>
      <c r="J1235" s="28"/>
      <c r="K1235" s="28"/>
    </row>
    <row r="1236" spans="2:11" x14ac:dyDescent="0.25">
      <c r="B1236" s="25"/>
      <c r="C1236" s="8"/>
      <c r="D1236" s="7"/>
      <c r="E1236" s="27"/>
      <c r="F1236" s="27"/>
      <c r="G1236" s="7"/>
      <c r="H1236" s="28"/>
      <c r="I1236" s="28"/>
      <c r="J1236" s="28"/>
      <c r="K1236" s="28"/>
    </row>
    <row r="1237" spans="2:11" x14ac:dyDescent="0.25">
      <c r="B1237" s="25"/>
      <c r="C1237" s="8"/>
      <c r="D1237" s="7"/>
      <c r="E1237" s="27"/>
      <c r="F1237" s="27"/>
      <c r="G1237" s="7"/>
      <c r="H1237" s="28"/>
      <c r="I1237" s="28"/>
      <c r="J1237" s="28"/>
      <c r="K1237" s="28"/>
    </row>
    <row r="1238" spans="2:11" x14ac:dyDescent="0.25">
      <c r="B1238" s="25"/>
      <c r="C1238" s="8"/>
      <c r="D1238" s="7"/>
      <c r="E1238" s="27"/>
      <c r="F1238" s="27"/>
      <c r="G1238" s="7"/>
      <c r="H1238" s="28"/>
      <c r="I1238" s="28"/>
      <c r="J1238" s="28"/>
      <c r="K1238" s="28"/>
    </row>
    <row r="1239" spans="2:11" x14ac:dyDescent="0.25">
      <c r="B1239" s="25"/>
      <c r="C1239" s="8"/>
      <c r="D1239" s="7"/>
      <c r="E1239" s="27"/>
      <c r="F1239" s="27"/>
      <c r="G1239" s="7"/>
      <c r="H1239" s="28"/>
      <c r="I1239" s="28"/>
      <c r="J1239" s="28"/>
      <c r="K1239" s="28"/>
    </row>
    <row r="1240" spans="2:11" x14ac:dyDescent="0.25">
      <c r="B1240" s="25"/>
      <c r="C1240" s="8"/>
      <c r="D1240" s="7"/>
      <c r="E1240" s="27"/>
      <c r="F1240" s="27"/>
      <c r="G1240" s="7"/>
      <c r="H1240" s="28"/>
      <c r="I1240" s="28"/>
      <c r="J1240" s="28"/>
      <c r="K1240" s="28"/>
    </row>
    <row r="1241" spans="2:11" x14ac:dyDescent="0.25">
      <c r="B1241" s="25"/>
      <c r="C1241" s="8"/>
      <c r="D1241" s="7"/>
      <c r="E1241" s="27"/>
      <c r="F1241" s="27"/>
      <c r="G1241" s="7"/>
      <c r="H1241" s="28"/>
      <c r="I1241" s="28"/>
      <c r="J1241" s="28"/>
      <c r="K1241" s="28"/>
    </row>
    <row r="1242" spans="2:11" x14ac:dyDescent="0.25">
      <c r="B1242" s="25"/>
      <c r="C1242" s="8"/>
      <c r="D1242" s="7"/>
      <c r="E1242" s="27"/>
      <c r="F1242" s="27"/>
      <c r="G1242" s="7"/>
      <c r="H1242" s="28"/>
      <c r="I1242" s="28"/>
      <c r="J1242" s="28"/>
      <c r="K1242" s="28"/>
    </row>
    <row r="1243" spans="2:11" x14ac:dyDescent="0.25">
      <c r="B1243" s="25"/>
      <c r="C1243" s="8"/>
      <c r="D1243" s="7"/>
      <c r="E1243" s="27"/>
      <c r="F1243" s="27"/>
      <c r="G1243" s="7"/>
      <c r="H1243" s="28"/>
      <c r="I1243" s="28"/>
      <c r="J1243" s="28"/>
      <c r="K1243" s="28"/>
    </row>
    <row r="1244" spans="2:11" x14ac:dyDescent="0.25">
      <c r="B1244" s="25"/>
      <c r="C1244" s="8"/>
      <c r="D1244" s="7"/>
      <c r="E1244" s="27"/>
      <c r="F1244" s="27"/>
      <c r="G1244" s="7"/>
      <c r="H1244" s="28"/>
      <c r="I1244" s="28"/>
      <c r="J1244" s="28"/>
      <c r="K1244" s="28"/>
    </row>
    <row r="1245" spans="2:11" x14ac:dyDescent="0.25">
      <c r="B1245" s="25"/>
      <c r="C1245" s="8"/>
      <c r="D1245" s="7"/>
      <c r="E1245" s="27"/>
      <c r="F1245" s="27"/>
      <c r="G1245" s="7"/>
      <c r="H1245" s="28"/>
      <c r="I1245" s="28"/>
      <c r="J1245" s="28"/>
      <c r="K1245" s="28"/>
    </row>
    <row r="1246" spans="2:11" x14ac:dyDescent="0.25">
      <c r="B1246" s="25"/>
      <c r="C1246" s="8"/>
      <c r="D1246" s="7"/>
      <c r="E1246" s="27"/>
      <c r="F1246" s="27"/>
      <c r="G1246" s="7"/>
      <c r="H1246" s="28"/>
      <c r="I1246" s="28"/>
      <c r="J1246" s="28"/>
      <c r="K1246" s="28"/>
    </row>
    <row r="1247" spans="2:11" x14ac:dyDescent="0.25">
      <c r="B1247" s="25"/>
      <c r="C1247" s="8"/>
      <c r="D1247" s="7"/>
      <c r="E1247" s="27"/>
      <c r="F1247" s="27"/>
      <c r="G1247" s="7"/>
      <c r="H1247" s="28"/>
      <c r="I1247" s="28"/>
      <c r="J1247" s="28"/>
      <c r="K1247" s="28"/>
    </row>
    <row r="1248" spans="2:11" x14ac:dyDescent="0.25">
      <c r="B1248" s="25"/>
      <c r="C1248" s="8"/>
      <c r="D1248" s="7"/>
      <c r="E1248" s="27"/>
      <c r="F1248" s="27"/>
      <c r="G1248" s="7"/>
      <c r="H1248" s="28"/>
      <c r="I1248" s="28"/>
      <c r="J1248" s="28"/>
      <c r="K1248" s="28"/>
    </row>
    <row r="1249" spans="2:11" x14ac:dyDescent="0.25">
      <c r="B1249" s="25"/>
      <c r="C1249" s="8"/>
      <c r="D1249" s="7"/>
      <c r="E1249" s="27"/>
      <c r="F1249" s="27"/>
      <c r="G1249" s="7"/>
      <c r="H1249" s="28"/>
      <c r="I1249" s="28"/>
      <c r="J1249" s="28"/>
      <c r="K1249" s="28"/>
    </row>
    <row r="1250" spans="2:11" x14ac:dyDescent="0.25">
      <c r="B1250" s="25"/>
      <c r="C1250" s="8"/>
      <c r="D1250" s="7"/>
      <c r="E1250" s="27"/>
      <c r="F1250" s="27"/>
      <c r="G1250" s="7"/>
      <c r="H1250" s="28"/>
      <c r="I1250" s="28"/>
      <c r="J1250" s="28"/>
      <c r="K1250" s="28"/>
    </row>
    <row r="1251" spans="2:11" x14ac:dyDescent="0.25">
      <c r="B1251" s="25"/>
      <c r="C1251" s="8"/>
      <c r="D1251" s="7"/>
      <c r="E1251" s="27"/>
      <c r="F1251" s="27"/>
      <c r="G1251" s="7"/>
      <c r="H1251" s="28"/>
      <c r="I1251" s="28"/>
      <c r="J1251" s="28"/>
      <c r="K1251" s="28"/>
    </row>
    <row r="1252" spans="2:11" x14ac:dyDescent="0.25">
      <c r="B1252" s="25"/>
      <c r="C1252" s="8"/>
      <c r="D1252" s="7"/>
      <c r="E1252" s="27"/>
      <c r="F1252" s="27"/>
      <c r="G1252" s="7"/>
      <c r="H1252" s="28"/>
      <c r="I1252" s="28"/>
      <c r="J1252" s="28"/>
      <c r="K1252" s="28"/>
    </row>
    <row r="1253" spans="2:11" x14ac:dyDescent="0.25">
      <c r="B1253" s="25"/>
      <c r="C1253" s="8"/>
      <c r="D1253" s="7"/>
      <c r="E1253" s="27"/>
      <c r="F1253" s="27"/>
      <c r="G1253" s="7"/>
      <c r="H1253" s="28"/>
      <c r="I1253" s="28"/>
      <c r="J1253" s="28"/>
      <c r="K1253" s="28"/>
    </row>
    <row r="1254" spans="2:11" x14ac:dyDescent="0.25">
      <c r="B1254" s="25"/>
      <c r="C1254" s="8"/>
      <c r="D1254" s="7"/>
      <c r="E1254" s="27"/>
      <c r="F1254" s="27"/>
      <c r="G1254" s="7"/>
      <c r="H1254" s="28"/>
      <c r="I1254" s="28"/>
      <c r="J1254" s="28"/>
      <c r="K1254" s="28"/>
    </row>
    <row r="1255" spans="2:11" x14ac:dyDescent="0.25">
      <c r="B1255" s="25"/>
      <c r="C1255" s="8"/>
      <c r="D1255" s="7"/>
      <c r="E1255" s="27"/>
      <c r="F1255" s="27"/>
      <c r="G1255" s="7"/>
      <c r="H1255" s="28"/>
      <c r="I1255" s="28"/>
      <c r="J1255" s="28"/>
      <c r="K1255" s="28"/>
    </row>
    <row r="1256" spans="2:11" x14ac:dyDescent="0.25">
      <c r="B1256" s="25"/>
      <c r="C1256" s="8"/>
      <c r="D1256" s="7"/>
      <c r="E1256" s="27"/>
      <c r="F1256" s="27"/>
      <c r="G1256" s="7"/>
      <c r="H1256" s="28"/>
      <c r="I1256" s="28"/>
      <c r="J1256" s="28"/>
      <c r="K1256" s="28"/>
    </row>
    <row r="1257" spans="2:11" x14ac:dyDescent="0.25">
      <c r="B1257" s="25"/>
      <c r="C1257" s="8"/>
      <c r="D1257" s="7"/>
      <c r="E1257" s="27"/>
      <c r="F1257" s="27"/>
      <c r="G1257" s="7"/>
      <c r="H1257" s="28"/>
      <c r="I1257" s="28"/>
      <c r="J1257" s="28"/>
      <c r="K1257" s="28"/>
    </row>
    <row r="1258" spans="2:11" x14ac:dyDescent="0.25">
      <c r="B1258" s="25"/>
      <c r="C1258" s="8"/>
      <c r="D1258" s="7"/>
      <c r="E1258" s="27"/>
      <c r="F1258" s="27"/>
      <c r="G1258" s="7"/>
      <c r="H1258" s="28"/>
      <c r="I1258" s="28"/>
      <c r="J1258" s="28"/>
      <c r="K1258" s="28"/>
    </row>
    <row r="1259" spans="2:11" x14ac:dyDescent="0.25">
      <c r="B1259" s="25"/>
      <c r="C1259" s="8"/>
      <c r="D1259" s="7"/>
      <c r="E1259" s="27"/>
      <c r="F1259" s="27"/>
      <c r="G1259" s="7"/>
      <c r="H1259" s="28"/>
      <c r="I1259" s="28"/>
      <c r="J1259" s="28"/>
      <c r="K1259" s="28"/>
    </row>
    <row r="1260" spans="2:11" x14ac:dyDescent="0.25">
      <c r="B1260" s="25"/>
      <c r="C1260" s="8"/>
      <c r="D1260" s="7"/>
      <c r="E1260" s="27"/>
      <c r="F1260" s="27"/>
      <c r="G1260" s="7"/>
      <c r="H1260" s="28"/>
      <c r="I1260" s="28"/>
      <c r="J1260" s="28"/>
      <c r="K1260" s="28"/>
    </row>
    <row r="1261" spans="2:11" x14ac:dyDescent="0.25">
      <c r="B1261" s="25"/>
      <c r="C1261" s="8"/>
      <c r="D1261" s="7"/>
      <c r="E1261" s="27"/>
      <c r="F1261" s="27"/>
      <c r="G1261" s="7"/>
      <c r="H1261" s="28"/>
      <c r="I1261" s="28"/>
      <c r="J1261" s="28"/>
      <c r="K1261" s="28"/>
    </row>
    <row r="1262" spans="2:11" x14ac:dyDescent="0.25">
      <c r="B1262" s="25"/>
      <c r="C1262" s="8"/>
      <c r="D1262" s="7"/>
      <c r="E1262" s="27"/>
      <c r="F1262" s="27"/>
      <c r="G1262" s="7"/>
      <c r="H1262" s="28"/>
      <c r="I1262" s="28"/>
      <c r="J1262" s="28"/>
      <c r="K1262" s="28"/>
    </row>
    <row r="1263" spans="2:11" x14ac:dyDescent="0.25">
      <c r="B1263" s="25"/>
      <c r="C1263" s="8"/>
      <c r="D1263" s="7"/>
      <c r="E1263" s="27"/>
      <c r="F1263" s="27"/>
      <c r="G1263" s="7"/>
      <c r="H1263" s="28"/>
      <c r="I1263" s="28"/>
      <c r="J1263" s="28"/>
      <c r="K1263" s="28"/>
    </row>
    <row r="1264" spans="2:11" x14ac:dyDescent="0.25">
      <c r="B1264" s="25"/>
      <c r="C1264" s="8"/>
      <c r="D1264" s="7"/>
      <c r="E1264" s="27"/>
      <c r="F1264" s="27"/>
      <c r="G1264" s="7"/>
      <c r="H1264" s="28"/>
      <c r="I1264" s="28"/>
      <c r="J1264" s="28"/>
      <c r="K1264" s="28"/>
    </row>
    <row r="1265" spans="2:11" x14ac:dyDescent="0.25">
      <c r="B1265" s="25"/>
      <c r="C1265" s="8"/>
      <c r="D1265" s="7"/>
      <c r="E1265" s="27"/>
      <c r="F1265" s="27"/>
      <c r="G1265" s="7"/>
      <c r="H1265" s="28"/>
      <c r="I1265" s="28"/>
      <c r="J1265" s="28"/>
      <c r="K1265" s="28"/>
    </row>
    <row r="1266" spans="2:11" x14ac:dyDescent="0.25">
      <c r="B1266" s="25"/>
      <c r="C1266" s="8"/>
      <c r="D1266" s="7"/>
      <c r="E1266" s="27"/>
      <c r="F1266" s="27"/>
      <c r="G1266" s="7"/>
      <c r="H1266" s="28"/>
      <c r="I1266" s="28"/>
      <c r="J1266" s="28"/>
      <c r="K1266" s="28"/>
    </row>
    <row r="1267" spans="2:11" x14ac:dyDescent="0.25">
      <c r="B1267" s="25"/>
      <c r="C1267" s="8"/>
      <c r="D1267" s="7"/>
      <c r="E1267" s="27"/>
      <c r="F1267" s="27"/>
      <c r="G1267" s="7"/>
      <c r="H1267" s="28"/>
      <c r="I1267" s="28"/>
      <c r="J1267" s="28"/>
      <c r="K1267" s="28"/>
    </row>
    <row r="1268" spans="2:11" x14ac:dyDescent="0.25">
      <c r="B1268" s="25"/>
      <c r="C1268" s="8"/>
      <c r="D1268" s="7"/>
      <c r="E1268" s="27"/>
      <c r="F1268" s="27"/>
      <c r="G1268" s="7"/>
      <c r="H1268" s="28"/>
      <c r="I1268" s="28"/>
      <c r="J1268" s="28"/>
      <c r="K1268" s="28"/>
    </row>
    <row r="1269" spans="2:11" x14ac:dyDescent="0.25">
      <c r="B1269" s="25"/>
      <c r="C1269" s="8"/>
      <c r="D1269" s="7"/>
      <c r="E1269" s="27"/>
      <c r="F1269" s="27"/>
      <c r="G1269" s="7"/>
      <c r="H1269" s="28"/>
      <c r="I1269" s="28"/>
      <c r="J1269" s="28"/>
      <c r="K1269" s="28"/>
    </row>
    <row r="1270" spans="2:11" x14ac:dyDescent="0.25">
      <c r="B1270" s="25"/>
      <c r="C1270" s="8"/>
      <c r="D1270" s="7"/>
      <c r="E1270" s="27"/>
      <c r="F1270" s="27"/>
      <c r="G1270" s="7"/>
      <c r="H1270" s="28"/>
      <c r="I1270" s="28"/>
      <c r="J1270" s="28"/>
      <c r="K1270" s="28"/>
    </row>
    <row r="1271" spans="2:11" x14ac:dyDescent="0.25">
      <c r="B1271" s="25"/>
      <c r="C1271" s="8"/>
      <c r="D1271" s="7"/>
      <c r="E1271" s="27"/>
      <c r="F1271" s="27"/>
      <c r="G1271" s="7"/>
      <c r="H1271" s="28"/>
      <c r="I1271" s="28"/>
      <c r="J1271" s="28"/>
      <c r="K1271" s="28"/>
    </row>
    <row r="1272" spans="2:11" x14ac:dyDescent="0.25">
      <c r="B1272" s="25"/>
      <c r="C1272" s="8"/>
      <c r="D1272" s="7"/>
      <c r="E1272" s="27"/>
      <c r="F1272" s="27"/>
      <c r="G1272" s="7"/>
      <c r="H1272" s="28"/>
      <c r="I1272" s="28"/>
      <c r="J1272" s="28"/>
      <c r="K1272" s="28"/>
    </row>
    <row r="1273" spans="2:11" x14ac:dyDescent="0.25">
      <c r="B1273" s="25"/>
      <c r="C1273" s="8"/>
      <c r="D1273" s="7"/>
      <c r="E1273" s="27"/>
      <c r="F1273" s="27"/>
      <c r="G1273" s="7"/>
      <c r="H1273" s="28"/>
      <c r="I1273" s="28"/>
      <c r="J1273" s="28"/>
      <c r="K1273" s="28"/>
    </row>
    <row r="1274" spans="2:11" x14ac:dyDescent="0.25">
      <c r="B1274" s="25"/>
      <c r="C1274" s="8"/>
      <c r="D1274" s="7"/>
      <c r="E1274" s="27"/>
      <c r="F1274" s="27"/>
      <c r="G1274" s="7"/>
      <c r="H1274" s="28"/>
      <c r="I1274" s="28"/>
      <c r="J1274" s="28"/>
      <c r="K1274" s="28"/>
    </row>
    <row r="1275" spans="2:11" x14ac:dyDescent="0.25">
      <c r="B1275" s="25"/>
      <c r="C1275" s="8"/>
      <c r="D1275" s="7"/>
      <c r="E1275" s="27"/>
      <c r="F1275" s="27"/>
      <c r="G1275" s="7"/>
      <c r="H1275" s="28"/>
      <c r="I1275" s="28"/>
      <c r="J1275" s="28"/>
      <c r="K1275" s="28"/>
    </row>
    <row r="1276" spans="2:11" x14ac:dyDescent="0.25">
      <c r="B1276" s="25"/>
      <c r="C1276" s="8"/>
      <c r="D1276" s="7"/>
      <c r="E1276" s="27"/>
      <c r="F1276" s="27"/>
      <c r="G1276" s="7"/>
      <c r="H1276" s="28"/>
      <c r="I1276" s="28"/>
      <c r="J1276" s="28"/>
      <c r="K1276" s="28"/>
    </row>
    <row r="1277" spans="2:11" x14ac:dyDescent="0.25">
      <c r="B1277" s="25"/>
      <c r="C1277" s="8"/>
      <c r="D1277" s="7"/>
      <c r="E1277" s="27"/>
      <c r="F1277" s="27"/>
      <c r="G1277" s="7"/>
      <c r="H1277" s="28"/>
      <c r="I1277" s="28"/>
      <c r="J1277" s="28"/>
      <c r="K1277" s="28"/>
    </row>
    <row r="1278" spans="2:11" x14ac:dyDescent="0.25">
      <c r="B1278" s="25"/>
      <c r="C1278" s="8"/>
      <c r="D1278" s="7"/>
      <c r="E1278" s="27"/>
      <c r="F1278" s="27"/>
      <c r="G1278" s="7"/>
      <c r="H1278" s="28"/>
      <c r="I1278" s="28"/>
      <c r="J1278" s="28"/>
      <c r="K1278" s="28"/>
    </row>
    <row r="1279" spans="2:11" x14ac:dyDescent="0.25">
      <c r="B1279" s="25"/>
      <c r="C1279" s="8"/>
      <c r="D1279" s="7"/>
      <c r="E1279" s="27"/>
      <c r="F1279" s="27"/>
      <c r="G1279" s="7"/>
      <c r="H1279" s="28"/>
      <c r="I1279" s="28"/>
      <c r="J1279" s="28"/>
      <c r="K1279" s="28"/>
    </row>
    <row r="1280" spans="2:11" x14ac:dyDescent="0.25">
      <c r="B1280" s="25"/>
      <c r="C1280" s="8"/>
      <c r="D1280" s="7"/>
      <c r="E1280" s="27"/>
      <c r="F1280" s="27"/>
      <c r="G1280" s="7"/>
      <c r="H1280" s="28"/>
      <c r="I1280" s="28"/>
      <c r="J1280" s="28"/>
      <c r="K1280" s="28"/>
    </row>
    <row r="1281" spans="2:11" x14ac:dyDescent="0.25">
      <c r="B1281" s="25"/>
      <c r="C1281" s="8"/>
      <c r="D1281" s="7"/>
      <c r="E1281" s="27"/>
      <c r="F1281" s="27"/>
      <c r="G1281" s="7"/>
      <c r="H1281" s="28"/>
      <c r="I1281" s="28"/>
      <c r="J1281" s="28"/>
      <c r="K1281" s="28"/>
    </row>
    <row r="1282" spans="2:11" x14ac:dyDescent="0.25">
      <c r="B1282" s="25"/>
      <c r="C1282" s="8"/>
      <c r="D1282" s="7"/>
      <c r="E1282" s="27"/>
      <c r="F1282" s="27"/>
      <c r="G1282" s="7"/>
      <c r="H1282" s="28"/>
      <c r="I1282" s="28"/>
      <c r="J1282" s="28"/>
      <c r="K1282" s="28"/>
    </row>
    <row r="1283" spans="2:11" x14ac:dyDescent="0.25">
      <c r="B1283" s="25"/>
      <c r="C1283" s="8"/>
      <c r="D1283" s="7"/>
      <c r="E1283" s="27"/>
      <c r="F1283" s="27"/>
      <c r="G1283" s="7"/>
      <c r="H1283" s="28"/>
      <c r="I1283" s="28"/>
      <c r="J1283" s="28"/>
      <c r="K1283" s="28"/>
    </row>
    <row r="1284" spans="2:11" x14ac:dyDescent="0.25">
      <c r="B1284" s="25"/>
      <c r="C1284" s="8"/>
      <c r="D1284" s="7"/>
      <c r="E1284" s="27"/>
      <c r="F1284" s="27"/>
      <c r="G1284" s="7"/>
      <c r="H1284" s="28"/>
      <c r="I1284" s="28"/>
      <c r="J1284" s="28"/>
      <c r="K1284" s="28"/>
    </row>
    <row r="1285" spans="2:11" x14ac:dyDescent="0.25">
      <c r="B1285" s="25"/>
      <c r="C1285" s="8"/>
      <c r="D1285" s="7"/>
      <c r="E1285" s="27"/>
      <c r="F1285" s="27"/>
      <c r="G1285" s="7"/>
      <c r="H1285" s="28"/>
      <c r="I1285" s="28"/>
      <c r="J1285" s="28"/>
      <c r="K1285" s="28"/>
    </row>
    <row r="1286" spans="2:11" x14ac:dyDescent="0.25">
      <c r="B1286" s="25"/>
      <c r="C1286" s="8"/>
      <c r="D1286" s="7"/>
      <c r="E1286" s="27"/>
      <c r="F1286" s="27"/>
      <c r="G1286" s="7"/>
      <c r="H1286" s="28"/>
      <c r="I1286" s="28"/>
      <c r="J1286" s="28"/>
      <c r="K1286" s="28"/>
    </row>
    <row r="1287" spans="2:11" x14ac:dyDescent="0.25">
      <c r="B1287" s="25"/>
      <c r="C1287" s="8"/>
      <c r="D1287" s="7"/>
      <c r="E1287" s="27"/>
      <c r="F1287" s="27"/>
      <c r="G1287" s="7"/>
      <c r="H1287" s="28"/>
      <c r="I1287" s="28"/>
      <c r="J1287" s="28"/>
      <c r="K1287" s="28"/>
    </row>
    <row r="1288" spans="2:11" x14ac:dyDescent="0.25">
      <c r="B1288" s="25"/>
      <c r="C1288" s="8"/>
      <c r="D1288" s="7"/>
      <c r="E1288" s="27"/>
      <c r="F1288" s="27"/>
      <c r="G1288" s="7"/>
      <c r="H1288" s="28"/>
      <c r="I1288" s="28"/>
      <c r="J1288" s="28"/>
      <c r="K1288" s="28"/>
    </row>
    <row r="1289" spans="2:11" x14ac:dyDescent="0.25">
      <c r="B1289" s="25"/>
      <c r="C1289" s="8"/>
      <c r="D1289" s="7"/>
      <c r="E1289" s="27"/>
      <c r="F1289" s="27"/>
      <c r="G1289" s="7"/>
      <c r="H1289" s="28"/>
      <c r="I1289" s="28"/>
      <c r="J1289" s="28"/>
      <c r="K1289" s="28"/>
    </row>
    <row r="1290" spans="2:11" x14ac:dyDescent="0.25">
      <c r="B1290" s="25"/>
      <c r="C1290" s="8"/>
      <c r="D1290" s="7"/>
      <c r="E1290" s="27"/>
      <c r="F1290" s="27"/>
      <c r="G1290" s="7"/>
      <c r="H1290" s="28"/>
      <c r="I1290" s="28"/>
      <c r="J1290" s="28"/>
      <c r="K1290" s="28"/>
    </row>
    <row r="1291" spans="2:11" x14ac:dyDescent="0.25">
      <c r="B1291" s="25"/>
      <c r="C1291" s="8"/>
      <c r="D1291" s="7"/>
      <c r="E1291" s="27"/>
      <c r="F1291" s="27"/>
      <c r="G1291" s="7"/>
      <c r="H1291" s="28"/>
      <c r="I1291" s="28"/>
      <c r="J1291" s="28"/>
      <c r="K1291" s="28"/>
    </row>
    <row r="1292" spans="2:11" x14ac:dyDescent="0.25">
      <c r="B1292" s="25"/>
      <c r="C1292" s="8"/>
      <c r="D1292" s="7"/>
      <c r="E1292" s="27"/>
      <c r="F1292" s="27"/>
      <c r="G1292" s="7"/>
      <c r="H1292" s="28"/>
      <c r="I1292" s="28"/>
      <c r="J1292" s="28"/>
      <c r="K1292" s="28"/>
    </row>
    <row r="1293" spans="2:11" x14ac:dyDescent="0.25">
      <c r="B1293" s="25"/>
      <c r="C1293" s="8"/>
      <c r="D1293" s="7"/>
      <c r="E1293" s="27"/>
      <c r="F1293" s="27"/>
      <c r="G1293" s="7"/>
      <c r="H1293" s="28"/>
      <c r="I1293" s="28"/>
      <c r="J1293" s="28"/>
      <c r="K1293" s="28"/>
    </row>
    <row r="1294" spans="2:11" x14ac:dyDescent="0.25">
      <c r="B1294" s="25"/>
      <c r="C1294" s="8"/>
      <c r="D1294" s="7"/>
      <c r="E1294" s="27"/>
      <c r="F1294" s="27"/>
      <c r="G1294" s="7"/>
      <c r="H1294" s="28"/>
      <c r="I1294" s="28"/>
      <c r="J1294" s="28"/>
      <c r="K1294" s="28"/>
    </row>
    <row r="1295" spans="2:11" x14ac:dyDescent="0.25">
      <c r="B1295" s="25"/>
      <c r="C1295" s="8"/>
      <c r="D1295" s="7"/>
      <c r="E1295" s="27"/>
      <c r="F1295" s="27"/>
      <c r="G1295" s="7"/>
      <c r="H1295" s="28"/>
      <c r="I1295" s="28"/>
      <c r="J1295" s="28"/>
      <c r="K1295" s="28"/>
    </row>
    <row r="1296" spans="2:11" x14ac:dyDescent="0.25">
      <c r="B1296" s="25"/>
      <c r="C1296" s="8"/>
      <c r="D1296" s="7"/>
      <c r="E1296" s="27"/>
      <c r="F1296" s="27"/>
      <c r="G1296" s="7"/>
      <c r="H1296" s="28"/>
      <c r="I1296" s="28"/>
      <c r="J1296" s="28"/>
      <c r="K1296" s="28"/>
    </row>
    <row r="1297" spans="2:11" x14ac:dyDescent="0.25">
      <c r="B1297" s="25"/>
      <c r="C1297" s="8"/>
      <c r="D1297" s="7"/>
      <c r="E1297" s="27"/>
      <c r="F1297" s="27"/>
      <c r="G1297" s="7"/>
      <c r="H1297" s="28"/>
      <c r="I1297" s="28"/>
      <c r="J1297" s="28"/>
      <c r="K1297" s="28"/>
    </row>
    <row r="1298" spans="2:11" x14ac:dyDescent="0.25">
      <c r="B1298" s="25"/>
      <c r="C1298" s="8"/>
      <c r="D1298" s="7"/>
      <c r="E1298" s="27"/>
      <c r="F1298" s="27"/>
      <c r="G1298" s="7"/>
      <c r="H1298" s="28"/>
      <c r="I1298" s="28"/>
      <c r="J1298" s="28"/>
      <c r="K1298" s="28"/>
    </row>
    <row r="1299" spans="2:11" x14ac:dyDescent="0.25">
      <c r="B1299" s="25"/>
      <c r="C1299" s="8"/>
      <c r="D1299" s="7"/>
      <c r="E1299" s="27"/>
      <c r="F1299" s="27"/>
      <c r="G1299" s="7"/>
      <c r="H1299" s="28"/>
      <c r="I1299" s="28"/>
      <c r="J1299" s="28"/>
      <c r="K1299" s="28"/>
    </row>
    <row r="1300" spans="2:11" x14ac:dyDescent="0.25">
      <c r="B1300" s="25"/>
      <c r="C1300" s="8"/>
      <c r="D1300" s="7"/>
      <c r="E1300" s="27"/>
      <c r="F1300" s="27"/>
      <c r="G1300" s="7"/>
      <c r="H1300" s="28"/>
      <c r="I1300" s="28"/>
      <c r="J1300" s="28"/>
      <c r="K1300" s="28"/>
    </row>
    <row r="1301" spans="2:11" x14ac:dyDescent="0.25">
      <c r="B1301" s="25"/>
      <c r="C1301" s="8"/>
      <c r="D1301" s="7"/>
      <c r="E1301" s="27"/>
      <c r="F1301" s="27"/>
      <c r="G1301" s="7"/>
      <c r="H1301" s="28"/>
      <c r="I1301" s="28"/>
      <c r="J1301" s="28"/>
      <c r="K1301" s="28"/>
    </row>
    <row r="1302" spans="2:11" x14ac:dyDescent="0.25">
      <c r="B1302" s="25"/>
      <c r="C1302" s="8"/>
      <c r="D1302" s="7"/>
      <c r="E1302" s="27"/>
      <c r="F1302" s="27"/>
      <c r="G1302" s="7"/>
      <c r="H1302" s="28"/>
      <c r="I1302" s="28"/>
      <c r="J1302" s="28"/>
      <c r="K1302" s="28"/>
    </row>
    <row r="1303" spans="2:11" x14ac:dyDescent="0.25">
      <c r="B1303" s="25"/>
      <c r="C1303" s="8"/>
      <c r="D1303" s="7"/>
      <c r="E1303" s="27"/>
      <c r="F1303" s="27"/>
      <c r="G1303" s="7"/>
      <c r="H1303" s="28"/>
      <c r="I1303" s="28"/>
      <c r="J1303" s="28"/>
      <c r="K1303" s="28"/>
    </row>
    <row r="1304" spans="2:11" x14ac:dyDescent="0.25">
      <c r="B1304" s="25"/>
      <c r="C1304" s="8"/>
      <c r="D1304" s="7"/>
      <c r="E1304" s="27"/>
      <c r="F1304" s="27"/>
      <c r="G1304" s="7"/>
      <c r="H1304" s="28"/>
      <c r="I1304" s="28"/>
      <c r="J1304" s="28"/>
      <c r="K1304" s="28"/>
    </row>
    <row r="1305" spans="2:11" x14ac:dyDescent="0.25">
      <c r="B1305" s="25"/>
      <c r="C1305" s="8"/>
      <c r="D1305" s="7"/>
      <c r="E1305" s="27"/>
      <c r="F1305" s="27"/>
      <c r="G1305" s="7"/>
      <c r="H1305" s="28"/>
      <c r="I1305" s="28"/>
      <c r="J1305" s="28"/>
      <c r="K1305" s="28"/>
    </row>
    <row r="1306" spans="2:11" x14ac:dyDescent="0.25">
      <c r="B1306" s="25"/>
      <c r="C1306" s="8"/>
      <c r="D1306" s="7"/>
      <c r="E1306" s="27"/>
      <c r="F1306" s="27"/>
      <c r="G1306" s="7"/>
      <c r="H1306" s="28"/>
      <c r="I1306" s="28"/>
      <c r="J1306" s="28"/>
      <c r="K1306" s="28"/>
    </row>
    <row r="1307" spans="2:11" x14ac:dyDescent="0.25">
      <c r="B1307" s="25"/>
      <c r="C1307" s="8"/>
      <c r="D1307" s="7"/>
      <c r="E1307" s="27"/>
      <c r="F1307" s="27"/>
      <c r="G1307" s="7"/>
      <c r="H1307" s="28"/>
      <c r="I1307" s="28"/>
      <c r="J1307" s="28"/>
      <c r="K1307" s="28"/>
    </row>
    <row r="1308" spans="2:11" x14ac:dyDescent="0.25">
      <c r="B1308" s="25"/>
      <c r="C1308" s="8"/>
      <c r="D1308" s="7"/>
      <c r="E1308" s="27"/>
      <c r="F1308" s="27"/>
      <c r="G1308" s="7"/>
      <c r="H1308" s="28"/>
      <c r="I1308" s="28"/>
      <c r="J1308" s="28"/>
      <c r="K1308" s="28"/>
    </row>
    <row r="1309" spans="2:11" x14ac:dyDescent="0.25">
      <c r="B1309" s="25"/>
      <c r="C1309" s="8"/>
      <c r="D1309" s="7"/>
      <c r="E1309" s="27"/>
      <c r="F1309" s="27"/>
      <c r="G1309" s="7"/>
      <c r="H1309" s="28"/>
      <c r="I1309" s="28"/>
      <c r="J1309" s="28"/>
      <c r="K1309" s="28"/>
    </row>
    <row r="1310" spans="2:11" x14ac:dyDescent="0.25">
      <c r="B1310" s="25"/>
      <c r="C1310" s="8"/>
      <c r="D1310" s="7"/>
      <c r="E1310" s="27"/>
      <c r="F1310" s="27"/>
      <c r="G1310" s="7"/>
      <c r="H1310" s="28"/>
      <c r="I1310" s="28"/>
      <c r="J1310" s="28"/>
      <c r="K1310" s="28"/>
    </row>
    <row r="1311" spans="2:11" x14ac:dyDescent="0.25">
      <c r="B1311" s="25"/>
      <c r="C1311" s="8"/>
      <c r="D1311" s="7"/>
      <c r="E1311" s="27"/>
      <c r="F1311" s="27"/>
      <c r="G1311" s="7"/>
      <c r="H1311" s="28"/>
      <c r="I1311" s="28"/>
      <c r="J1311" s="28"/>
      <c r="K1311" s="28"/>
    </row>
    <row r="1312" spans="2:11" x14ac:dyDescent="0.25">
      <c r="B1312" s="25"/>
      <c r="C1312" s="8"/>
      <c r="D1312" s="7"/>
      <c r="E1312" s="27"/>
      <c r="F1312" s="27"/>
      <c r="G1312" s="7"/>
      <c r="H1312" s="28"/>
      <c r="I1312" s="28"/>
      <c r="J1312" s="28"/>
      <c r="K1312" s="28"/>
    </row>
    <row r="1313" spans="2:11" x14ac:dyDescent="0.25">
      <c r="B1313" s="25"/>
      <c r="C1313" s="8"/>
      <c r="D1313" s="7"/>
      <c r="E1313" s="27"/>
      <c r="F1313" s="27"/>
      <c r="G1313" s="7"/>
      <c r="H1313" s="28"/>
      <c r="I1313" s="28"/>
      <c r="J1313" s="28"/>
      <c r="K1313" s="28"/>
    </row>
    <row r="1314" spans="2:11" x14ac:dyDescent="0.25">
      <c r="B1314" s="25"/>
      <c r="C1314" s="8"/>
      <c r="D1314" s="7"/>
      <c r="E1314" s="27"/>
      <c r="F1314" s="27"/>
      <c r="G1314" s="7"/>
      <c r="H1314" s="28"/>
      <c r="I1314" s="28"/>
      <c r="J1314" s="28"/>
      <c r="K1314" s="28"/>
    </row>
    <row r="1315" spans="2:11" x14ac:dyDescent="0.25">
      <c r="B1315" s="25"/>
      <c r="C1315" s="8"/>
      <c r="D1315" s="7"/>
      <c r="E1315" s="27"/>
      <c r="F1315" s="27"/>
      <c r="G1315" s="7"/>
      <c r="H1315" s="28"/>
      <c r="I1315" s="28"/>
      <c r="J1315" s="28"/>
      <c r="K1315" s="28"/>
    </row>
    <row r="1316" spans="2:11" x14ac:dyDescent="0.25">
      <c r="B1316" s="25"/>
      <c r="C1316" s="8"/>
      <c r="D1316" s="7"/>
      <c r="E1316" s="27"/>
      <c r="F1316" s="27"/>
      <c r="G1316" s="7"/>
      <c r="H1316" s="28"/>
      <c r="I1316" s="28"/>
      <c r="J1316" s="28"/>
      <c r="K1316" s="28"/>
    </row>
    <row r="1317" spans="2:11" x14ac:dyDescent="0.25">
      <c r="B1317" s="25"/>
      <c r="C1317" s="8"/>
      <c r="D1317" s="7"/>
      <c r="E1317" s="27"/>
      <c r="F1317" s="27"/>
      <c r="G1317" s="7"/>
      <c r="H1317" s="28"/>
      <c r="I1317" s="28"/>
      <c r="J1317" s="28"/>
      <c r="K1317" s="28"/>
    </row>
    <row r="1318" spans="2:11" x14ac:dyDescent="0.25">
      <c r="B1318" s="25"/>
      <c r="C1318" s="8"/>
      <c r="D1318" s="7"/>
      <c r="E1318" s="27"/>
      <c r="F1318" s="27"/>
      <c r="G1318" s="7"/>
      <c r="H1318" s="28"/>
      <c r="I1318" s="28"/>
      <c r="J1318" s="28"/>
      <c r="K1318" s="28"/>
    </row>
    <row r="1319" spans="2:11" x14ac:dyDescent="0.25">
      <c r="B1319" s="25"/>
      <c r="C1319" s="8"/>
      <c r="D1319" s="7"/>
      <c r="E1319" s="27"/>
      <c r="F1319" s="27"/>
      <c r="G1319" s="7"/>
      <c r="H1319" s="28"/>
      <c r="I1319" s="28"/>
      <c r="J1319" s="28"/>
      <c r="K1319" s="28"/>
    </row>
    <row r="1320" spans="2:11" x14ac:dyDescent="0.25">
      <c r="B1320" s="25"/>
      <c r="C1320" s="8"/>
      <c r="D1320" s="7"/>
      <c r="E1320" s="27"/>
      <c r="F1320" s="27"/>
      <c r="G1320" s="7"/>
      <c r="H1320" s="28"/>
      <c r="I1320" s="28"/>
      <c r="J1320" s="28"/>
      <c r="K1320" s="28"/>
    </row>
    <row r="1321" spans="2:11" x14ac:dyDescent="0.25">
      <c r="B1321" s="25"/>
      <c r="C1321" s="8"/>
      <c r="D1321" s="7"/>
      <c r="E1321" s="27"/>
      <c r="F1321" s="27"/>
      <c r="G1321" s="7"/>
      <c r="H1321" s="28"/>
      <c r="I1321" s="28"/>
      <c r="J1321" s="28"/>
      <c r="K1321" s="28"/>
    </row>
    <row r="1322" spans="2:11" x14ac:dyDescent="0.25">
      <c r="B1322" s="25"/>
      <c r="C1322" s="8"/>
      <c r="D1322" s="7"/>
      <c r="E1322" s="27"/>
      <c r="F1322" s="27"/>
      <c r="G1322" s="7"/>
      <c r="H1322" s="28"/>
      <c r="I1322" s="28"/>
      <c r="J1322" s="28"/>
      <c r="K1322" s="28"/>
    </row>
    <row r="1323" spans="2:11" x14ac:dyDescent="0.25">
      <c r="B1323" s="25"/>
      <c r="C1323" s="8"/>
      <c r="D1323" s="7"/>
      <c r="E1323" s="27"/>
      <c r="F1323" s="27"/>
      <c r="G1323" s="7"/>
      <c r="H1323" s="28"/>
      <c r="I1323" s="28"/>
      <c r="J1323" s="28"/>
      <c r="K1323" s="28"/>
    </row>
    <row r="1324" spans="2:11" x14ac:dyDescent="0.25">
      <c r="B1324" s="25"/>
      <c r="C1324" s="8"/>
      <c r="D1324" s="7"/>
      <c r="E1324" s="27"/>
      <c r="F1324" s="27"/>
      <c r="G1324" s="7"/>
      <c r="H1324" s="28"/>
      <c r="I1324" s="28"/>
      <c r="J1324" s="28"/>
      <c r="K1324" s="28"/>
    </row>
    <row r="1325" spans="2:11" x14ac:dyDescent="0.25">
      <c r="B1325" s="25"/>
      <c r="C1325" s="8"/>
      <c r="D1325" s="7"/>
      <c r="E1325" s="27"/>
      <c r="F1325" s="27"/>
      <c r="G1325" s="7"/>
      <c r="H1325" s="28"/>
      <c r="I1325" s="28"/>
      <c r="J1325" s="28"/>
      <c r="K1325" s="28"/>
    </row>
    <row r="1326" spans="2:11" x14ac:dyDescent="0.25">
      <c r="B1326" s="25"/>
      <c r="C1326" s="8"/>
      <c r="D1326" s="7"/>
      <c r="E1326" s="27"/>
      <c r="F1326" s="27"/>
      <c r="G1326" s="7"/>
      <c r="H1326" s="28"/>
      <c r="I1326" s="28"/>
      <c r="J1326" s="28"/>
      <c r="K1326" s="28"/>
    </row>
    <row r="1327" spans="2:11" x14ac:dyDescent="0.25">
      <c r="B1327" s="25"/>
      <c r="C1327" s="8"/>
      <c r="D1327" s="7"/>
      <c r="E1327" s="27"/>
      <c r="F1327" s="27"/>
      <c r="G1327" s="7"/>
      <c r="H1327" s="28"/>
      <c r="I1327" s="28"/>
      <c r="J1327" s="28"/>
      <c r="K1327" s="28"/>
    </row>
    <row r="1328" spans="2:11" x14ac:dyDescent="0.25">
      <c r="B1328" s="25"/>
      <c r="C1328" s="8"/>
      <c r="D1328" s="7"/>
      <c r="E1328" s="27"/>
      <c r="F1328" s="27"/>
      <c r="G1328" s="7"/>
      <c r="H1328" s="28"/>
      <c r="I1328" s="28"/>
      <c r="J1328" s="28"/>
      <c r="K1328" s="28"/>
    </row>
    <row r="1329" spans="2:11" x14ac:dyDescent="0.25">
      <c r="B1329" s="25"/>
      <c r="C1329" s="8"/>
      <c r="D1329" s="7"/>
      <c r="E1329" s="27"/>
      <c r="F1329" s="27"/>
      <c r="G1329" s="7"/>
      <c r="H1329" s="28"/>
      <c r="I1329" s="28"/>
      <c r="J1329" s="28"/>
      <c r="K1329" s="28"/>
    </row>
    <row r="1330" spans="2:11" x14ac:dyDescent="0.25">
      <c r="B1330" s="25"/>
      <c r="C1330" s="8"/>
      <c r="D1330" s="7"/>
      <c r="E1330" s="27"/>
      <c r="F1330" s="27"/>
      <c r="G1330" s="7"/>
      <c r="H1330" s="28"/>
      <c r="I1330" s="28"/>
      <c r="J1330" s="28"/>
      <c r="K1330" s="28"/>
    </row>
    <row r="1331" spans="2:11" x14ac:dyDescent="0.25">
      <c r="B1331" s="25"/>
      <c r="C1331" s="8"/>
      <c r="D1331" s="7"/>
      <c r="E1331" s="27"/>
      <c r="F1331" s="27"/>
      <c r="G1331" s="7"/>
      <c r="H1331" s="28"/>
      <c r="I1331" s="28"/>
      <c r="J1331" s="28"/>
      <c r="K1331" s="28"/>
    </row>
    <row r="1332" spans="2:11" x14ac:dyDescent="0.25">
      <c r="B1332" s="25"/>
      <c r="C1332" s="8"/>
      <c r="D1332" s="7"/>
      <c r="E1332" s="27"/>
      <c r="F1332" s="27"/>
      <c r="G1332" s="7"/>
      <c r="H1332" s="28"/>
      <c r="I1332" s="28"/>
      <c r="J1332" s="28"/>
      <c r="K1332" s="28"/>
    </row>
    <row r="1333" spans="2:11" x14ac:dyDescent="0.25">
      <c r="B1333" s="25"/>
      <c r="C1333" s="8"/>
      <c r="D1333" s="7"/>
      <c r="E1333" s="27"/>
      <c r="F1333" s="27"/>
      <c r="G1333" s="7"/>
      <c r="H1333" s="28"/>
      <c r="I1333" s="28"/>
      <c r="J1333" s="28"/>
      <c r="K1333" s="28"/>
    </row>
    <row r="1334" spans="2:11" x14ac:dyDescent="0.25">
      <c r="B1334" s="25"/>
      <c r="C1334" s="8"/>
      <c r="D1334" s="7"/>
      <c r="E1334" s="27"/>
      <c r="F1334" s="27"/>
      <c r="G1334" s="7"/>
      <c r="H1334" s="28"/>
      <c r="I1334" s="28"/>
      <c r="J1334" s="28"/>
      <c r="K1334" s="28"/>
    </row>
    <row r="1335" spans="2:11" x14ac:dyDescent="0.25">
      <c r="B1335" s="25"/>
      <c r="C1335" s="8"/>
      <c r="D1335" s="7"/>
      <c r="E1335" s="27"/>
      <c r="F1335" s="27"/>
      <c r="G1335" s="7"/>
      <c r="H1335" s="28"/>
      <c r="I1335" s="28"/>
      <c r="J1335" s="28"/>
      <c r="K1335" s="28"/>
    </row>
    <row r="1336" spans="2:11" x14ac:dyDescent="0.25">
      <c r="B1336" s="25"/>
      <c r="C1336" s="8"/>
      <c r="D1336" s="7"/>
      <c r="E1336" s="27"/>
      <c r="F1336" s="27"/>
      <c r="G1336" s="7"/>
      <c r="H1336" s="28"/>
      <c r="I1336" s="28"/>
      <c r="J1336" s="28"/>
      <c r="K1336" s="28"/>
    </row>
    <row r="1337" spans="2:11" x14ac:dyDescent="0.25">
      <c r="B1337" s="25"/>
      <c r="C1337" s="8"/>
      <c r="D1337" s="7"/>
      <c r="E1337" s="27"/>
      <c r="F1337" s="27"/>
      <c r="G1337" s="7"/>
      <c r="H1337" s="28"/>
      <c r="I1337" s="28"/>
      <c r="J1337" s="28"/>
      <c r="K1337" s="28"/>
    </row>
    <row r="1338" spans="2:11" x14ac:dyDescent="0.25">
      <c r="B1338" s="25"/>
      <c r="C1338" s="8"/>
      <c r="D1338" s="7"/>
      <c r="E1338" s="27"/>
      <c r="F1338" s="27"/>
      <c r="G1338" s="7"/>
      <c r="H1338" s="28"/>
      <c r="I1338" s="28"/>
      <c r="J1338" s="28"/>
      <c r="K1338" s="28"/>
    </row>
    <row r="1339" spans="2:11" x14ac:dyDescent="0.25">
      <c r="B1339" s="25"/>
      <c r="C1339" s="8"/>
      <c r="D1339" s="7"/>
      <c r="E1339" s="27"/>
      <c r="F1339" s="27"/>
      <c r="G1339" s="7"/>
      <c r="H1339" s="28"/>
      <c r="I1339" s="28"/>
      <c r="J1339" s="28"/>
      <c r="K1339" s="28"/>
    </row>
    <row r="1340" spans="2:11" x14ac:dyDescent="0.25">
      <c r="B1340" s="25"/>
      <c r="C1340" s="8"/>
      <c r="D1340" s="7"/>
      <c r="E1340" s="27"/>
      <c r="F1340" s="27"/>
      <c r="G1340" s="7"/>
      <c r="H1340" s="28"/>
      <c r="I1340" s="28"/>
      <c r="J1340" s="28"/>
      <c r="K1340" s="28"/>
    </row>
    <row r="1341" spans="2:11" x14ac:dyDescent="0.25">
      <c r="B1341" s="25"/>
      <c r="C1341" s="8"/>
      <c r="D1341" s="7"/>
      <c r="E1341" s="27"/>
      <c r="F1341" s="27"/>
      <c r="G1341" s="7"/>
      <c r="H1341" s="28"/>
      <c r="I1341" s="28"/>
      <c r="J1341" s="28"/>
      <c r="K1341" s="28"/>
    </row>
    <row r="1342" spans="2:11" x14ac:dyDescent="0.25">
      <c r="B1342" s="25"/>
      <c r="C1342" s="8"/>
      <c r="D1342" s="7"/>
      <c r="E1342" s="27"/>
      <c r="F1342" s="27"/>
      <c r="G1342" s="7"/>
      <c r="H1342" s="28"/>
      <c r="I1342" s="28"/>
      <c r="J1342" s="28"/>
      <c r="K1342" s="28"/>
    </row>
    <row r="1343" spans="2:11" x14ac:dyDescent="0.25">
      <c r="B1343" s="25"/>
      <c r="C1343" s="8"/>
      <c r="D1343" s="7"/>
      <c r="E1343" s="27"/>
      <c r="F1343" s="27"/>
      <c r="G1343" s="7"/>
      <c r="H1343" s="28"/>
      <c r="I1343" s="28"/>
      <c r="J1343" s="28"/>
      <c r="K1343" s="28"/>
    </row>
    <row r="1344" spans="2:11" x14ac:dyDescent="0.25">
      <c r="B1344" s="25"/>
      <c r="C1344" s="8"/>
      <c r="D1344" s="7"/>
      <c r="E1344" s="27"/>
      <c r="F1344" s="27"/>
      <c r="G1344" s="7"/>
      <c r="H1344" s="28"/>
      <c r="I1344" s="28"/>
      <c r="J1344" s="28"/>
      <c r="K1344" s="28"/>
    </row>
    <row r="1345" spans="2:11" x14ac:dyDescent="0.25">
      <c r="B1345" s="25"/>
      <c r="C1345" s="8"/>
      <c r="D1345" s="7"/>
      <c r="E1345" s="27"/>
      <c r="F1345" s="27"/>
      <c r="G1345" s="7"/>
      <c r="H1345" s="28"/>
      <c r="I1345" s="28"/>
      <c r="J1345" s="28"/>
      <c r="K1345" s="28"/>
    </row>
    <row r="1346" spans="2:11" x14ac:dyDescent="0.25">
      <c r="B1346" s="25"/>
      <c r="C1346" s="8"/>
      <c r="D1346" s="7"/>
      <c r="E1346" s="27"/>
      <c r="F1346" s="27"/>
      <c r="G1346" s="7"/>
      <c r="H1346" s="28"/>
      <c r="I1346" s="28"/>
      <c r="J1346" s="28"/>
      <c r="K1346" s="28"/>
    </row>
    <row r="1347" spans="2:11" x14ac:dyDescent="0.25">
      <c r="B1347" s="25"/>
      <c r="C1347" s="8"/>
      <c r="D1347" s="7"/>
      <c r="E1347" s="27"/>
      <c r="F1347" s="27"/>
      <c r="G1347" s="7"/>
      <c r="H1347" s="28"/>
      <c r="I1347" s="28"/>
      <c r="J1347" s="28"/>
      <c r="K1347" s="28"/>
    </row>
    <row r="1348" spans="2:11" x14ac:dyDescent="0.25">
      <c r="B1348" s="25"/>
      <c r="C1348" s="8"/>
      <c r="D1348" s="7"/>
      <c r="E1348" s="27"/>
      <c r="F1348" s="27"/>
      <c r="G1348" s="7"/>
      <c r="H1348" s="28"/>
      <c r="I1348" s="28"/>
      <c r="J1348" s="28"/>
      <c r="K1348" s="28"/>
    </row>
    <row r="1349" spans="2:11" x14ac:dyDescent="0.25">
      <c r="B1349" s="25"/>
      <c r="C1349" s="8"/>
      <c r="D1349" s="7"/>
      <c r="E1349" s="27"/>
      <c r="F1349" s="27"/>
      <c r="G1349" s="7"/>
      <c r="H1349" s="28"/>
      <c r="I1349" s="28"/>
      <c r="J1349" s="28"/>
      <c r="K1349" s="28"/>
    </row>
    <row r="1350" spans="2:11" x14ac:dyDescent="0.25">
      <c r="B1350" s="25"/>
      <c r="C1350" s="8"/>
      <c r="D1350" s="7"/>
      <c r="E1350" s="27"/>
      <c r="F1350" s="27"/>
      <c r="G1350" s="7"/>
      <c r="H1350" s="28"/>
      <c r="I1350" s="28"/>
      <c r="J1350" s="28"/>
      <c r="K1350" s="28"/>
    </row>
    <row r="1351" spans="2:11" x14ac:dyDescent="0.25">
      <c r="B1351" s="25"/>
      <c r="C1351" s="8"/>
      <c r="D1351" s="7"/>
      <c r="E1351" s="27"/>
      <c r="F1351" s="27"/>
      <c r="G1351" s="7"/>
      <c r="H1351" s="28"/>
      <c r="I1351" s="28"/>
      <c r="J1351" s="28"/>
      <c r="K1351" s="28"/>
    </row>
    <row r="1352" spans="2:11" x14ac:dyDescent="0.25">
      <c r="B1352" s="25"/>
      <c r="C1352" s="8"/>
      <c r="D1352" s="7"/>
      <c r="E1352" s="27"/>
      <c r="F1352" s="27"/>
      <c r="G1352" s="7"/>
      <c r="H1352" s="28"/>
      <c r="I1352" s="28"/>
      <c r="J1352" s="28"/>
      <c r="K1352" s="28"/>
    </row>
    <row r="1353" spans="2:11" x14ac:dyDescent="0.25">
      <c r="B1353" s="25"/>
      <c r="C1353" s="8"/>
      <c r="D1353" s="7"/>
      <c r="E1353" s="27"/>
      <c r="F1353" s="27"/>
      <c r="G1353" s="7"/>
      <c r="H1353" s="28"/>
      <c r="I1353" s="28"/>
      <c r="J1353" s="28"/>
      <c r="K1353" s="28"/>
    </row>
    <row r="1354" spans="2:11" x14ac:dyDescent="0.25">
      <c r="B1354" s="25"/>
      <c r="C1354" s="8"/>
      <c r="D1354" s="7"/>
      <c r="E1354" s="27"/>
      <c r="F1354" s="27"/>
      <c r="G1354" s="7"/>
      <c r="H1354" s="28"/>
      <c r="I1354" s="28"/>
      <c r="J1354" s="28"/>
      <c r="K1354" s="28"/>
    </row>
    <row r="1355" spans="2:11" x14ac:dyDescent="0.25">
      <c r="B1355" s="25"/>
      <c r="C1355" s="8"/>
      <c r="D1355" s="7"/>
      <c r="E1355" s="27"/>
      <c r="F1355" s="27"/>
      <c r="G1355" s="7"/>
      <c r="H1355" s="28"/>
      <c r="I1355" s="28"/>
      <c r="J1355" s="28"/>
      <c r="K1355" s="28"/>
    </row>
    <row r="1356" spans="2:11" x14ac:dyDescent="0.25">
      <c r="B1356" s="25"/>
      <c r="C1356" s="8"/>
      <c r="D1356" s="7"/>
      <c r="E1356" s="27"/>
      <c r="F1356" s="27"/>
      <c r="G1356" s="7"/>
      <c r="H1356" s="28"/>
      <c r="I1356" s="28"/>
      <c r="J1356" s="28"/>
      <c r="K1356" s="28"/>
    </row>
    <row r="1357" spans="2:11" x14ac:dyDescent="0.25">
      <c r="B1357" s="25"/>
      <c r="C1357" s="8"/>
      <c r="D1357" s="7"/>
      <c r="E1357" s="27"/>
      <c r="F1357" s="27"/>
      <c r="G1357" s="7"/>
      <c r="H1357" s="28"/>
      <c r="I1357" s="28"/>
      <c r="J1357" s="28"/>
      <c r="K1357" s="28"/>
    </row>
    <row r="1358" spans="2:11" x14ac:dyDescent="0.25">
      <c r="B1358" s="25"/>
      <c r="C1358" s="8"/>
      <c r="D1358" s="7"/>
      <c r="E1358" s="27"/>
      <c r="F1358" s="27"/>
      <c r="G1358" s="7"/>
      <c r="H1358" s="28"/>
      <c r="I1358" s="28"/>
      <c r="J1358" s="28"/>
      <c r="K1358" s="28"/>
    </row>
    <row r="1359" spans="2:11" x14ac:dyDescent="0.25">
      <c r="B1359" s="25"/>
      <c r="C1359" s="8"/>
      <c r="D1359" s="7"/>
      <c r="E1359" s="27"/>
      <c r="F1359" s="27"/>
      <c r="G1359" s="7"/>
      <c r="H1359" s="28"/>
      <c r="I1359" s="28"/>
      <c r="J1359" s="28"/>
      <c r="K1359" s="28"/>
    </row>
    <row r="1360" spans="2:11" x14ac:dyDescent="0.25">
      <c r="B1360" s="25"/>
      <c r="C1360" s="8"/>
      <c r="D1360" s="7"/>
      <c r="E1360" s="27"/>
      <c r="F1360" s="27"/>
      <c r="G1360" s="7"/>
      <c r="H1360" s="28"/>
      <c r="I1360" s="28"/>
      <c r="J1360" s="28"/>
      <c r="K1360" s="28"/>
    </row>
    <row r="1361" spans="2:11" x14ac:dyDescent="0.25">
      <c r="B1361" s="25"/>
      <c r="C1361" s="8"/>
      <c r="D1361" s="7"/>
      <c r="E1361" s="27"/>
      <c r="F1361" s="27"/>
      <c r="G1361" s="7"/>
      <c r="H1361" s="28"/>
      <c r="I1361" s="28"/>
      <c r="J1361" s="28"/>
      <c r="K1361" s="28"/>
    </row>
    <row r="1362" spans="2:11" x14ac:dyDescent="0.25">
      <c r="B1362" s="25"/>
      <c r="C1362" s="8"/>
      <c r="D1362" s="7"/>
      <c r="E1362" s="27"/>
      <c r="F1362" s="27"/>
      <c r="G1362" s="7"/>
      <c r="H1362" s="28"/>
      <c r="I1362" s="28"/>
      <c r="J1362" s="28"/>
      <c r="K1362" s="28"/>
    </row>
    <row r="1363" spans="2:11" x14ac:dyDescent="0.25">
      <c r="B1363" s="25"/>
      <c r="C1363" s="8"/>
      <c r="D1363" s="7"/>
      <c r="E1363" s="27"/>
      <c r="F1363" s="27"/>
      <c r="G1363" s="7"/>
      <c r="H1363" s="28"/>
      <c r="I1363" s="28"/>
      <c r="J1363" s="28"/>
      <c r="K1363" s="28"/>
    </row>
    <row r="1364" spans="2:11" x14ac:dyDescent="0.25">
      <c r="B1364" s="25"/>
      <c r="C1364" s="8"/>
      <c r="D1364" s="7"/>
      <c r="E1364" s="27"/>
      <c r="F1364" s="27"/>
      <c r="G1364" s="7"/>
      <c r="H1364" s="28"/>
      <c r="I1364" s="28"/>
      <c r="J1364" s="28"/>
      <c r="K1364" s="28"/>
    </row>
    <row r="1365" spans="2:11" x14ac:dyDescent="0.25">
      <c r="B1365" s="25"/>
      <c r="C1365" s="8"/>
      <c r="D1365" s="7"/>
      <c r="E1365" s="27"/>
      <c r="F1365" s="27"/>
      <c r="G1365" s="7"/>
      <c r="H1365" s="28"/>
      <c r="I1365" s="28"/>
      <c r="J1365" s="28"/>
      <c r="K1365" s="28"/>
    </row>
    <row r="1366" spans="2:11" x14ac:dyDescent="0.25">
      <c r="B1366" s="25"/>
      <c r="C1366" s="8"/>
      <c r="D1366" s="7"/>
      <c r="E1366" s="27"/>
      <c r="F1366" s="27"/>
      <c r="G1366" s="7"/>
      <c r="H1366" s="28"/>
      <c r="I1366" s="28"/>
      <c r="J1366" s="28"/>
      <c r="K1366" s="28"/>
    </row>
    <row r="1367" spans="2:11" x14ac:dyDescent="0.25">
      <c r="B1367" s="25"/>
      <c r="C1367" s="8"/>
      <c r="D1367" s="7"/>
      <c r="E1367" s="27"/>
      <c r="F1367" s="27"/>
      <c r="G1367" s="7"/>
      <c r="H1367" s="28"/>
      <c r="I1367" s="28"/>
      <c r="J1367" s="28"/>
      <c r="K1367" s="28"/>
    </row>
    <row r="1368" spans="2:11" x14ac:dyDescent="0.25">
      <c r="B1368" s="25"/>
      <c r="C1368" s="8"/>
      <c r="D1368" s="7"/>
      <c r="E1368" s="27"/>
      <c r="F1368" s="27"/>
      <c r="G1368" s="7"/>
      <c r="H1368" s="28"/>
      <c r="I1368" s="28"/>
      <c r="J1368" s="28"/>
      <c r="K1368" s="28"/>
    </row>
    <row r="1369" spans="2:11" x14ac:dyDescent="0.25">
      <c r="B1369" s="25"/>
      <c r="C1369" s="8"/>
      <c r="D1369" s="7"/>
      <c r="E1369" s="27"/>
      <c r="F1369" s="27"/>
      <c r="G1369" s="7"/>
      <c r="H1369" s="28"/>
      <c r="I1369" s="28"/>
      <c r="J1369" s="28"/>
      <c r="K1369" s="28"/>
    </row>
    <row r="1370" spans="2:11" x14ac:dyDescent="0.25">
      <c r="B1370" s="25"/>
      <c r="C1370" s="8"/>
      <c r="D1370" s="7"/>
      <c r="E1370" s="27"/>
      <c r="F1370" s="27"/>
      <c r="G1370" s="7"/>
      <c r="H1370" s="28"/>
      <c r="I1370" s="28"/>
      <c r="J1370" s="28"/>
      <c r="K1370" s="28"/>
    </row>
    <row r="1371" spans="2:11" x14ac:dyDescent="0.25">
      <c r="B1371" s="25"/>
      <c r="C1371" s="8"/>
      <c r="D1371" s="7"/>
      <c r="E1371" s="27"/>
      <c r="F1371" s="27"/>
      <c r="G1371" s="7"/>
      <c r="H1371" s="28"/>
      <c r="I1371" s="28"/>
      <c r="J1371" s="28"/>
      <c r="K1371" s="28"/>
    </row>
    <row r="1372" spans="2:11" x14ac:dyDescent="0.25">
      <c r="B1372" s="25"/>
      <c r="C1372" s="8"/>
      <c r="D1372" s="7"/>
      <c r="E1372" s="27"/>
      <c r="F1372" s="27"/>
      <c r="G1372" s="7"/>
      <c r="H1372" s="28"/>
      <c r="I1372" s="28"/>
      <c r="J1372" s="28"/>
      <c r="K1372" s="28"/>
    </row>
    <row r="1373" spans="2:11" x14ac:dyDescent="0.25">
      <c r="B1373" s="25"/>
      <c r="C1373" s="8"/>
      <c r="D1373" s="7"/>
      <c r="E1373" s="27"/>
      <c r="F1373" s="27"/>
      <c r="G1373" s="7"/>
      <c r="H1373" s="28"/>
      <c r="I1373" s="28"/>
      <c r="J1373" s="28"/>
      <c r="K1373" s="28"/>
    </row>
    <row r="1374" spans="2:11" x14ac:dyDescent="0.25">
      <c r="B1374" s="25"/>
      <c r="C1374" s="8"/>
      <c r="D1374" s="7"/>
      <c r="E1374" s="27"/>
      <c r="F1374" s="27"/>
      <c r="G1374" s="7"/>
      <c r="H1374" s="28"/>
      <c r="I1374" s="28"/>
      <c r="J1374" s="28"/>
      <c r="K1374" s="28"/>
    </row>
    <row r="1375" spans="2:11" x14ac:dyDescent="0.25">
      <c r="B1375" s="25"/>
      <c r="C1375" s="8"/>
      <c r="D1375" s="7"/>
      <c r="E1375" s="27"/>
      <c r="F1375" s="27"/>
      <c r="G1375" s="7"/>
      <c r="H1375" s="28"/>
      <c r="I1375" s="28"/>
      <c r="J1375" s="28"/>
      <c r="K1375" s="28"/>
    </row>
    <row r="1376" spans="2:11" x14ac:dyDescent="0.25">
      <c r="B1376" s="25"/>
      <c r="C1376" s="8"/>
      <c r="D1376" s="7"/>
      <c r="E1376" s="27"/>
      <c r="F1376" s="27"/>
      <c r="G1376" s="7"/>
      <c r="H1376" s="28"/>
      <c r="I1376" s="28"/>
      <c r="J1376" s="28"/>
      <c r="K1376" s="28"/>
    </row>
    <row r="1377" spans="2:11" x14ac:dyDescent="0.25">
      <c r="B1377" s="25"/>
      <c r="C1377" s="8"/>
      <c r="D1377" s="7"/>
      <c r="E1377" s="27"/>
      <c r="F1377" s="27"/>
      <c r="G1377" s="7"/>
      <c r="H1377" s="28"/>
      <c r="I1377" s="28"/>
      <c r="J1377" s="28"/>
      <c r="K1377" s="28"/>
    </row>
    <row r="1378" spans="2:11" x14ac:dyDescent="0.25">
      <c r="B1378" s="25"/>
      <c r="C1378" s="8"/>
      <c r="D1378" s="7"/>
      <c r="E1378" s="27"/>
      <c r="F1378" s="27"/>
      <c r="G1378" s="7"/>
      <c r="H1378" s="28"/>
      <c r="I1378" s="28"/>
      <c r="J1378" s="28"/>
      <c r="K1378" s="28"/>
    </row>
    <row r="1379" spans="2:11" x14ac:dyDescent="0.25">
      <c r="B1379" s="25"/>
      <c r="C1379" s="8"/>
      <c r="D1379" s="7"/>
      <c r="E1379" s="27"/>
      <c r="F1379" s="27"/>
      <c r="G1379" s="7"/>
      <c r="H1379" s="28"/>
      <c r="I1379" s="28"/>
      <c r="J1379" s="28"/>
      <c r="K1379" s="28"/>
    </row>
    <row r="1380" spans="2:11" x14ac:dyDescent="0.25">
      <c r="B1380" s="25"/>
      <c r="C1380" s="8"/>
      <c r="D1380" s="7"/>
      <c r="E1380" s="27"/>
      <c r="F1380" s="27"/>
      <c r="G1380" s="7"/>
      <c r="H1380" s="28"/>
      <c r="I1380" s="28"/>
      <c r="J1380" s="28"/>
      <c r="K1380" s="28"/>
    </row>
    <row r="1381" spans="2:11" x14ac:dyDescent="0.25">
      <c r="B1381" s="25"/>
      <c r="C1381" s="8"/>
      <c r="D1381" s="7"/>
      <c r="E1381" s="27"/>
      <c r="F1381" s="27"/>
      <c r="G1381" s="7"/>
      <c r="H1381" s="28"/>
      <c r="I1381" s="28"/>
      <c r="J1381" s="28"/>
      <c r="K1381" s="28"/>
    </row>
    <row r="1382" spans="2:11" x14ac:dyDescent="0.25">
      <c r="B1382" s="25"/>
      <c r="C1382" s="8"/>
      <c r="D1382" s="7"/>
      <c r="E1382" s="27"/>
      <c r="F1382" s="27"/>
      <c r="G1382" s="7"/>
      <c r="H1382" s="28"/>
      <c r="I1382" s="28"/>
      <c r="J1382" s="28"/>
      <c r="K1382" s="28"/>
    </row>
    <row r="1383" spans="2:11" x14ac:dyDescent="0.25">
      <c r="B1383" s="25"/>
      <c r="C1383" s="8"/>
      <c r="D1383" s="7"/>
      <c r="E1383" s="27"/>
      <c r="F1383" s="27"/>
      <c r="G1383" s="7"/>
      <c r="H1383" s="28"/>
      <c r="I1383" s="28"/>
      <c r="J1383" s="28"/>
      <c r="K1383" s="28"/>
    </row>
    <row r="1384" spans="2:11" x14ac:dyDescent="0.25">
      <c r="B1384" s="25"/>
      <c r="C1384" s="8"/>
      <c r="D1384" s="7"/>
      <c r="E1384" s="27"/>
      <c r="F1384" s="27"/>
      <c r="G1384" s="7"/>
      <c r="H1384" s="28"/>
      <c r="I1384" s="28"/>
      <c r="J1384" s="28"/>
      <c r="K1384" s="28"/>
    </row>
    <row r="1385" spans="2:11" x14ac:dyDescent="0.25">
      <c r="B1385" s="25"/>
      <c r="C1385" s="8"/>
      <c r="D1385" s="7"/>
      <c r="E1385" s="27"/>
      <c r="F1385" s="27"/>
      <c r="G1385" s="7"/>
      <c r="H1385" s="28"/>
      <c r="I1385" s="28"/>
      <c r="J1385" s="28"/>
      <c r="K1385" s="28"/>
    </row>
    <row r="1386" spans="2:11" x14ac:dyDescent="0.25">
      <c r="B1386" s="25"/>
      <c r="C1386" s="8"/>
      <c r="D1386" s="7"/>
      <c r="E1386" s="27"/>
      <c r="F1386" s="27"/>
      <c r="G1386" s="7"/>
      <c r="H1386" s="28"/>
      <c r="I1386" s="28"/>
      <c r="J1386" s="28"/>
      <c r="K1386" s="28"/>
    </row>
    <row r="1387" spans="2:11" x14ac:dyDescent="0.25">
      <c r="B1387" s="25"/>
      <c r="C1387" s="8"/>
      <c r="D1387" s="7"/>
      <c r="E1387" s="27"/>
      <c r="F1387" s="27"/>
      <c r="G1387" s="7"/>
      <c r="H1387" s="28"/>
      <c r="I1387" s="28"/>
      <c r="J1387" s="28"/>
      <c r="K1387" s="28"/>
    </row>
    <row r="1388" spans="2:11" x14ac:dyDescent="0.25">
      <c r="B1388" s="25"/>
      <c r="C1388" s="8"/>
      <c r="D1388" s="7"/>
      <c r="E1388" s="27"/>
      <c r="F1388" s="27"/>
      <c r="G1388" s="7"/>
      <c r="H1388" s="28"/>
      <c r="I1388" s="28"/>
      <c r="J1388" s="28"/>
      <c r="K1388" s="28"/>
    </row>
    <row r="1389" spans="2:11" x14ac:dyDescent="0.25">
      <c r="B1389" s="25"/>
      <c r="C1389" s="8"/>
      <c r="D1389" s="7"/>
      <c r="E1389" s="27"/>
      <c r="F1389" s="27"/>
      <c r="G1389" s="7"/>
      <c r="H1389" s="28"/>
      <c r="I1389" s="28"/>
      <c r="J1389" s="28"/>
      <c r="K1389" s="28"/>
    </row>
    <row r="1390" spans="2:11" x14ac:dyDescent="0.25">
      <c r="B1390" s="25"/>
      <c r="C1390" s="8"/>
      <c r="D1390" s="7"/>
      <c r="E1390" s="27"/>
      <c r="F1390" s="27"/>
      <c r="G1390" s="7"/>
      <c r="H1390" s="28"/>
      <c r="I1390" s="28"/>
      <c r="J1390" s="28"/>
      <c r="K1390" s="28"/>
    </row>
    <row r="1391" spans="2:11" x14ac:dyDescent="0.25">
      <c r="B1391" s="25"/>
      <c r="C1391" s="8"/>
      <c r="D1391" s="7"/>
      <c r="E1391" s="27"/>
      <c r="F1391" s="27"/>
      <c r="G1391" s="7"/>
      <c r="H1391" s="28"/>
      <c r="I1391" s="28"/>
      <c r="J1391" s="28"/>
      <c r="K1391" s="28"/>
    </row>
    <row r="1392" spans="2:11" x14ac:dyDescent="0.25">
      <c r="B1392" s="25"/>
      <c r="C1392" s="8"/>
      <c r="D1392" s="7"/>
      <c r="E1392" s="27"/>
      <c r="F1392" s="27"/>
      <c r="G1392" s="7"/>
      <c r="H1392" s="28"/>
      <c r="I1392" s="28"/>
      <c r="J1392" s="28"/>
      <c r="K1392" s="28"/>
    </row>
    <row r="1393" spans="2:11" x14ac:dyDescent="0.25">
      <c r="B1393" s="25"/>
      <c r="C1393" s="8"/>
      <c r="D1393" s="7"/>
      <c r="E1393" s="27"/>
      <c r="F1393" s="27"/>
      <c r="G1393" s="7"/>
      <c r="H1393" s="28"/>
      <c r="I1393" s="28"/>
      <c r="J1393" s="28"/>
      <c r="K1393" s="28"/>
    </row>
    <row r="1394" spans="2:11" x14ac:dyDescent="0.25">
      <c r="B1394" s="25"/>
      <c r="C1394" s="8"/>
      <c r="D1394" s="7"/>
      <c r="E1394" s="27"/>
      <c r="F1394" s="27"/>
      <c r="G1394" s="7"/>
      <c r="H1394" s="28"/>
      <c r="I1394" s="28"/>
      <c r="J1394" s="28"/>
      <c r="K1394" s="28"/>
    </row>
    <row r="1395" spans="2:11" x14ac:dyDescent="0.25">
      <c r="B1395" s="25"/>
      <c r="C1395" s="8"/>
      <c r="D1395" s="7"/>
      <c r="E1395" s="27"/>
      <c r="F1395" s="27"/>
      <c r="G1395" s="7"/>
      <c r="H1395" s="28"/>
      <c r="I1395" s="28"/>
      <c r="J1395" s="28"/>
      <c r="K1395" s="28"/>
    </row>
    <row r="1396" spans="2:11" x14ac:dyDescent="0.25">
      <c r="B1396" s="25"/>
      <c r="C1396" s="8"/>
      <c r="D1396" s="7"/>
      <c r="E1396" s="27"/>
      <c r="F1396" s="27"/>
      <c r="G1396" s="7"/>
      <c r="H1396" s="28"/>
      <c r="I1396" s="28"/>
      <c r="J1396" s="28"/>
      <c r="K1396" s="28"/>
    </row>
    <row r="1397" spans="2:11" x14ac:dyDescent="0.25">
      <c r="B1397" s="25"/>
      <c r="C1397" s="8"/>
      <c r="D1397" s="7"/>
      <c r="E1397" s="27"/>
      <c r="F1397" s="27"/>
      <c r="G1397" s="7"/>
      <c r="H1397" s="28"/>
      <c r="I1397" s="28"/>
      <c r="J1397" s="28"/>
      <c r="K1397" s="28"/>
    </row>
    <row r="1398" spans="2:11" x14ac:dyDescent="0.25">
      <c r="B1398" s="25"/>
      <c r="C1398" s="8"/>
      <c r="D1398" s="7"/>
      <c r="E1398" s="27"/>
      <c r="F1398" s="27"/>
      <c r="G1398" s="7"/>
      <c r="H1398" s="28"/>
      <c r="I1398" s="28"/>
      <c r="J1398" s="28"/>
      <c r="K1398" s="28"/>
    </row>
    <row r="1399" spans="2:11" x14ac:dyDescent="0.25">
      <c r="B1399" s="25"/>
      <c r="C1399" s="8"/>
      <c r="D1399" s="7"/>
      <c r="E1399" s="27"/>
      <c r="F1399" s="27"/>
      <c r="G1399" s="7"/>
      <c r="H1399" s="28"/>
      <c r="I1399" s="28"/>
      <c r="J1399" s="28"/>
      <c r="K1399" s="28"/>
    </row>
    <row r="1400" spans="2:11" x14ac:dyDescent="0.25">
      <c r="B1400" s="25"/>
      <c r="C1400" s="8"/>
      <c r="D1400" s="7"/>
      <c r="E1400" s="27"/>
      <c r="F1400" s="27"/>
      <c r="G1400" s="7"/>
      <c r="H1400" s="28"/>
      <c r="I1400" s="28"/>
      <c r="J1400" s="28"/>
      <c r="K1400" s="28"/>
    </row>
    <row r="1401" spans="2:11" x14ac:dyDescent="0.25">
      <c r="B1401" s="25"/>
      <c r="C1401" s="8"/>
      <c r="D1401" s="7"/>
      <c r="E1401" s="27"/>
      <c r="F1401" s="27"/>
      <c r="G1401" s="7"/>
      <c r="H1401" s="28"/>
      <c r="I1401" s="28"/>
      <c r="J1401" s="28"/>
      <c r="K1401" s="28"/>
    </row>
    <row r="1402" spans="2:11" x14ac:dyDescent="0.25">
      <c r="B1402" s="25"/>
      <c r="C1402" s="8"/>
      <c r="D1402" s="7"/>
      <c r="E1402" s="27"/>
      <c r="F1402" s="27"/>
      <c r="G1402" s="7"/>
      <c r="H1402" s="28"/>
      <c r="I1402" s="28"/>
      <c r="J1402" s="28"/>
      <c r="K1402" s="28"/>
    </row>
    <row r="1403" spans="2:11" x14ac:dyDescent="0.25">
      <c r="B1403" s="25"/>
      <c r="C1403" s="8"/>
      <c r="D1403" s="7"/>
      <c r="E1403" s="27"/>
      <c r="F1403" s="27"/>
      <c r="G1403" s="7"/>
      <c r="H1403" s="28"/>
      <c r="I1403" s="28"/>
      <c r="J1403" s="28"/>
      <c r="K1403" s="28"/>
    </row>
    <row r="1404" spans="2:11" x14ac:dyDescent="0.25">
      <c r="B1404" s="25"/>
      <c r="C1404" s="8"/>
      <c r="D1404" s="7"/>
      <c r="E1404" s="27"/>
      <c r="F1404" s="27"/>
      <c r="G1404" s="7"/>
      <c r="H1404" s="28"/>
      <c r="I1404" s="28"/>
      <c r="J1404" s="28"/>
      <c r="K1404" s="28"/>
    </row>
    <row r="1405" spans="2:11" x14ac:dyDescent="0.25">
      <c r="B1405" s="25"/>
      <c r="C1405" s="8"/>
      <c r="D1405" s="7"/>
      <c r="E1405" s="27"/>
      <c r="F1405" s="27"/>
      <c r="G1405" s="7"/>
      <c r="H1405" s="28"/>
      <c r="I1405" s="28"/>
      <c r="J1405" s="28"/>
      <c r="K1405" s="28"/>
    </row>
    <row r="1406" spans="2:11" x14ac:dyDescent="0.25">
      <c r="B1406" s="25"/>
      <c r="C1406" s="8"/>
      <c r="D1406" s="7"/>
      <c r="E1406" s="27"/>
      <c r="F1406" s="27"/>
      <c r="G1406" s="7"/>
      <c r="H1406" s="28"/>
      <c r="I1406" s="28"/>
      <c r="J1406" s="28"/>
      <c r="K1406" s="28"/>
    </row>
    <row r="1407" spans="2:11" x14ac:dyDescent="0.25">
      <c r="B1407" s="25"/>
      <c r="C1407" s="8"/>
      <c r="D1407" s="7"/>
      <c r="E1407" s="27"/>
      <c r="F1407" s="27"/>
      <c r="G1407" s="7"/>
      <c r="H1407" s="28"/>
      <c r="I1407" s="28"/>
      <c r="J1407" s="28"/>
      <c r="K1407" s="28"/>
    </row>
    <row r="1408" spans="2:11" x14ac:dyDescent="0.25">
      <c r="B1408" s="25"/>
      <c r="C1408" s="8"/>
      <c r="D1408" s="7"/>
      <c r="E1408" s="27"/>
      <c r="F1408" s="27"/>
      <c r="G1408" s="7"/>
      <c r="H1408" s="28"/>
      <c r="I1408" s="28"/>
      <c r="J1408" s="28"/>
      <c r="K1408" s="28"/>
    </row>
    <row r="1409" spans="2:11" x14ac:dyDescent="0.25">
      <c r="B1409" s="25"/>
      <c r="C1409" s="8"/>
      <c r="D1409" s="7"/>
      <c r="E1409" s="27"/>
      <c r="F1409" s="27"/>
      <c r="G1409" s="7"/>
      <c r="H1409" s="28"/>
      <c r="I1409" s="28"/>
      <c r="J1409" s="28"/>
      <c r="K1409" s="28"/>
    </row>
    <row r="1410" spans="2:11" x14ac:dyDescent="0.25">
      <c r="B1410" s="25"/>
      <c r="C1410" s="8"/>
      <c r="D1410" s="7"/>
      <c r="E1410" s="27"/>
      <c r="F1410" s="27"/>
      <c r="G1410" s="7"/>
      <c r="H1410" s="28"/>
      <c r="I1410" s="28"/>
      <c r="J1410" s="28"/>
      <c r="K1410" s="28"/>
    </row>
    <row r="1411" spans="2:11" x14ac:dyDescent="0.25">
      <c r="B1411" s="25"/>
      <c r="C1411" s="8"/>
      <c r="D1411" s="7"/>
      <c r="E1411" s="27"/>
      <c r="F1411" s="27"/>
      <c r="G1411" s="7"/>
      <c r="H1411" s="28"/>
      <c r="I1411" s="28"/>
      <c r="J1411" s="28"/>
      <c r="K1411" s="28"/>
    </row>
    <row r="1412" spans="2:11" x14ac:dyDescent="0.25">
      <c r="B1412" s="25"/>
      <c r="C1412" s="8"/>
      <c r="D1412" s="7"/>
      <c r="E1412" s="27"/>
      <c r="F1412" s="27"/>
      <c r="G1412" s="7"/>
      <c r="H1412" s="28"/>
      <c r="I1412" s="28"/>
      <c r="J1412" s="28"/>
      <c r="K1412" s="28"/>
    </row>
    <row r="1413" spans="2:11" x14ac:dyDescent="0.25">
      <c r="B1413" s="25"/>
      <c r="C1413" s="8"/>
      <c r="D1413" s="7"/>
      <c r="E1413" s="27"/>
      <c r="F1413" s="27"/>
      <c r="G1413" s="7"/>
      <c r="H1413" s="28"/>
      <c r="I1413" s="28"/>
      <c r="J1413" s="28"/>
      <c r="K1413" s="28"/>
    </row>
    <row r="1414" spans="2:11" x14ac:dyDescent="0.25">
      <c r="B1414" s="25"/>
      <c r="C1414" s="8"/>
      <c r="D1414" s="7"/>
      <c r="E1414" s="27"/>
      <c r="F1414" s="27"/>
      <c r="G1414" s="7"/>
      <c r="H1414" s="28"/>
      <c r="I1414" s="28"/>
      <c r="J1414" s="28"/>
      <c r="K1414" s="28"/>
    </row>
    <row r="1415" spans="2:11" x14ac:dyDescent="0.25">
      <c r="B1415" s="25"/>
      <c r="C1415" s="8"/>
      <c r="D1415" s="7"/>
      <c r="E1415" s="27"/>
      <c r="F1415" s="27"/>
      <c r="G1415" s="7"/>
      <c r="H1415" s="28"/>
      <c r="I1415" s="28"/>
      <c r="J1415" s="28"/>
      <c r="K1415" s="28"/>
    </row>
    <row r="1416" spans="2:11" x14ac:dyDescent="0.25">
      <c r="B1416" s="25"/>
      <c r="C1416" s="8"/>
      <c r="D1416" s="7"/>
      <c r="E1416" s="27"/>
      <c r="F1416" s="27"/>
      <c r="G1416" s="7"/>
      <c r="H1416" s="28"/>
      <c r="I1416" s="28"/>
      <c r="J1416" s="28"/>
      <c r="K1416" s="28"/>
    </row>
    <row r="1417" spans="2:11" x14ac:dyDescent="0.25">
      <c r="B1417" s="25"/>
      <c r="C1417" s="8"/>
      <c r="D1417" s="7"/>
      <c r="E1417" s="27"/>
      <c r="F1417" s="27"/>
      <c r="G1417" s="7"/>
      <c r="H1417" s="28"/>
      <c r="I1417" s="28"/>
      <c r="J1417" s="28"/>
      <c r="K1417" s="28"/>
    </row>
    <row r="1418" spans="2:11" x14ac:dyDescent="0.25">
      <c r="B1418" s="25"/>
      <c r="C1418" s="8"/>
      <c r="D1418" s="7"/>
      <c r="E1418" s="27"/>
      <c r="F1418" s="27"/>
      <c r="G1418" s="7"/>
      <c r="H1418" s="28"/>
      <c r="I1418" s="28"/>
      <c r="J1418" s="28"/>
      <c r="K1418" s="28"/>
    </row>
    <row r="1419" spans="2:11" x14ac:dyDescent="0.25">
      <c r="B1419" s="25"/>
      <c r="C1419" s="8"/>
      <c r="D1419" s="7"/>
      <c r="E1419" s="27"/>
      <c r="F1419" s="27"/>
      <c r="G1419" s="7"/>
      <c r="H1419" s="28"/>
      <c r="I1419" s="28"/>
      <c r="J1419" s="28"/>
      <c r="K1419" s="28"/>
    </row>
    <row r="1420" spans="2:11" x14ac:dyDescent="0.25">
      <c r="B1420" s="25"/>
      <c r="C1420" s="8"/>
      <c r="D1420" s="7"/>
      <c r="E1420" s="27"/>
      <c r="F1420" s="27"/>
      <c r="G1420" s="7"/>
      <c r="H1420" s="28"/>
      <c r="I1420" s="28"/>
      <c r="J1420" s="28"/>
      <c r="K1420" s="28"/>
    </row>
    <row r="1421" spans="2:11" x14ac:dyDescent="0.25">
      <c r="B1421" s="25"/>
      <c r="C1421" s="8"/>
      <c r="D1421" s="7"/>
      <c r="E1421" s="27"/>
      <c r="F1421" s="27"/>
      <c r="G1421" s="7"/>
      <c r="H1421" s="28"/>
      <c r="I1421" s="28"/>
      <c r="J1421" s="28"/>
      <c r="K1421" s="28"/>
    </row>
    <row r="1422" spans="2:11" x14ac:dyDescent="0.25">
      <c r="B1422" s="25"/>
      <c r="C1422" s="8"/>
      <c r="D1422" s="7"/>
      <c r="E1422" s="27"/>
      <c r="F1422" s="27"/>
      <c r="G1422" s="7"/>
      <c r="H1422" s="28"/>
      <c r="I1422" s="28"/>
      <c r="J1422" s="28"/>
      <c r="K1422" s="28"/>
    </row>
    <row r="1423" spans="2:11" x14ac:dyDescent="0.25">
      <c r="B1423" s="25"/>
      <c r="C1423" s="8"/>
      <c r="D1423" s="7"/>
      <c r="E1423" s="27"/>
      <c r="F1423" s="27"/>
      <c r="G1423" s="7"/>
      <c r="H1423" s="28"/>
      <c r="I1423" s="28"/>
      <c r="J1423" s="28"/>
      <c r="K1423" s="28"/>
    </row>
    <row r="1424" spans="2:11" x14ac:dyDescent="0.25">
      <c r="B1424" s="25"/>
      <c r="C1424" s="8"/>
      <c r="D1424" s="7"/>
      <c r="E1424" s="27"/>
      <c r="F1424" s="27"/>
      <c r="G1424" s="7"/>
      <c r="H1424" s="28"/>
      <c r="I1424" s="28"/>
      <c r="J1424" s="28"/>
      <c r="K1424" s="28"/>
    </row>
    <row r="1425" spans="2:11" x14ac:dyDescent="0.25">
      <c r="B1425" s="25"/>
      <c r="C1425" s="8"/>
      <c r="D1425" s="7"/>
      <c r="E1425" s="27"/>
      <c r="F1425" s="27"/>
      <c r="G1425" s="7"/>
      <c r="H1425" s="28"/>
      <c r="I1425" s="28"/>
      <c r="J1425" s="28"/>
      <c r="K1425" s="28"/>
    </row>
    <row r="1426" spans="2:11" x14ac:dyDescent="0.25">
      <c r="B1426" s="25"/>
      <c r="C1426" s="8"/>
      <c r="D1426" s="7"/>
      <c r="E1426" s="27"/>
      <c r="F1426" s="27"/>
      <c r="G1426" s="7"/>
      <c r="H1426" s="28"/>
      <c r="I1426" s="28"/>
      <c r="J1426" s="28"/>
      <c r="K1426" s="28"/>
    </row>
    <row r="1427" spans="2:11" x14ac:dyDescent="0.25">
      <c r="B1427" s="25"/>
      <c r="C1427" s="8"/>
      <c r="D1427" s="7"/>
      <c r="E1427" s="27"/>
      <c r="F1427" s="27"/>
      <c r="G1427" s="7"/>
      <c r="H1427" s="28"/>
      <c r="I1427" s="28"/>
      <c r="J1427" s="28"/>
      <c r="K1427" s="28"/>
    </row>
    <row r="1428" spans="2:11" x14ac:dyDescent="0.25">
      <c r="B1428" s="25"/>
      <c r="C1428" s="8"/>
      <c r="D1428" s="7"/>
      <c r="E1428" s="27"/>
      <c r="F1428" s="27"/>
      <c r="G1428" s="7"/>
      <c r="H1428" s="28"/>
      <c r="I1428" s="28"/>
      <c r="J1428" s="28"/>
      <c r="K1428" s="28"/>
    </row>
    <row r="1429" spans="2:11" x14ac:dyDescent="0.25">
      <c r="B1429" s="25"/>
      <c r="C1429" s="8"/>
      <c r="D1429" s="7"/>
      <c r="E1429" s="27"/>
      <c r="F1429" s="27"/>
      <c r="G1429" s="7"/>
      <c r="H1429" s="28"/>
      <c r="I1429" s="28"/>
      <c r="J1429" s="28"/>
      <c r="K1429" s="28"/>
    </row>
    <row r="1430" spans="2:11" x14ac:dyDescent="0.25">
      <c r="B1430" s="25"/>
      <c r="C1430" s="8"/>
      <c r="D1430" s="7"/>
      <c r="E1430" s="27"/>
      <c r="F1430" s="27"/>
      <c r="G1430" s="7"/>
      <c r="H1430" s="28"/>
      <c r="I1430" s="28"/>
      <c r="J1430" s="28"/>
      <c r="K1430" s="28"/>
    </row>
    <row r="1431" spans="2:11" x14ac:dyDescent="0.25">
      <c r="B1431" s="25"/>
      <c r="C1431" s="8"/>
      <c r="D1431" s="7"/>
      <c r="E1431" s="27"/>
      <c r="F1431" s="27"/>
      <c r="G1431" s="7"/>
      <c r="H1431" s="28"/>
      <c r="I1431" s="28"/>
      <c r="J1431" s="28"/>
      <c r="K1431" s="28"/>
    </row>
    <row r="1432" spans="2:11" x14ac:dyDescent="0.25">
      <c r="B1432" s="25"/>
      <c r="C1432" s="8"/>
      <c r="D1432" s="7"/>
      <c r="E1432" s="27"/>
      <c r="F1432" s="27"/>
      <c r="G1432" s="7"/>
      <c r="H1432" s="28"/>
      <c r="I1432" s="28"/>
      <c r="J1432" s="28"/>
      <c r="K1432" s="28"/>
    </row>
    <row r="1433" spans="2:11" x14ac:dyDescent="0.25">
      <c r="B1433" s="25"/>
      <c r="C1433" s="8"/>
      <c r="D1433" s="7"/>
      <c r="E1433" s="27"/>
      <c r="F1433" s="27"/>
      <c r="G1433" s="7"/>
      <c r="H1433" s="28"/>
      <c r="I1433" s="28"/>
      <c r="J1433" s="28"/>
      <c r="K1433" s="28"/>
    </row>
    <row r="1434" spans="2:11" x14ac:dyDescent="0.25">
      <c r="B1434" s="25"/>
      <c r="C1434" s="8"/>
      <c r="D1434" s="7"/>
      <c r="E1434" s="27"/>
      <c r="F1434" s="27"/>
      <c r="G1434" s="7"/>
      <c r="H1434" s="28"/>
      <c r="I1434" s="28"/>
      <c r="J1434" s="28"/>
      <c r="K1434" s="28"/>
    </row>
    <row r="1435" spans="2:11" x14ac:dyDescent="0.25">
      <c r="B1435" s="25"/>
      <c r="C1435" s="8"/>
      <c r="D1435" s="7"/>
      <c r="E1435" s="27"/>
      <c r="F1435" s="27"/>
      <c r="G1435" s="7"/>
      <c r="H1435" s="28"/>
      <c r="I1435" s="28"/>
      <c r="J1435" s="28"/>
      <c r="K1435" s="28"/>
    </row>
    <row r="1436" spans="2:11" x14ac:dyDescent="0.25">
      <c r="B1436" s="25"/>
      <c r="C1436" s="8"/>
      <c r="D1436" s="7"/>
      <c r="E1436" s="27"/>
      <c r="F1436" s="27"/>
      <c r="G1436" s="7"/>
      <c r="H1436" s="28"/>
      <c r="I1436" s="28"/>
      <c r="J1436" s="28"/>
      <c r="K1436" s="28"/>
    </row>
    <row r="1437" spans="2:11" x14ac:dyDescent="0.25">
      <c r="B1437" s="25"/>
      <c r="C1437" s="8"/>
      <c r="D1437" s="7"/>
      <c r="E1437" s="27"/>
      <c r="F1437" s="27"/>
      <c r="G1437" s="7"/>
      <c r="H1437" s="28"/>
      <c r="I1437" s="28"/>
      <c r="J1437" s="28"/>
      <c r="K1437" s="28"/>
    </row>
    <row r="1438" spans="2:11" x14ac:dyDescent="0.25">
      <c r="B1438" s="25"/>
      <c r="C1438" s="8"/>
      <c r="D1438" s="7"/>
      <c r="E1438" s="27"/>
      <c r="F1438" s="27"/>
      <c r="G1438" s="7"/>
      <c r="H1438" s="28"/>
      <c r="I1438" s="28"/>
      <c r="J1438" s="28"/>
      <c r="K1438" s="28"/>
    </row>
    <row r="1439" spans="2:11" x14ac:dyDescent="0.25">
      <c r="B1439" s="25"/>
      <c r="C1439" s="8"/>
      <c r="D1439" s="7"/>
      <c r="E1439" s="27"/>
      <c r="F1439" s="27"/>
      <c r="G1439" s="7"/>
      <c r="H1439" s="28"/>
      <c r="I1439" s="28"/>
      <c r="J1439" s="28"/>
      <c r="K1439" s="28"/>
    </row>
    <row r="1440" spans="2:11" x14ac:dyDescent="0.25">
      <c r="B1440" s="25"/>
      <c r="C1440" s="8"/>
      <c r="D1440" s="7"/>
      <c r="E1440" s="27"/>
      <c r="F1440" s="27"/>
      <c r="G1440" s="7"/>
      <c r="H1440" s="28"/>
      <c r="I1440" s="28"/>
      <c r="J1440" s="28"/>
      <c r="K1440" s="28"/>
    </row>
    <row r="1441" spans="2:11" x14ac:dyDescent="0.25">
      <c r="B1441" s="25"/>
      <c r="C1441" s="8"/>
      <c r="D1441" s="7"/>
      <c r="E1441" s="27"/>
      <c r="F1441" s="27"/>
      <c r="G1441" s="7"/>
      <c r="H1441" s="28"/>
      <c r="I1441" s="28"/>
      <c r="J1441" s="28"/>
      <c r="K1441" s="28"/>
    </row>
    <row r="1442" spans="2:11" x14ac:dyDescent="0.25">
      <c r="B1442" s="25"/>
      <c r="C1442" s="8"/>
      <c r="D1442" s="7"/>
      <c r="E1442" s="27"/>
      <c r="F1442" s="27"/>
      <c r="G1442" s="7"/>
      <c r="H1442" s="28"/>
      <c r="I1442" s="28"/>
      <c r="J1442" s="28"/>
      <c r="K1442" s="28"/>
    </row>
    <row r="1443" spans="2:11" x14ac:dyDescent="0.25">
      <c r="B1443" s="25"/>
      <c r="C1443" s="8"/>
      <c r="D1443" s="7"/>
      <c r="E1443" s="27"/>
      <c r="F1443" s="27"/>
      <c r="G1443" s="7"/>
      <c r="H1443" s="28"/>
      <c r="I1443" s="28"/>
      <c r="J1443" s="28"/>
      <c r="K1443" s="28"/>
    </row>
    <row r="1444" spans="2:11" x14ac:dyDescent="0.25">
      <c r="B1444" s="25"/>
      <c r="C1444" s="8"/>
      <c r="D1444" s="7"/>
      <c r="E1444" s="27"/>
      <c r="F1444" s="27"/>
      <c r="G1444" s="7"/>
      <c r="H1444" s="28"/>
      <c r="I1444" s="28"/>
      <c r="J1444" s="28"/>
      <c r="K1444" s="28"/>
    </row>
    <row r="1445" spans="2:11" x14ac:dyDescent="0.25">
      <c r="B1445" s="25"/>
      <c r="C1445" s="8"/>
      <c r="D1445" s="7"/>
      <c r="E1445" s="27"/>
      <c r="F1445" s="27"/>
      <c r="G1445" s="7"/>
      <c r="H1445" s="28"/>
      <c r="I1445" s="28"/>
      <c r="J1445" s="28"/>
      <c r="K1445" s="28"/>
    </row>
    <row r="1446" spans="2:11" x14ac:dyDescent="0.25">
      <c r="B1446" s="25"/>
      <c r="C1446" s="8"/>
      <c r="D1446" s="7"/>
      <c r="E1446" s="27"/>
      <c r="F1446" s="27"/>
      <c r="G1446" s="7"/>
      <c r="H1446" s="28"/>
      <c r="I1446" s="28"/>
      <c r="J1446" s="28"/>
      <c r="K1446" s="28"/>
    </row>
    <row r="1447" spans="2:11" x14ac:dyDescent="0.25">
      <c r="B1447" s="25"/>
      <c r="C1447" s="8"/>
      <c r="D1447" s="7"/>
      <c r="E1447" s="27"/>
      <c r="F1447" s="27"/>
      <c r="G1447" s="7"/>
      <c r="H1447" s="28"/>
      <c r="I1447" s="28"/>
      <c r="J1447" s="28"/>
      <c r="K1447" s="28"/>
    </row>
    <row r="1448" spans="2:11" x14ac:dyDescent="0.25">
      <c r="B1448" s="25"/>
      <c r="C1448" s="8"/>
      <c r="D1448" s="7"/>
      <c r="E1448" s="27"/>
      <c r="F1448" s="27"/>
      <c r="G1448" s="7"/>
      <c r="H1448" s="28"/>
      <c r="I1448" s="28"/>
      <c r="J1448" s="28"/>
      <c r="K1448" s="28"/>
    </row>
    <row r="1449" spans="2:11" x14ac:dyDescent="0.25">
      <c r="B1449" s="25"/>
      <c r="C1449" s="8"/>
      <c r="D1449" s="7"/>
      <c r="E1449" s="27"/>
      <c r="F1449" s="27"/>
      <c r="G1449" s="7"/>
      <c r="H1449" s="28"/>
      <c r="I1449" s="28"/>
      <c r="J1449" s="28"/>
      <c r="K1449" s="28"/>
    </row>
    <row r="1450" spans="2:11" x14ac:dyDescent="0.25">
      <c r="B1450" s="25"/>
      <c r="C1450" s="8"/>
      <c r="D1450" s="7"/>
      <c r="E1450" s="27"/>
      <c r="F1450" s="27"/>
      <c r="G1450" s="7"/>
      <c r="H1450" s="28"/>
      <c r="I1450" s="28"/>
      <c r="J1450" s="28"/>
      <c r="K1450" s="28"/>
    </row>
    <row r="1451" spans="2:11" x14ac:dyDescent="0.25">
      <c r="B1451" s="25"/>
      <c r="C1451" s="8"/>
      <c r="D1451" s="7"/>
      <c r="E1451" s="27"/>
      <c r="F1451" s="27"/>
      <c r="G1451" s="7"/>
      <c r="H1451" s="28"/>
      <c r="I1451" s="28"/>
      <c r="J1451" s="28"/>
      <c r="K1451" s="28"/>
    </row>
    <row r="1452" spans="2:11" x14ac:dyDescent="0.25">
      <c r="B1452" s="25"/>
      <c r="C1452" s="8"/>
      <c r="D1452" s="7"/>
      <c r="E1452" s="27"/>
      <c r="F1452" s="27"/>
      <c r="G1452" s="7"/>
      <c r="H1452" s="28"/>
      <c r="I1452" s="28"/>
      <c r="J1452" s="28"/>
      <c r="K1452" s="28"/>
    </row>
    <row r="1453" spans="2:11" x14ac:dyDescent="0.25">
      <c r="B1453" s="25"/>
      <c r="C1453" s="8"/>
      <c r="D1453" s="7"/>
      <c r="E1453" s="27"/>
      <c r="F1453" s="27"/>
      <c r="G1453" s="7"/>
      <c r="H1453" s="28"/>
      <c r="I1453" s="28"/>
      <c r="J1453" s="28"/>
      <c r="K1453" s="28"/>
    </row>
    <row r="1454" spans="2:11" x14ac:dyDescent="0.25">
      <c r="B1454" s="25"/>
      <c r="C1454" s="8"/>
      <c r="D1454" s="7"/>
      <c r="E1454" s="27"/>
      <c r="F1454" s="27"/>
      <c r="G1454" s="7"/>
      <c r="H1454" s="28"/>
      <c r="I1454" s="28"/>
      <c r="J1454" s="28"/>
      <c r="K1454" s="28"/>
    </row>
    <row r="1455" spans="2:11" x14ac:dyDescent="0.25">
      <c r="B1455" s="25"/>
      <c r="C1455" s="8"/>
      <c r="D1455" s="7"/>
      <c r="E1455" s="27"/>
      <c r="F1455" s="27"/>
      <c r="G1455" s="7"/>
      <c r="H1455" s="28"/>
      <c r="I1455" s="28"/>
      <c r="J1455" s="28"/>
      <c r="K1455" s="28"/>
    </row>
    <row r="1456" spans="2:11" x14ac:dyDescent="0.25">
      <c r="B1456" s="25"/>
      <c r="C1456" s="8"/>
      <c r="D1456" s="7"/>
      <c r="E1456" s="27"/>
      <c r="F1456" s="27"/>
      <c r="G1456" s="7"/>
      <c r="H1456" s="28"/>
      <c r="I1456" s="28"/>
      <c r="J1456" s="28"/>
      <c r="K1456" s="28"/>
    </row>
    <row r="1457" spans="2:11" x14ac:dyDescent="0.25">
      <c r="B1457" s="25"/>
      <c r="C1457" s="8"/>
      <c r="D1457" s="7"/>
      <c r="E1457" s="27"/>
      <c r="F1457" s="27"/>
      <c r="G1457" s="7"/>
      <c r="H1457" s="28"/>
      <c r="I1457" s="28"/>
      <c r="J1457" s="28"/>
      <c r="K1457" s="28"/>
    </row>
    <row r="1458" spans="2:11" x14ac:dyDescent="0.25">
      <c r="B1458" s="25"/>
      <c r="C1458" s="8"/>
      <c r="D1458" s="7"/>
      <c r="E1458" s="27"/>
      <c r="F1458" s="27"/>
      <c r="G1458" s="7"/>
      <c r="H1458" s="28"/>
      <c r="I1458" s="28"/>
      <c r="J1458" s="28"/>
      <c r="K1458" s="28"/>
    </row>
    <row r="1459" spans="2:11" x14ac:dyDescent="0.25">
      <c r="B1459" s="25"/>
      <c r="C1459" s="8"/>
      <c r="D1459" s="7"/>
      <c r="E1459" s="27"/>
      <c r="F1459" s="27"/>
      <c r="G1459" s="7"/>
      <c r="H1459" s="28"/>
      <c r="I1459" s="28"/>
      <c r="J1459" s="28"/>
      <c r="K1459" s="28"/>
    </row>
    <row r="1460" spans="2:11" x14ac:dyDescent="0.25">
      <c r="B1460" s="25"/>
      <c r="C1460" s="8"/>
      <c r="D1460" s="7"/>
      <c r="E1460" s="27"/>
      <c r="F1460" s="27"/>
      <c r="G1460" s="7"/>
      <c r="H1460" s="28"/>
      <c r="I1460" s="28"/>
      <c r="J1460" s="28"/>
      <c r="K1460" s="28"/>
    </row>
    <row r="1461" spans="2:11" x14ac:dyDescent="0.25">
      <c r="B1461" s="25"/>
      <c r="C1461" s="8"/>
      <c r="D1461" s="7"/>
      <c r="E1461" s="27"/>
      <c r="F1461" s="27"/>
      <c r="G1461" s="7"/>
      <c r="H1461" s="28"/>
      <c r="I1461" s="28"/>
      <c r="J1461" s="28"/>
      <c r="K1461" s="28"/>
    </row>
    <row r="1462" spans="2:11" x14ac:dyDescent="0.25">
      <c r="B1462" s="25"/>
      <c r="C1462" s="8"/>
      <c r="D1462" s="7"/>
      <c r="E1462" s="27"/>
      <c r="F1462" s="27"/>
      <c r="G1462" s="7"/>
      <c r="H1462" s="28"/>
      <c r="I1462" s="28"/>
      <c r="J1462" s="28"/>
      <c r="K1462" s="28"/>
    </row>
    <row r="1463" spans="2:11" x14ac:dyDescent="0.25">
      <c r="B1463" s="25"/>
      <c r="C1463" s="8"/>
      <c r="D1463" s="7"/>
      <c r="E1463" s="27"/>
      <c r="F1463" s="27"/>
      <c r="G1463" s="7"/>
      <c r="H1463" s="28"/>
      <c r="I1463" s="28"/>
      <c r="J1463" s="28"/>
      <c r="K1463" s="28"/>
    </row>
    <row r="1464" spans="2:11" x14ac:dyDescent="0.25">
      <c r="B1464" s="25"/>
      <c r="C1464" s="8"/>
      <c r="D1464" s="7"/>
      <c r="E1464" s="27"/>
      <c r="F1464" s="27"/>
      <c r="G1464" s="7"/>
      <c r="H1464" s="28"/>
      <c r="I1464" s="28"/>
      <c r="J1464" s="28"/>
      <c r="K1464" s="28"/>
    </row>
    <row r="1465" spans="2:11" x14ac:dyDescent="0.25">
      <c r="B1465" s="25"/>
      <c r="C1465" s="8"/>
      <c r="D1465" s="7"/>
      <c r="E1465" s="27"/>
      <c r="F1465" s="27"/>
      <c r="G1465" s="7"/>
      <c r="H1465" s="28"/>
      <c r="I1465" s="28"/>
      <c r="J1465" s="28"/>
      <c r="K1465" s="28"/>
    </row>
    <row r="1466" spans="2:11" x14ac:dyDescent="0.25">
      <c r="B1466" s="25"/>
      <c r="C1466" s="8"/>
      <c r="D1466" s="7"/>
      <c r="E1466" s="27"/>
      <c r="F1466" s="27"/>
      <c r="G1466" s="7"/>
      <c r="H1466" s="28"/>
      <c r="I1466" s="28"/>
      <c r="J1466" s="28"/>
      <c r="K1466" s="28"/>
    </row>
    <row r="1467" spans="2:11" x14ac:dyDescent="0.25">
      <c r="B1467" s="25"/>
      <c r="C1467" s="8"/>
      <c r="D1467" s="7"/>
      <c r="E1467" s="27"/>
      <c r="F1467" s="27"/>
      <c r="G1467" s="7"/>
      <c r="H1467" s="28"/>
      <c r="I1467" s="28"/>
      <c r="J1467" s="28"/>
      <c r="K1467" s="28"/>
    </row>
    <row r="1468" spans="2:11" x14ac:dyDescent="0.25">
      <c r="B1468" s="25"/>
      <c r="C1468" s="8"/>
      <c r="D1468" s="7"/>
      <c r="E1468" s="27"/>
      <c r="F1468" s="27"/>
      <c r="G1468" s="7"/>
      <c r="H1468" s="28"/>
      <c r="I1468" s="28"/>
      <c r="J1468" s="28"/>
      <c r="K1468" s="28"/>
    </row>
    <row r="1469" spans="2:11" x14ac:dyDescent="0.25">
      <c r="B1469" s="25"/>
      <c r="C1469" s="8"/>
      <c r="D1469" s="7"/>
      <c r="E1469" s="27"/>
      <c r="F1469" s="27"/>
      <c r="G1469" s="7"/>
      <c r="H1469" s="28"/>
      <c r="I1469" s="28"/>
      <c r="J1469" s="28"/>
      <c r="K1469" s="28"/>
    </row>
    <row r="1470" spans="2:11" x14ac:dyDescent="0.25">
      <c r="B1470" s="25"/>
      <c r="C1470" s="8"/>
      <c r="D1470" s="7"/>
      <c r="E1470" s="27"/>
      <c r="F1470" s="27"/>
      <c r="G1470" s="7"/>
      <c r="H1470" s="28"/>
      <c r="I1470" s="28"/>
      <c r="J1470" s="28"/>
      <c r="K1470" s="28"/>
    </row>
    <row r="1471" spans="2:11" x14ac:dyDescent="0.25">
      <c r="B1471" s="25"/>
      <c r="C1471" s="8"/>
      <c r="D1471" s="7"/>
      <c r="E1471" s="27"/>
      <c r="F1471" s="27"/>
      <c r="G1471" s="7"/>
      <c r="H1471" s="28"/>
      <c r="I1471" s="28"/>
      <c r="J1471" s="28"/>
      <c r="K1471" s="28"/>
    </row>
    <row r="1472" spans="2:11" x14ac:dyDescent="0.25">
      <c r="B1472" s="25"/>
      <c r="C1472" s="8"/>
      <c r="D1472" s="7"/>
      <c r="E1472" s="27"/>
      <c r="F1472" s="27"/>
      <c r="G1472" s="7"/>
      <c r="H1472" s="28"/>
      <c r="I1472" s="28"/>
      <c r="J1472" s="28"/>
      <c r="K1472" s="28"/>
    </row>
    <row r="1473" spans="2:11" x14ac:dyDescent="0.25">
      <c r="B1473" s="25"/>
      <c r="C1473" s="8"/>
      <c r="D1473" s="7"/>
      <c r="E1473" s="27"/>
      <c r="F1473" s="27"/>
      <c r="G1473" s="7"/>
      <c r="H1473" s="28"/>
      <c r="I1473" s="28"/>
      <c r="J1473" s="28"/>
      <c r="K1473" s="28"/>
    </row>
    <row r="1474" spans="2:11" x14ac:dyDescent="0.25">
      <c r="B1474" s="25"/>
      <c r="C1474" s="8"/>
      <c r="D1474" s="7"/>
      <c r="E1474" s="27"/>
      <c r="F1474" s="27"/>
      <c r="G1474" s="7"/>
      <c r="H1474" s="28"/>
      <c r="I1474" s="28"/>
      <c r="J1474" s="28"/>
      <c r="K1474" s="28"/>
    </row>
    <row r="1475" spans="2:11" x14ac:dyDescent="0.25">
      <c r="B1475" s="25"/>
      <c r="C1475" s="8"/>
      <c r="D1475" s="7"/>
      <c r="E1475" s="27"/>
      <c r="F1475" s="27"/>
      <c r="G1475" s="7"/>
      <c r="H1475" s="28"/>
      <c r="I1475" s="28"/>
      <c r="J1475" s="28"/>
      <c r="K1475" s="28"/>
    </row>
    <row r="1476" spans="2:11" x14ac:dyDescent="0.25">
      <c r="B1476" s="25"/>
      <c r="C1476" s="8"/>
      <c r="D1476" s="7"/>
      <c r="E1476" s="27"/>
      <c r="F1476" s="27"/>
      <c r="G1476" s="7"/>
      <c r="H1476" s="28"/>
      <c r="I1476" s="28"/>
      <c r="J1476" s="28"/>
      <c r="K1476" s="28"/>
    </row>
    <row r="1477" spans="2:11" x14ac:dyDescent="0.25">
      <c r="B1477" s="25"/>
      <c r="C1477" s="8"/>
      <c r="D1477" s="7"/>
      <c r="E1477" s="27"/>
      <c r="F1477" s="27"/>
      <c r="G1477" s="7"/>
      <c r="H1477" s="28"/>
      <c r="I1477" s="28"/>
      <c r="J1477" s="28"/>
      <c r="K1477" s="28"/>
    </row>
    <row r="1478" spans="2:11" x14ac:dyDescent="0.25">
      <c r="B1478" s="25"/>
      <c r="C1478" s="8"/>
      <c r="D1478" s="7"/>
      <c r="E1478" s="27"/>
      <c r="F1478" s="27"/>
      <c r="G1478" s="7"/>
      <c r="H1478" s="28"/>
      <c r="I1478" s="28"/>
      <c r="J1478" s="28"/>
      <c r="K1478" s="28"/>
    </row>
    <row r="1479" spans="2:11" x14ac:dyDescent="0.25">
      <c r="B1479" s="25"/>
      <c r="C1479" s="8"/>
      <c r="D1479" s="7"/>
      <c r="E1479" s="27"/>
      <c r="F1479" s="27"/>
      <c r="G1479" s="7"/>
      <c r="H1479" s="28"/>
      <c r="I1479" s="28"/>
      <c r="J1479" s="28"/>
      <c r="K1479" s="28"/>
    </row>
    <row r="1480" spans="2:11" x14ac:dyDescent="0.25">
      <c r="B1480" s="25"/>
      <c r="C1480" s="8"/>
      <c r="D1480" s="7"/>
      <c r="E1480" s="27"/>
      <c r="F1480" s="27"/>
      <c r="G1480" s="7"/>
      <c r="H1480" s="28"/>
      <c r="I1480" s="28"/>
      <c r="J1480" s="28"/>
      <c r="K1480" s="28"/>
    </row>
    <row r="1481" spans="2:11" x14ac:dyDescent="0.25">
      <c r="B1481" s="25"/>
      <c r="C1481" s="8"/>
      <c r="D1481" s="7"/>
      <c r="E1481" s="27"/>
      <c r="F1481" s="27"/>
      <c r="G1481" s="7"/>
      <c r="H1481" s="28"/>
      <c r="I1481" s="28"/>
      <c r="J1481" s="28"/>
      <c r="K1481" s="28"/>
    </row>
    <row r="1482" spans="2:11" x14ac:dyDescent="0.25">
      <c r="B1482" s="25"/>
      <c r="C1482" s="8"/>
      <c r="D1482" s="7"/>
      <c r="E1482" s="27"/>
      <c r="F1482" s="27"/>
      <c r="G1482" s="7"/>
      <c r="H1482" s="28"/>
      <c r="I1482" s="28"/>
      <c r="J1482" s="28"/>
      <c r="K1482" s="28"/>
    </row>
    <row r="1483" spans="2:11" x14ac:dyDescent="0.25">
      <c r="B1483" s="25"/>
      <c r="C1483" s="8"/>
      <c r="D1483" s="7"/>
      <c r="E1483" s="27"/>
      <c r="F1483" s="27"/>
      <c r="G1483" s="7"/>
      <c r="H1483" s="28"/>
      <c r="I1483" s="28"/>
      <c r="J1483" s="28"/>
      <c r="K1483" s="28"/>
    </row>
    <row r="1484" spans="2:11" x14ac:dyDescent="0.25">
      <c r="B1484" s="25"/>
      <c r="C1484" s="8"/>
      <c r="D1484" s="7"/>
      <c r="E1484" s="27"/>
      <c r="F1484" s="27"/>
      <c r="G1484" s="7"/>
      <c r="H1484" s="28"/>
      <c r="I1484" s="28"/>
      <c r="J1484" s="28"/>
      <c r="K1484" s="28"/>
    </row>
    <row r="1485" spans="2:11" x14ac:dyDescent="0.25">
      <c r="B1485" s="25"/>
      <c r="C1485" s="8"/>
      <c r="D1485" s="7"/>
      <c r="E1485" s="27"/>
      <c r="F1485" s="27"/>
      <c r="G1485" s="7"/>
      <c r="H1485" s="28"/>
      <c r="I1485" s="28"/>
      <c r="J1485" s="28"/>
      <c r="K1485" s="28"/>
    </row>
    <row r="1486" spans="2:11" x14ac:dyDescent="0.25">
      <c r="B1486" s="25"/>
      <c r="C1486" s="8"/>
      <c r="D1486" s="7"/>
      <c r="E1486" s="27"/>
      <c r="F1486" s="27"/>
      <c r="G1486" s="7"/>
      <c r="H1486" s="28"/>
      <c r="I1486" s="28"/>
      <c r="J1486" s="28"/>
      <c r="K1486" s="28"/>
    </row>
    <row r="1487" spans="2:11" x14ac:dyDescent="0.25">
      <c r="B1487" s="25"/>
      <c r="C1487" s="8"/>
      <c r="D1487" s="7"/>
      <c r="E1487" s="27"/>
      <c r="F1487" s="27"/>
      <c r="G1487" s="7"/>
      <c r="H1487" s="28"/>
      <c r="I1487" s="28"/>
      <c r="J1487" s="28"/>
      <c r="K1487" s="28"/>
    </row>
    <row r="1488" spans="2:11" x14ac:dyDescent="0.25">
      <c r="B1488" s="25"/>
      <c r="C1488" s="8"/>
      <c r="D1488" s="7"/>
      <c r="E1488" s="27"/>
      <c r="F1488" s="27"/>
      <c r="G1488" s="7"/>
      <c r="H1488" s="28"/>
      <c r="I1488" s="28"/>
      <c r="J1488" s="28"/>
      <c r="K1488" s="28"/>
    </row>
    <row r="1489" spans="2:11" x14ac:dyDescent="0.25">
      <c r="B1489" s="25"/>
      <c r="C1489" s="8"/>
      <c r="D1489" s="7"/>
      <c r="E1489" s="27"/>
      <c r="F1489" s="27"/>
      <c r="G1489" s="7"/>
      <c r="H1489" s="28"/>
      <c r="I1489" s="28"/>
      <c r="J1489" s="28"/>
      <c r="K1489" s="28"/>
    </row>
    <row r="1490" spans="2:11" x14ac:dyDescent="0.25">
      <c r="B1490" s="25"/>
      <c r="C1490" s="8"/>
      <c r="D1490" s="7"/>
      <c r="E1490" s="27"/>
      <c r="F1490" s="27"/>
      <c r="G1490" s="7"/>
      <c r="H1490" s="28"/>
      <c r="I1490" s="28"/>
      <c r="J1490" s="28"/>
      <c r="K1490" s="28"/>
    </row>
    <row r="1491" spans="2:11" x14ac:dyDescent="0.25">
      <c r="B1491" s="25"/>
      <c r="C1491" s="8"/>
      <c r="D1491" s="7"/>
      <c r="E1491" s="27"/>
      <c r="F1491" s="27"/>
      <c r="G1491" s="7"/>
      <c r="H1491" s="28"/>
      <c r="I1491" s="28"/>
      <c r="J1491" s="28"/>
      <c r="K1491" s="28"/>
    </row>
    <row r="1492" spans="2:11" x14ac:dyDescent="0.25">
      <c r="B1492" s="25"/>
      <c r="C1492" s="8"/>
      <c r="D1492" s="7"/>
      <c r="E1492" s="27"/>
      <c r="F1492" s="27"/>
      <c r="G1492" s="7"/>
      <c r="H1492" s="28"/>
      <c r="I1492" s="28"/>
      <c r="J1492" s="28"/>
      <c r="K1492" s="28"/>
    </row>
    <row r="1493" spans="2:11" x14ac:dyDescent="0.25">
      <c r="B1493" s="25"/>
      <c r="C1493" s="8"/>
      <c r="D1493" s="7"/>
      <c r="E1493" s="27"/>
      <c r="F1493" s="27"/>
      <c r="G1493" s="7"/>
      <c r="H1493" s="28"/>
      <c r="I1493" s="28"/>
      <c r="J1493" s="28"/>
      <c r="K1493" s="28"/>
    </row>
    <row r="1494" spans="2:11" x14ac:dyDescent="0.25">
      <c r="B1494" s="25"/>
      <c r="C1494" s="8"/>
      <c r="D1494" s="7"/>
      <c r="E1494" s="27"/>
      <c r="F1494" s="27"/>
      <c r="G1494" s="7"/>
      <c r="H1494" s="28"/>
      <c r="I1494" s="28"/>
      <c r="J1494" s="28"/>
      <c r="K1494" s="28"/>
    </row>
    <row r="1495" spans="2:11" x14ac:dyDescent="0.25">
      <c r="B1495" s="25"/>
      <c r="C1495" s="8"/>
      <c r="D1495" s="7"/>
      <c r="E1495" s="27"/>
      <c r="F1495" s="27"/>
      <c r="G1495" s="7"/>
      <c r="H1495" s="28"/>
      <c r="I1495" s="28"/>
      <c r="J1495" s="28"/>
      <c r="K1495" s="28"/>
    </row>
    <row r="1496" spans="2:11" x14ac:dyDescent="0.25">
      <c r="B1496" s="25"/>
      <c r="C1496" s="8"/>
      <c r="D1496" s="7"/>
      <c r="E1496" s="27"/>
      <c r="F1496" s="27"/>
      <c r="G1496" s="7"/>
      <c r="H1496" s="28"/>
      <c r="I1496" s="28"/>
      <c r="J1496" s="28"/>
      <c r="K1496" s="28"/>
    </row>
    <row r="1497" spans="2:11" x14ac:dyDescent="0.25">
      <c r="B1497" s="25"/>
      <c r="C1497" s="8"/>
      <c r="D1497" s="7"/>
      <c r="E1497" s="27"/>
      <c r="F1497" s="27"/>
      <c r="G1497" s="7"/>
      <c r="H1497" s="28"/>
      <c r="I1497" s="28"/>
      <c r="J1497" s="28"/>
      <c r="K1497" s="28"/>
    </row>
    <row r="1498" spans="2:11" x14ac:dyDescent="0.25">
      <c r="B1498" s="25"/>
      <c r="C1498" s="8"/>
      <c r="D1498" s="7"/>
      <c r="E1498" s="27"/>
      <c r="F1498" s="27"/>
      <c r="G1498" s="7"/>
      <c r="H1498" s="28"/>
      <c r="I1498" s="28"/>
      <c r="J1498" s="28"/>
      <c r="K1498" s="28"/>
    </row>
    <row r="1499" spans="2:11" x14ac:dyDescent="0.25">
      <c r="B1499" s="25"/>
      <c r="C1499" s="8"/>
      <c r="D1499" s="7"/>
      <c r="E1499" s="27"/>
      <c r="F1499" s="27"/>
      <c r="G1499" s="7"/>
      <c r="H1499" s="28"/>
      <c r="I1499" s="28"/>
      <c r="J1499" s="28"/>
      <c r="K1499" s="28"/>
    </row>
    <row r="1500" spans="2:11" x14ac:dyDescent="0.25">
      <c r="B1500" s="25"/>
      <c r="C1500" s="8"/>
      <c r="D1500" s="7"/>
      <c r="E1500" s="27"/>
      <c r="F1500" s="27"/>
      <c r="G1500" s="7"/>
      <c r="H1500" s="28"/>
      <c r="I1500" s="28"/>
      <c r="J1500" s="28"/>
      <c r="K1500" s="28"/>
    </row>
    <row r="1501" spans="2:11" x14ac:dyDescent="0.25">
      <c r="B1501" s="25"/>
      <c r="C1501" s="8"/>
      <c r="D1501" s="7"/>
      <c r="E1501" s="27"/>
      <c r="F1501" s="27"/>
      <c r="G1501" s="7"/>
      <c r="H1501" s="28"/>
      <c r="I1501" s="28"/>
      <c r="J1501" s="28"/>
      <c r="K1501" s="28"/>
    </row>
    <row r="1502" spans="2:11" x14ac:dyDescent="0.25">
      <c r="B1502" s="25"/>
      <c r="C1502" s="8"/>
      <c r="D1502" s="7"/>
      <c r="E1502" s="27"/>
      <c r="F1502" s="27"/>
      <c r="G1502" s="7"/>
      <c r="H1502" s="28"/>
      <c r="I1502" s="28"/>
      <c r="J1502" s="28"/>
      <c r="K1502" s="28"/>
    </row>
    <row r="1503" spans="2:11" x14ac:dyDescent="0.25">
      <c r="B1503" s="25"/>
      <c r="C1503" s="8"/>
      <c r="D1503" s="7"/>
      <c r="E1503" s="27"/>
      <c r="F1503" s="27"/>
      <c r="G1503" s="7"/>
      <c r="H1503" s="28"/>
      <c r="I1503" s="28"/>
      <c r="J1503" s="28"/>
      <c r="K1503" s="28"/>
    </row>
    <row r="1504" spans="2:11" x14ac:dyDescent="0.25">
      <c r="B1504" s="25"/>
      <c r="C1504" s="8"/>
      <c r="D1504" s="7"/>
      <c r="E1504" s="27"/>
      <c r="F1504" s="27"/>
      <c r="G1504" s="7"/>
      <c r="H1504" s="28"/>
      <c r="I1504" s="28"/>
      <c r="J1504" s="28"/>
      <c r="K1504" s="28"/>
    </row>
    <row r="1505" spans="2:11" x14ac:dyDescent="0.25">
      <c r="B1505" s="25"/>
      <c r="C1505" s="8"/>
      <c r="D1505" s="7"/>
      <c r="E1505" s="27"/>
      <c r="F1505" s="27"/>
      <c r="G1505" s="7"/>
      <c r="H1505" s="28"/>
      <c r="I1505" s="28"/>
      <c r="J1505" s="28"/>
      <c r="K1505" s="28"/>
    </row>
    <row r="1506" spans="2:11" x14ac:dyDescent="0.25">
      <c r="B1506" s="25"/>
      <c r="C1506" s="8"/>
      <c r="D1506" s="7"/>
      <c r="E1506" s="27"/>
      <c r="F1506" s="27"/>
      <c r="G1506" s="7"/>
      <c r="H1506" s="28"/>
      <c r="I1506" s="28"/>
      <c r="J1506" s="28"/>
      <c r="K1506" s="28"/>
    </row>
    <row r="1507" spans="2:11" x14ac:dyDescent="0.25">
      <c r="B1507" s="25"/>
      <c r="C1507" s="8"/>
      <c r="D1507" s="7"/>
      <c r="E1507" s="27"/>
      <c r="F1507" s="27"/>
      <c r="G1507" s="7"/>
      <c r="H1507" s="28"/>
      <c r="I1507" s="28"/>
      <c r="J1507" s="28"/>
      <c r="K1507" s="28"/>
    </row>
    <row r="1508" spans="2:11" x14ac:dyDescent="0.25">
      <c r="B1508" s="25"/>
      <c r="C1508" s="8"/>
      <c r="D1508" s="7"/>
      <c r="E1508" s="27"/>
      <c r="F1508" s="27"/>
      <c r="G1508" s="7"/>
      <c r="H1508" s="28"/>
      <c r="I1508" s="28"/>
      <c r="J1508" s="28"/>
      <c r="K1508" s="28"/>
    </row>
    <row r="1509" spans="2:11" x14ac:dyDescent="0.25">
      <c r="B1509" s="25"/>
      <c r="C1509" s="8"/>
      <c r="D1509" s="7"/>
      <c r="E1509" s="27"/>
      <c r="F1509" s="27"/>
      <c r="G1509" s="7"/>
      <c r="H1509" s="28"/>
      <c r="I1509" s="28"/>
      <c r="J1509" s="28"/>
      <c r="K1509" s="28"/>
    </row>
    <row r="1510" spans="2:11" x14ac:dyDescent="0.25">
      <c r="B1510" s="25"/>
      <c r="C1510" s="8"/>
      <c r="D1510" s="7"/>
      <c r="E1510" s="27"/>
      <c r="F1510" s="27"/>
      <c r="G1510" s="7"/>
      <c r="H1510" s="28"/>
      <c r="I1510" s="28"/>
      <c r="J1510" s="28"/>
      <c r="K1510" s="28"/>
    </row>
    <row r="1511" spans="2:11" x14ac:dyDescent="0.25">
      <c r="B1511" s="25"/>
      <c r="C1511" s="8"/>
      <c r="D1511" s="7"/>
      <c r="E1511" s="27"/>
      <c r="F1511" s="27"/>
      <c r="G1511" s="7"/>
      <c r="H1511" s="28"/>
      <c r="I1511" s="28"/>
      <c r="J1511" s="28"/>
      <c r="K1511" s="28"/>
    </row>
    <row r="1512" spans="2:11" x14ac:dyDescent="0.25">
      <c r="B1512" s="25"/>
      <c r="C1512" s="8"/>
      <c r="D1512" s="7"/>
      <c r="E1512" s="27"/>
      <c r="F1512" s="27"/>
      <c r="G1512" s="7"/>
      <c r="H1512" s="28"/>
      <c r="I1512" s="28"/>
      <c r="J1512" s="28"/>
      <c r="K1512" s="28"/>
    </row>
    <row r="1513" spans="2:11" x14ac:dyDescent="0.25">
      <c r="B1513" s="25"/>
      <c r="C1513" s="8"/>
      <c r="D1513" s="7"/>
      <c r="E1513" s="27"/>
      <c r="F1513" s="27"/>
      <c r="G1513" s="7"/>
      <c r="H1513" s="28"/>
      <c r="I1513" s="28"/>
      <c r="J1513" s="28"/>
      <c r="K1513" s="28"/>
    </row>
    <row r="1514" spans="2:11" x14ac:dyDescent="0.25">
      <c r="B1514" s="25"/>
      <c r="C1514" s="8"/>
      <c r="D1514" s="7"/>
      <c r="E1514" s="27"/>
      <c r="F1514" s="27"/>
      <c r="G1514" s="7"/>
      <c r="H1514" s="28"/>
      <c r="I1514" s="28"/>
      <c r="J1514" s="28"/>
      <c r="K1514" s="28"/>
    </row>
    <row r="1515" spans="2:11" x14ac:dyDescent="0.25">
      <c r="B1515" s="25"/>
      <c r="C1515" s="8"/>
      <c r="D1515" s="7"/>
      <c r="E1515" s="27"/>
      <c r="F1515" s="27"/>
      <c r="G1515" s="7"/>
      <c r="H1515" s="28"/>
      <c r="I1515" s="28"/>
      <c r="J1515" s="28"/>
      <c r="K1515" s="28"/>
    </row>
    <row r="1516" spans="2:11" x14ac:dyDescent="0.25">
      <c r="B1516" s="25"/>
      <c r="C1516" s="8"/>
      <c r="D1516" s="7"/>
      <c r="E1516" s="27"/>
      <c r="F1516" s="27"/>
      <c r="G1516" s="7"/>
      <c r="H1516" s="28"/>
      <c r="I1516" s="28"/>
      <c r="J1516" s="28"/>
      <c r="K1516" s="28"/>
    </row>
    <row r="1517" spans="2:11" x14ac:dyDescent="0.25">
      <c r="B1517" s="25"/>
      <c r="C1517" s="8"/>
      <c r="D1517" s="7"/>
      <c r="E1517" s="27"/>
      <c r="F1517" s="27"/>
      <c r="G1517" s="7"/>
      <c r="H1517" s="28"/>
      <c r="I1517" s="28"/>
      <c r="J1517" s="28"/>
      <c r="K1517" s="28"/>
    </row>
    <row r="1518" spans="2:11" x14ac:dyDescent="0.25">
      <c r="B1518" s="25"/>
      <c r="C1518" s="8"/>
      <c r="D1518" s="7"/>
      <c r="E1518" s="27"/>
      <c r="F1518" s="27"/>
      <c r="G1518" s="7"/>
      <c r="H1518" s="28"/>
      <c r="I1518" s="28"/>
      <c r="J1518" s="28"/>
      <c r="K1518" s="28"/>
    </row>
    <row r="1519" spans="2:11" x14ac:dyDescent="0.25">
      <c r="B1519" s="25"/>
      <c r="C1519" s="8"/>
      <c r="D1519" s="7"/>
      <c r="E1519" s="27"/>
      <c r="F1519" s="27"/>
      <c r="G1519" s="7"/>
      <c r="H1519" s="28"/>
      <c r="I1519" s="28"/>
      <c r="J1519" s="28"/>
      <c r="K1519" s="28"/>
    </row>
    <row r="1520" spans="2:11" x14ac:dyDescent="0.25">
      <c r="B1520" s="25"/>
      <c r="C1520" s="8"/>
      <c r="D1520" s="7"/>
      <c r="E1520" s="27"/>
      <c r="F1520" s="27"/>
      <c r="G1520" s="7"/>
      <c r="H1520" s="28"/>
      <c r="I1520" s="28"/>
      <c r="J1520" s="28"/>
      <c r="K1520" s="28"/>
    </row>
    <row r="1521" spans="2:11" x14ac:dyDescent="0.25">
      <c r="B1521" s="25"/>
      <c r="C1521" s="8"/>
      <c r="D1521" s="7"/>
      <c r="E1521" s="27"/>
      <c r="F1521" s="27"/>
      <c r="G1521" s="7"/>
      <c r="H1521" s="28"/>
      <c r="I1521" s="28"/>
      <c r="J1521" s="28"/>
      <c r="K1521" s="28"/>
    </row>
    <row r="1522" spans="2:11" x14ac:dyDescent="0.25">
      <c r="B1522" s="25"/>
      <c r="C1522" s="8"/>
      <c r="D1522" s="7"/>
      <c r="E1522" s="27"/>
      <c r="F1522" s="27"/>
      <c r="G1522" s="7"/>
      <c r="H1522" s="28"/>
      <c r="I1522" s="28"/>
      <c r="J1522" s="28"/>
      <c r="K1522" s="28"/>
    </row>
    <row r="1523" spans="2:11" x14ac:dyDescent="0.25">
      <c r="B1523" s="25"/>
      <c r="C1523" s="8"/>
      <c r="D1523" s="7"/>
      <c r="E1523" s="27"/>
      <c r="F1523" s="27"/>
      <c r="G1523" s="7"/>
      <c r="H1523" s="28"/>
      <c r="I1523" s="28"/>
      <c r="J1523" s="28"/>
      <c r="K1523" s="28"/>
    </row>
    <row r="1524" spans="2:11" x14ac:dyDescent="0.25">
      <c r="B1524" s="25"/>
      <c r="C1524" s="8"/>
      <c r="D1524" s="7"/>
      <c r="E1524" s="27"/>
      <c r="F1524" s="27"/>
      <c r="G1524" s="7"/>
      <c r="H1524" s="28"/>
      <c r="I1524" s="28"/>
      <c r="J1524" s="28"/>
      <c r="K1524" s="28"/>
    </row>
    <row r="1525" spans="2:11" x14ac:dyDescent="0.25">
      <c r="B1525" s="25"/>
      <c r="C1525" s="8"/>
      <c r="D1525" s="7"/>
      <c r="E1525" s="27"/>
      <c r="F1525" s="27"/>
      <c r="G1525" s="7"/>
      <c r="H1525" s="28"/>
      <c r="I1525" s="28"/>
      <c r="J1525" s="28"/>
      <c r="K1525" s="28"/>
    </row>
    <row r="1526" spans="2:11" x14ac:dyDescent="0.25">
      <c r="B1526" s="25"/>
      <c r="C1526" s="8"/>
      <c r="D1526" s="7"/>
      <c r="E1526" s="27"/>
      <c r="F1526" s="27"/>
      <c r="G1526" s="7"/>
      <c r="H1526" s="28"/>
      <c r="I1526" s="28"/>
      <c r="J1526" s="28"/>
      <c r="K1526" s="28"/>
    </row>
    <row r="1527" spans="2:11" x14ac:dyDescent="0.25">
      <c r="B1527" s="25"/>
      <c r="C1527" s="8"/>
      <c r="D1527" s="7"/>
      <c r="E1527" s="27"/>
      <c r="F1527" s="27"/>
      <c r="G1527" s="7"/>
      <c r="H1527" s="28"/>
      <c r="I1527" s="28"/>
      <c r="J1527" s="28"/>
      <c r="K1527" s="28"/>
    </row>
    <row r="1528" spans="2:11" x14ac:dyDescent="0.25">
      <c r="B1528" s="25"/>
      <c r="C1528" s="8"/>
      <c r="D1528" s="7"/>
      <c r="E1528" s="27"/>
      <c r="F1528" s="27"/>
      <c r="G1528" s="7"/>
      <c r="H1528" s="28"/>
      <c r="I1528" s="28"/>
      <c r="J1528" s="28"/>
      <c r="K1528" s="28"/>
    </row>
    <row r="1529" spans="2:11" x14ac:dyDescent="0.25">
      <c r="B1529" s="25"/>
      <c r="C1529" s="8"/>
      <c r="D1529" s="7"/>
      <c r="E1529" s="27"/>
      <c r="F1529" s="27"/>
      <c r="G1529" s="7"/>
      <c r="H1529" s="28"/>
      <c r="I1529" s="28"/>
      <c r="J1529" s="28"/>
      <c r="K1529" s="28"/>
    </row>
    <row r="1530" spans="2:11" x14ac:dyDescent="0.25">
      <c r="B1530" s="25"/>
      <c r="C1530" s="8"/>
      <c r="D1530" s="7"/>
      <c r="E1530" s="27"/>
      <c r="F1530" s="27"/>
      <c r="G1530" s="7"/>
      <c r="H1530" s="28"/>
      <c r="I1530" s="28"/>
      <c r="J1530" s="28"/>
      <c r="K1530" s="28"/>
    </row>
    <row r="1531" spans="2:11" x14ac:dyDescent="0.25">
      <c r="B1531" s="25"/>
      <c r="C1531" s="8"/>
      <c r="D1531" s="7"/>
      <c r="E1531" s="27"/>
      <c r="F1531" s="27"/>
      <c r="G1531" s="7"/>
      <c r="H1531" s="28"/>
      <c r="I1531" s="28"/>
      <c r="J1531" s="28"/>
      <c r="K1531" s="28"/>
    </row>
    <row r="1532" spans="2:11" x14ac:dyDescent="0.25">
      <c r="B1532" s="25"/>
      <c r="C1532" s="8"/>
      <c r="D1532" s="7"/>
      <c r="E1532" s="27"/>
      <c r="F1532" s="27"/>
      <c r="G1532" s="7"/>
      <c r="H1532" s="28"/>
      <c r="I1532" s="28"/>
      <c r="J1532" s="28"/>
      <c r="K1532" s="28"/>
    </row>
    <row r="1533" spans="2:11" x14ac:dyDescent="0.25">
      <c r="B1533" s="25"/>
      <c r="C1533" s="8"/>
      <c r="D1533" s="7"/>
      <c r="E1533" s="27"/>
      <c r="F1533" s="27"/>
      <c r="G1533" s="7"/>
      <c r="H1533" s="28"/>
      <c r="I1533" s="28"/>
      <c r="J1533" s="28"/>
      <c r="K1533" s="28"/>
    </row>
    <row r="1534" spans="2:11" x14ac:dyDescent="0.25">
      <c r="B1534" s="25"/>
      <c r="C1534" s="8"/>
      <c r="D1534" s="7"/>
      <c r="E1534" s="27"/>
      <c r="F1534" s="27"/>
      <c r="G1534" s="7"/>
      <c r="H1534" s="28"/>
      <c r="I1534" s="28"/>
      <c r="J1534" s="28"/>
      <c r="K1534" s="28"/>
    </row>
    <row r="1535" spans="2:11" x14ac:dyDescent="0.25">
      <c r="B1535" s="25"/>
      <c r="C1535" s="8"/>
      <c r="D1535" s="7"/>
      <c r="E1535" s="27"/>
      <c r="F1535" s="27"/>
      <c r="G1535" s="7"/>
      <c r="H1535" s="28"/>
      <c r="I1535" s="28"/>
      <c r="J1535" s="28"/>
      <c r="K1535" s="28"/>
    </row>
    <row r="1536" spans="2:11" x14ac:dyDescent="0.25">
      <c r="B1536" s="25"/>
      <c r="C1536" s="8"/>
      <c r="D1536" s="7"/>
      <c r="E1536" s="27"/>
      <c r="F1536" s="27"/>
      <c r="G1536" s="7"/>
      <c r="H1536" s="28"/>
      <c r="I1536" s="28"/>
      <c r="J1536" s="28"/>
      <c r="K1536" s="28"/>
    </row>
    <row r="1537" spans="2:11" x14ac:dyDescent="0.25">
      <c r="B1537" s="25"/>
      <c r="C1537" s="8"/>
      <c r="D1537" s="7"/>
      <c r="E1537" s="27"/>
      <c r="F1537" s="27"/>
      <c r="G1537" s="7"/>
      <c r="H1537" s="28"/>
      <c r="I1537" s="28"/>
      <c r="J1537" s="28"/>
      <c r="K1537" s="28"/>
    </row>
    <row r="1538" spans="2:11" x14ac:dyDescent="0.25">
      <c r="B1538" s="25"/>
      <c r="C1538" s="8"/>
      <c r="D1538" s="7"/>
      <c r="E1538" s="27"/>
      <c r="F1538" s="27"/>
      <c r="G1538" s="7"/>
      <c r="H1538" s="28"/>
      <c r="I1538" s="28"/>
      <c r="J1538" s="28"/>
      <c r="K1538" s="28"/>
    </row>
    <row r="1539" spans="2:11" x14ac:dyDescent="0.25">
      <c r="B1539" s="25"/>
      <c r="C1539" s="8"/>
      <c r="D1539" s="7"/>
      <c r="E1539" s="27"/>
      <c r="F1539" s="27"/>
      <c r="G1539" s="7"/>
      <c r="H1539" s="28"/>
      <c r="I1539" s="28"/>
      <c r="J1539" s="28"/>
      <c r="K1539" s="28"/>
    </row>
    <row r="1540" spans="2:11" x14ac:dyDescent="0.25">
      <c r="B1540" s="25"/>
      <c r="C1540" s="8"/>
      <c r="D1540" s="7"/>
      <c r="E1540" s="27"/>
      <c r="F1540" s="27"/>
      <c r="G1540" s="7"/>
      <c r="H1540" s="28"/>
      <c r="I1540" s="28"/>
      <c r="J1540" s="28"/>
      <c r="K1540" s="28"/>
    </row>
    <row r="1541" spans="2:11" x14ac:dyDescent="0.25">
      <c r="B1541" s="25"/>
      <c r="C1541" s="8"/>
      <c r="D1541" s="7"/>
      <c r="E1541" s="27"/>
      <c r="F1541" s="27"/>
      <c r="G1541" s="7"/>
      <c r="H1541" s="28"/>
      <c r="I1541" s="28"/>
      <c r="J1541" s="28"/>
      <c r="K1541" s="28"/>
    </row>
    <row r="1542" spans="2:11" x14ac:dyDescent="0.25">
      <c r="B1542" s="25"/>
      <c r="C1542" s="8"/>
      <c r="D1542" s="7"/>
      <c r="E1542" s="27"/>
      <c r="F1542" s="27"/>
      <c r="G1542" s="7"/>
      <c r="H1542" s="28"/>
      <c r="I1542" s="28"/>
      <c r="J1542" s="28"/>
      <c r="K1542" s="28"/>
    </row>
    <row r="1543" spans="2:11" x14ac:dyDescent="0.25">
      <c r="B1543" s="25"/>
      <c r="C1543" s="8"/>
      <c r="D1543" s="7"/>
      <c r="E1543" s="27"/>
      <c r="F1543" s="27"/>
      <c r="G1543" s="7"/>
      <c r="H1543" s="28"/>
      <c r="I1543" s="28"/>
      <c r="J1543" s="28"/>
      <c r="K1543" s="28"/>
    </row>
    <row r="1544" spans="2:11" x14ac:dyDescent="0.25">
      <c r="B1544" s="25"/>
      <c r="C1544" s="8"/>
      <c r="D1544" s="7"/>
      <c r="E1544" s="27"/>
      <c r="F1544" s="27"/>
      <c r="G1544" s="7"/>
      <c r="H1544" s="28"/>
      <c r="I1544" s="28"/>
      <c r="J1544" s="28"/>
      <c r="K1544" s="28"/>
    </row>
    <row r="1545" spans="2:11" x14ac:dyDescent="0.25">
      <c r="B1545" s="25"/>
      <c r="C1545" s="8"/>
      <c r="D1545" s="7"/>
      <c r="E1545" s="27"/>
      <c r="F1545" s="27"/>
      <c r="G1545" s="7"/>
      <c r="H1545" s="28"/>
      <c r="I1545" s="28"/>
      <c r="J1545" s="28"/>
      <c r="K1545" s="28"/>
    </row>
    <row r="1546" spans="2:11" x14ac:dyDescent="0.25">
      <c r="B1546" s="25"/>
      <c r="C1546" s="8"/>
      <c r="D1546" s="7"/>
      <c r="E1546" s="27"/>
      <c r="F1546" s="27"/>
      <c r="G1546" s="7"/>
      <c r="H1546" s="28"/>
      <c r="I1546" s="28"/>
      <c r="J1546" s="28"/>
      <c r="K1546" s="28"/>
    </row>
    <row r="1547" spans="2:11" x14ac:dyDescent="0.25">
      <c r="B1547" s="25"/>
      <c r="C1547" s="8"/>
      <c r="D1547" s="7"/>
      <c r="E1547" s="27"/>
      <c r="F1547" s="27"/>
      <c r="G1547" s="7"/>
      <c r="H1547" s="28"/>
      <c r="I1547" s="28"/>
      <c r="J1547" s="28"/>
      <c r="K1547" s="28"/>
    </row>
    <row r="1548" spans="2:11" x14ac:dyDescent="0.25">
      <c r="B1548" s="25"/>
      <c r="C1548" s="8"/>
      <c r="D1548" s="7"/>
      <c r="E1548" s="27"/>
      <c r="F1548" s="27"/>
      <c r="G1548" s="7"/>
      <c r="H1548" s="28"/>
      <c r="I1548" s="28"/>
      <c r="J1548" s="28"/>
      <c r="K1548" s="28"/>
    </row>
    <row r="1549" spans="2:11" x14ac:dyDescent="0.25">
      <c r="B1549" s="25"/>
      <c r="C1549" s="8"/>
      <c r="D1549" s="7"/>
      <c r="E1549" s="27"/>
      <c r="F1549" s="27"/>
      <c r="G1549" s="7"/>
      <c r="H1549" s="28"/>
      <c r="I1549" s="28"/>
      <c r="J1549" s="28"/>
      <c r="K1549" s="28"/>
    </row>
    <row r="1550" spans="2:11" x14ac:dyDescent="0.25">
      <c r="B1550" s="25"/>
      <c r="C1550" s="8"/>
      <c r="D1550" s="7"/>
      <c r="E1550" s="27"/>
      <c r="F1550" s="27"/>
      <c r="G1550" s="7"/>
      <c r="H1550" s="28"/>
      <c r="I1550" s="28"/>
      <c r="J1550" s="28"/>
      <c r="K1550" s="28"/>
    </row>
    <row r="1551" spans="2:11" x14ac:dyDescent="0.25">
      <c r="B1551" s="25"/>
      <c r="C1551" s="8"/>
      <c r="D1551" s="7"/>
      <c r="E1551" s="27"/>
      <c r="F1551" s="27"/>
      <c r="G1551" s="7"/>
      <c r="H1551" s="28"/>
      <c r="I1551" s="28"/>
      <c r="J1551" s="28"/>
      <c r="K1551" s="28"/>
    </row>
    <row r="1552" spans="2:11" x14ac:dyDescent="0.25">
      <c r="B1552" s="25"/>
      <c r="C1552" s="8"/>
      <c r="D1552" s="7"/>
      <c r="E1552" s="27"/>
      <c r="F1552" s="27"/>
      <c r="G1552" s="7"/>
      <c r="H1552" s="28"/>
      <c r="I1552" s="28"/>
      <c r="J1552" s="28"/>
      <c r="K1552" s="28"/>
    </row>
    <row r="1553" spans="2:11" x14ac:dyDescent="0.25">
      <c r="B1553" s="25"/>
      <c r="C1553" s="8"/>
      <c r="D1553" s="7"/>
      <c r="E1553" s="27"/>
      <c r="F1553" s="27"/>
      <c r="G1553" s="7"/>
      <c r="H1553" s="28"/>
      <c r="I1553" s="28"/>
      <c r="J1553" s="28"/>
      <c r="K1553" s="28"/>
    </row>
    <row r="1554" spans="2:11" x14ac:dyDescent="0.25">
      <c r="B1554" s="25"/>
      <c r="C1554" s="8"/>
      <c r="D1554" s="7"/>
      <c r="E1554" s="27"/>
      <c r="F1554" s="27"/>
      <c r="G1554" s="7"/>
      <c r="H1554" s="28"/>
      <c r="I1554" s="28"/>
      <c r="J1554" s="28"/>
      <c r="K1554" s="28"/>
    </row>
    <row r="1555" spans="2:11" x14ac:dyDescent="0.25">
      <c r="B1555" s="25"/>
      <c r="C1555" s="8"/>
      <c r="D1555" s="7"/>
      <c r="E1555" s="27"/>
      <c r="F1555" s="27"/>
      <c r="G1555" s="7"/>
      <c r="H1555" s="28"/>
      <c r="I1555" s="28"/>
      <c r="J1555" s="28"/>
      <c r="K1555" s="28"/>
    </row>
    <row r="1556" spans="2:11" x14ac:dyDescent="0.25">
      <c r="B1556" s="25"/>
      <c r="C1556" s="8"/>
      <c r="D1556" s="7"/>
      <c r="E1556" s="27"/>
      <c r="F1556" s="27"/>
      <c r="G1556" s="7"/>
      <c r="H1556" s="28"/>
      <c r="I1556" s="28"/>
      <c r="J1556" s="28"/>
      <c r="K1556" s="28"/>
    </row>
    <row r="1557" spans="2:11" x14ac:dyDescent="0.25">
      <c r="B1557" s="25"/>
      <c r="C1557" s="8"/>
      <c r="D1557" s="7"/>
      <c r="E1557" s="27"/>
      <c r="F1557" s="27"/>
      <c r="G1557" s="7"/>
      <c r="H1557" s="28"/>
      <c r="I1557" s="28"/>
      <c r="J1557" s="28"/>
      <c r="K1557" s="28"/>
    </row>
    <row r="1558" spans="2:11" x14ac:dyDescent="0.25">
      <c r="B1558" s="25"/>
      <c r="C1558" s="8"/>
      <c r="D1558" s="7"/>
      <c r="E1558" s="27"/>
      <c r="F1558" s="27"/>
      <c r="G1558" s="7"/>
      <c r="H1558" s="28"/>
      <c r="I1558" s="28"/>
      <c r="J1558" s="28"/>
      <c r="K1558" s="28"/>
    </row>
    <row r="1559" spans="2:11" x14ac:dyDescent="0.25">
      <c r="B1559" s="25"/>
      <c r="C1559" s="8"/>
      <c r="D1559" s="7"/>
      <c r="E1559" s="27"/>
      <c r="F1559" s="27"/>
      <c r="G1559" s="7"/>
      <c r="H1559" s="28"/>
      <c r="I1559" s="28"/>
      <c r="J1559" s="28"/>
      <c r="K1559" s="28"/>
    </row>
    <row r="1560" spans="2:11" x14ac:dyDescent="0.25">
      <c r="B1560" s="25"/>
      <c r="C1560" s="8"/>
      <c r="D1560" s="7"/>
      <c r="E1560" s="27"/>
      <c r="F1560" s="27"/>
      <c r="G1560" s="7"/>
      <c r="H1560" s="28"/>
      <c r="I1560" s="28"/>
      <c r="J1560" s="28"/>
      <c r="K1560" s="28"/>
    </row>
    <row r="1561" spans="2:11" x14ac:dyDescent="0.25">
      <c r="B1561" s="25"/>
      <c r="C1561" s="8"/>
      <c r="D1561" s="7"/>
      <c r="E1561" s="27"/>
      <c r="F1561" s="27"/>
      <c r="G1561" s="7"/>
      <c r="H1561" s="28"/>
      <c r="I1561" s="28"/>
      <c r="J1561" s="28"/>
      <c r="K1561" s="28"/>
    </row>
    <row r="1562" spans="2:11" x14ac:dyDescent="0.25">
      <c r="B1562" s="25"/>
      <c r="C1562" s="8"/>
      <c r="D1562" s="7"/>
      <c r="E1562" s="27"/>
      <c r="F1562" s="27"/>
      <c r="G1562" s="7"/>
      <c r="H1562" s="28"/>
      <c r="I1562" s="28"/>
      <c r="J1562" s="28"/>
      <c r="K1562" s="28"/>
    </row>
    <row r="1563" spans="2:11" x14ac:dyDescent="0.25">
      <c r="B1563" s="25"/>
      <c r="C1563" s="8"/>
      <c r="D1563" s="7"/>
      <c r="E1563" s="27"/>
      <c r="F1563" s="27"/>
      <c r="G1563" s="7"/>
      <c r="H1563" s="28"/>
      <c r="I1563" s="28"/>
      <c r="J1563" s="28"/>
      <c r="K1563" s="28"/>
    </row>
    <row r="1564" spans="2:11" x14ac:dyDescent="0.25">
      <c r="B1564" s="25"/>
      <c r="C1564" s="8"/>
      <c r="D1564" s="7"/>
      <c r="E1564" s="27"/>
      <c r="F1564" s="27"/>
      <c r="G1564" s="7"/>
      <c r="H1564" s="28"/>
      <c r="I1564" s="28"/>
      <c r="J1564" s="28"/>
      <c r="K1564" s="28"/>
    </row>
    <row r="1565" spans="2:11" x14ac:dyDescent="0.25">
      <c r="B1565" s="25"/>
      <c r="C1565" s="8"/>
      <c r="D1565" s="7"/>
      <c r="E1565" s="27"/>
      <c r="F1565" s="27"/>
      <c r="G1565" s="7"/>
      <c r="H1565" s="28"/>
      <c r="I1565" s="28"/>
      <c r="J1565" s="28"/>
      <c r="K1565" s="28"/>
    </row>
    <row r="1566" spans="2:11" x14ac:dyDescent="0.25">
      <c r="B1566" s="25"/>
      <c r="C1566" s="8"/>
      <c r="D1566" s="7"/>
      <c r="E1566" s="27"/>
      <c r="F1566" s="27"/>
      <c r="G1566" s="7"/>
      <c r="H1566" s="28"/>
      <c r="I1566" s="28"/>
      <c r="J1566" s="28"/>
      <c r="K1566" s="28"/>
    </row>
    <row r="1567" spans="2:11" x14ac:dyDescent="0.25">
      <c r="B1567" s="25"/>
      <c r="C1567" s="8"/>
      <c r="D1567" s="7"/>
      <c r="E1567" s="27"/>
      <c r="F1567" s="27"/>
      <c r="G1567" s="7"/>
      <c r="H1567" s="28"/>
      <c r="I1567" s="28"/>
      <c r="J1567" s="28"/>
      <c r="K1567" s="28"/>
    </row>
    <row r="1568" spans="2:11" x14ac:dyDescent="0.25">
      <c r="B1568" s="25"/>
      <c r="C1568" s="8"/>
      <c r="D1568" s="7"/>
      <c r="E1568" s="27"/>
      <c r="F1568" s="27"/>
      <c r="G1568" s="7"/>
      <c r="H1568" s="28"/>
      <c r="I1568" s="28"/>
      <c r="J1568" s="28"/>
      <c r="K1568" s="28"/>
    </row>
    <row r="1569" spans="2:11" x14ac:dyDescent="0.25">
      <c r="B1569" s="25"/>
      <c r="C1569" s="8"/>
      <c r="D1569" s="7"/>
      <c r="E1569" s="27"/>
      <c r="F1569" s="27"/>
      <c r="G1569" s="7"/>
      <c r="H1569" s="28"/>
      <c r="I1569" s="28"/>
      <c r="J1569" s="28"/>
      <c r="K1569" s="28"/>
    </row>
    <row r="1570" spans="2:11" x14ac:dyDescent="0.25">
      <c r="B1570" s="25"/>
      <c r="C1570" s="8"/>
      <c r="D1570" s="7"/>
      <c r="E1570" s="27"/>
      <c r="F1570" s="27"/>
      <c r="G1570" s="7"/>
      <c r="H1570" s="28"/>
      <c r="I1570" s="28"/>
      <c r="J1570" s="28"/>
      <c r="K1570" s="28"/>
    </row>
    <row r="1571" spans="2:11" x14ac:dyDescent="0.25">
      <c r="B1571" s="25"/>
      <c r="C1571" s="8"/>
      <c r="D1571" s="7"/>
      <c r="E1571" s="27"/>
      <c r="F1571" s="27"/>
      <c r="G1571" s="7"/>
      <c r="H1571" s="28"/>
      <c r="I1571" s="28"/>
      <c r="J1571" s="28"/>
      <c r="K1571" s="28"/>
    </row>
    <row r="1572" spans="2:11" x14ac:dyDescent="0.25">
      <c r="B1572" s="25"/>
      <c r="C1572" s="8"/>
      <c r="D1572" s="7"/>
      <c r="E1572" s="27"/>
      <c r="F1572" s="27"/>
      <c r="G1572" s="7"/>
      <c r="H1572" s="28"/>
      <c r="I1572" s="28"/>
      <c r="J1572" s="28"/>
      <c r="K1572" s="28"/>
    </row>
    <row r="1573" spans="2:11" x14ac:dyDescent="0.25">
      <c r="B1573" s="25"/>
      <c r="C1573" s="8"/>
      <c r="D1573" s="7"/>
      <c r="E1573" s="27"/>
      <c r="F1573" s="27"/>
      <c r="G1573" s="7"/>
      <c r="H1573" s="28"/>
      <c r="I1573" s="28"/>
      <c r="J1573" s="28"/>
      <c r="K1573" s="28"/>
    </row>
    <row r="1574" spans="2:11" x14ac:dyDescent="0.25">
      <c r="B1574" s="25"/>
      <c r="C1574" s="8"/>
      <c r="D1574" s="7"/>
      <c r="E1574" s="27"/>
      <c r="F1574" s="27"/>
      <c r="G1574" s="7"/>
      <c r="H1574" s="28"/>
      <c r="I1574" s="28"/>
      <c r="J1574" s="28"/>
      <c r="K1574" s="28"/>
    </row>
    <row r="1575" spans="2:11" x14ac:dyDescent="0.25">
      <c r="B1575" s="25"/>
      <c r="C1575" s="8"/>
      <c r="D1575" s="7"/>
      <c r="E1575" s="27"/>
      <c r="F1575" s="27"/>
      <c r="G1575" s="7"/>
      <c r="H1575" s="28"/>
      <c r="I1575" s="28"/>
      <c r="J1575" s="28"/>
      <c r="K1575" s="28"/>
    </row>
    <row r="1576" spans="2:11" x14ac:dyDescent="0.25">
      <c r="B1576" s="25"/>
      <c r="C1576" s="8"/>
      <c r="D1576" s="7"/>
      <c r="E1576" s="27"/>
      <c r="F1576" s="27"/>
      <c r="G1576" s="7"/>
      <c r="H1576" s="28"/>
      <c r="I1576" s="28"/>
      <c r="J1576" s="28"/>
      <c r="K1576" s="28"/>
    </row>
    <row r="1577" spans="2:11" x14ac:dyDescent="0.25">
      <c r="B1577" s="25"/>
      <c r="C1577" s="8"/>
      <c r="D1577" s="7"/>
      <c r="E1577" s="27"/>
      <c r="F1577" s="27"/>
      <c r="G1577" s="7"/>
      <c r="H1577" s="28"/>
      <c r="I1577" s="28"/>
      <c r="J1577" s="28"/>
      <c r="K1577" s="28"/>
    </row>
    <row r="1578" spans="2:11" x14ac:dyDescent="0.25">
      <c r="B1578" s="25"/>
      <c r="C1578" s="8"/>
      <c r="D1578" s="7"/>
      <c r="E1578" s="27"/>
      <c r="F1578" s="27"/>
      <c r="G1578" s="7"/>
      <c r="H1578" s="28"/>
      <c r="I1578" s="28"/>
      <c r="J1578" s="28"/>
      <c r="K1578" s="28"/>
    </row>
    <row r="1579" spans="2:11" x14ac:dyDescent="0.25">
      <c r="B1579" s="25"/>
      <c r="C1579" s="8"/>
      <c r="D1579" s="7"/>
      <c r="E1579" s="27"/>
      <c r="F1579" s="27"/>
      <c r="G1579" s="7"/>
      <c r="H1579" s="28"/>
      <c r="I1579" s="28"/>
      <c r="J1579" s="28"/>
      <c r="K1579" s="28"/>
    </row>
    <row r="1580" spans="2:11" x14ac:dyDescent="0.25">
      <c r="B1580" s="25"/>
      <c r="C1580" s="8"/>
      <c r="D1580" s="7"/>
      <c r="E1580" s="27"/>
      <c r="F1580" s="27"/>
      <c r="G1580" s="7"/>
      <c r="H1580" s="28"/>
      <c r="I1580" s="28"/>
      <c r="J1580" s="28"/>
      <c r="K1580" s="28"/>
    </row>
    <row r="1581" spans="2:11" x14ac:dyDescent="0.25">
      <c r="B1581" s="25"/>
      <c r="C1581" s="8"/>
      <c r="D1581" s="7"/>
      <c r="E1581" s="27"/>
      <c r="F1581" s="27"/>
      <c r="G1581" s="7"/>
      <c r="H1581" s="28"/>
      <c r="I1581" s="28"/>
      <c r="J1581" s="28"/>
      <c r="K1581" s="28"/>
    </row>
    <row r="1582" spans="2:11" x14ac:dyDescent="0.25">
      <c r="B1582" s="25"/>
      <c r="C1582" s="8"/>
      <c r="D1582" s="7"/>
      <c r="E1582" s="27"/>
      <c r="F1582" s="27"/>
      <c r="G1582" s="7"/>
      <c r="H1582" s="28"/>
      <c r="I1582" s="28"/>
      <c r="J1582" s="28"/>
      <c r="K1582" s="28"/>
    </row>
    <row r="1583" spans="2:11" x14ac:dyDescent="0.25">
      <c r="B1583" s="25"/>
      <c r="C1583" s="8"/>
      <c r="D1583" s="7"/>
      <c r="E1583" s="27"/>
      <c r="F1583" s="27"/>
      <c r="G1583" s="7"/>
      <c r="H1583" s="28"/>
      <c r="I1583" s="28"/>
      <c r="J1583" s="28"/>
      <c r="K1583" s="28"/>
    </row>
    <row r="1584" spans="2:11" x14ac:dyDescent="0.25">
      <c r="B1584" s="25"/>
      <c r="C1584" s="8"/>
      <c r="D1584" s="7"/>
      <c r="E1584" s="27"/>
      <c r="F1584" s="27"/>
      <c r="G1584" s="7"/>
      <c r="H1584" s="28"/>
      <c r="I1584" s="28"/>
      <c r="J1584" s="28"/>
      <c r="K1584" s="28"/>
    </row>
    <row r="1585" spans="2:11" x14ac:dyDescent="0.25">
      <c r="B1585" s="25"/>
      <c r="C1585" s="8"/>
      <c r="D1585" s="7"/>
      <c r="E1585" s="27"/>
      <c r="F1585" s="27"/>
      <c r="G1585" s="7"/>
      <c r="H1585" s="28"/>
      <c r="I1585" s="28"/>
      <c r="J1585" s="28"/>
      <c r="K1585" s="28"/>
    </row>
    <row r="1586" spans="2:11" x14ac:dyDescent="0.25">
      <c r="B1586" s="25"/>
      <c r="C1586" s="8"/>
      <c r="D1586" s="7"/>
      <c r="E1586" s="27"/>
      <c r="F1586" s="27"/>
      <c r="G1586" s="7"/>
      <c r="H1586" s="28"/>
      <c r="I1586" s="28"/>
      <c r="J1586" s="28"/>
      <c r="K1586" s="28"/>
    </row>
    <row r="1587" spans="2:11" x14ac:dyDescent="0.25">
      <c r="B1587" s="25"/>
      <c r="C1587" s="8"/>
      <c r="D1587" s="7"/>
      <c r="E1587" s="27"/>
      <c r="F1587" s="27"/>
      <c r="G1587" s="7"/>
      <c r="H1587" s="28"/>
      <c r="I1587" s="28"/>
      <c r="J1587" s="28"/>
      <c r="K1587" s="28"/>
    </row>
    <row r="1588" spans="2:11" x14ac:dyDescent="0.25">
      <c r="B1588" s="25"/>
      <c r="C1588" s="8"/>
      <c r="D1588" s="7"/>
      <c r="E1588" s="27"/>
      <c r="F1588" s="27"/>
      <c r="G1588" s="7"/>
      <c r="H1588" s="28"/>
      <c r="I1588" s="28"/>
      <c r="J1588" s="28"/>
      <c r="K1588" s="28"/>
    </row>
    <row r="1589" spans="2:11" x14ac:dyDescent="0.25">
      <c r="B1589" s="25"/>
      <c r="C1589" s="8"/>
      <c r="D1589" s="7"/>
      <c r="E1589" s="27"/>
      <c r="F1589" s="27"/>
      <c r="G1589" s="7"/>
      <c r="H1589" s="28"/>
      <c r="I1589" s="28"/>
      <c r="J1589" s="28"/>
      <c r="K1589" s="28"/>
    </row>
    <row r="1590" spans="2:11" x14ac:dyDescent="0.25">
      <c r="B1590" s="25"/>
      <c r="C1590" s="8"/>
      <c r="D1590" s="7"/>
      <c r="E1590" s="27"/>
      <c r="F1590" s="27"/>
      <c r="G1590" s="7"/>
      <c r="H1590" s="28"/>
      <c r="I1590" s="28"/>
      <c r="J1590" s="28"/>
      <c r="K1590" s="28"/>
    </row>
    <row r="1591" spans="2:11" x14ac:dyDescent="0.25">
      <c r="B1591" s="25"/>
      <c r="C1591" s="8"/>
      <c r="D1591" s="7"/>
      <c r="E1591" s="27"/>
      <c r="F1591" s="27"/>
      <c r="G1591" s="7"/>
      <c r="H1591" s="28"/>
      <c r="I1591" s="28"/>
      <c r="J1591" s="28"/>
      <c r="K1591" s="28"/>
    </row>
    <row r="1592" spans="2:11" x14ac:dyDescent="0.25">
      <c r="B1592" s="25"/>
      <c r="C1592" s="8"/>
      <c r="D1592" s="7"/>
      <c r="E1592" s="27"/>
      <c r="F1592" s="27"/>
      <c r="G1592" s="7"/>
      <c r="H1592" s="28"/>
      <c r="I1592" s="28"/>
      <c r="J1592" s="28"/>
      <c r="K1592" s="28"/>
    </row>
    <row r="1593" spans="2:11" x14ac:dyDescent="0.25">
      <c r="B1593" s="25"/>
      <c r="C1593" s="8"/>
      <c r="D1593" s="7"/>
      <c r="E1593" s="27"/>
      <c r="F1593" s="27"/>
      <c r="G1593" s="7"/>
      <c r="H1593" s="28"/>
      <c r="I1593" s="28"/>
      <c r="J1593" s="28"/>
      <c r="K1593" s="28"/>
    </row>
    <row r="1594" spans="2:11" x14ac:dyDescent="0.25">
      <c r="B1594" s="25"/>
      <c r="C1594" s="8"/>
      <c r="D1594" s="7"/>
      <c r="E1594" s="27"/>
      <c r="F1594" s="27"/>
      <c r="G1594" s="7"/>
      <c r="H1594" s="28"/>
      <c r="I1594" s="28"/>
      <c r="J1594" s="28"/>
      <c r="K1594" s="28"/>
    </row>
    <row r="1595" spans="2:11" x14ac:dyDescent="0.25">
      <c r="B1595" s="25"/>
      <c r="C1595" s="8"/>
      <c r="D1595" s="7"/>
      <c r="E1595" s="27"/>
      <c r="F1595" s="27"/>
      <c r="G1595" s="7"/>
      <c r="H1595" s="28"/>
      <c r="I1595" s="28"/>
      <c r="J1595" s="28"/>
      <c r="K1595" s="28"/>
    </row>
    <row r="1596" spans="2:11" x14ac:dyDescent="0.25">
      <c r="B1596" s="25"/>
      <c r="C1596" s="8"/>
      <c r="D1596" s="7"/>
      <c r="E1596" s="27"/>
      <c r="F1596" s="27"/>
      <c r="G1596" s="7"/>
      <c r="H1596" s="28"/>
      <c r="I1596" s="28"/>
      <c r="J1596" s="28"/>
      <c r="K1596" s="28"/>
    </row>
    <row r="1597" spans="2:11" x14ac:dyDescent="0.25">
      <c r="B1597" s="25"/>
      <c r="C1597" s="8"/>
      <c r="D1597" s="7"/>
      <c r="E1597" s="27"/>
      <c r="F1597" s="27"/>
      <c r="G1597" s="7"/>
      <c r="H1597" s="28"/>
      <c r="I1597" s="28"/>
      <c r="J1597" s="28"/>
      <c r="K1597" s="28"/>
    </row>
    <row r="1598" spans="2:11" x14ac:dyDescent="0.25">
      <c r="B1598" s="25"/>
      <c r="C1598" s="8"/>
      <c r="D1598" s="7"/>
      <c r="E1598" s="27"/>
      <c r="F1598" s="27"/>
      <c r="G1598" s="7"/>
      <c r="H1598" s="28"/>
      <c r="I1598" s="28"/>
      <c r="J1598" s="28"/>
      <c r="K1598" s="28"/>
    </row>
    <row r="1599" spans="2:11" x14ac:dyDescent="0.25">
      <c r="B1599" s="25"/>
      <c r="C1599" s="8"/>
      <c r="D1599" s="7"/>
      <c r="E1599" s="27"/>
      <c r="F1599" s="27"/>
      <c r="G1599" s="7"/>
      <c r="H1599" s="28"/>
      <c r="I1599" s="28"/>
      <c r="J1599" s="28"/>
      <c r="K1599" s="28"/>
    </row>
    <row r="1600" spans="2:11" x14ac:dyDescent="0.25">
      <c r="B1600" s="25"/>
      <c r="C1600" s="8"/>
      <c r="D1600" s="7"/>
      <c r="E1600" s="27"/>
      <c r="F1600" s="27"/>
      <c r="G1600" s="7"/>
      <c r="H1600" s="28"/>
      <c r="I1600" s="28"/>
      <c r="J1600" s="28"/>
      <c r="K1600" s="28"/>
    </row>
    <row r="1601" spans="2:11" x14ac:dyDescent="0.25">
      <c r="B1601" s="25"/>
      <c r="C1601" s="8"/>
      <c r="D1601" s="7"/>
      <c r="E1601" s="27"/>
      <c r="F1601" s="27"/>
      <c r="G1601" s="7"/>
      <c r="H1601" s="28"/>
      <c r="I1601" s="28"/>
      <c r="J1601" s="28"/>
      <c r="K1601" s="28"/>
    </row>
    <row r="1602" spans="2:11" x14ac:dyDescent="0.25">
      <c r="B1602" s="25"/>
      <c r="C1602" s="8"/>
      <c r="D1602" s="7"/>
      <c r="E1602" s="27"/>
      <c r="F1602" s="27"/>
      <c r="G1602" s="7"/>
      <c r="H1602" s="28"/>
      <c r="I1602" s="28"/>
      <c r="J1602" s="28"/>
      <c r="K1602" s="28"/>
    </row>
    <row r="1603" spans="2:11" x14ac:dyDescent="0.25">
      <c r="B1603" s="25"/>
      <c r="C1603" s="8"/>
      <c r="D1603" s="7"/>
      <c r="E1603" s="27"/>
      <c r="F1603" s="27"/>
      <c r="G1603" s="7"/>
      <c r="H1603" s="28"/>
      <c r="I1603" s="28"/>
      <c r="J1603" s="28"/>
      <c r="K1603" s="28"/>
    </row>
    <row r="1604" spans="2:11" x14ac:dyDescent="0.25">
      <c r="B1604" s="25"/>
      <c r="C1604" s="8"/>
      <c r="D1604" s="7"/>
      <c r="E1604" s="27"/>
      <c r="F1604" s="27"/>
      <c r="G1604" s="7"/>
      <c r="H1604" s="28"/>
      <c r="I1604" s="28"/>
      <c r="J1604" s="28"/>
      <c r="K1604" s="28"/>
    </row>
    <row r="1605" spans="2:11" x14ac:dyDescent="0.25">
      <c r="B1605" s="25"/>
      <c r="C1605" s="8"/>
      <c r="D1605" s="7"/>
      <c r="E1605" s="27"/>
      <c r="F1605" s="27"/>
      <c r="G1605" s="7"/>
      <c r="H1605" s="28"/>
      <c r="I1605" s="28"/>
      <c r="J1605" s="28"/>
      <c r="K1605" s="28"/>
    </row>
    <row r="1606" spans="2:11" x14ac:dyDescent="0.25">
      <c r="B1606" s="25"/>
      <c r="C1606" s="8"/>
      <c r="D1606" s="7"/>
      <c r="E1606" s="27"/>
      <c r="F1606" s="27"/>
      <c r="G1606" s="7"/>
      <c r="H1606" s="28"/>
      <c r="I1606" s="28"/>
      <c r="J1606" s="28"/>
      <c r="K1606" s="28"/>
    </row>
    <row r="1607" spans="2:11" x14ac:dyDescent="0.25">
      <c r="B1607" s="25"/>
      <c r="C1607" s="8"/>
      <c r="D1607" s="7"/>
      <c r="E1607" s="27"/>
      <c r="F1607" s="27"/>
      <c r="G1607" s="7"/>
      <c r="H1607" s="28"/>
      <c r="I1607" s="28"/>
      <c r="J1607" s="28"/>
      <c r="K1607" s="28"/>
    </row>
    <row r="1608" spans="2:11" x14ac:dyDescent="0.25">
      <c r="B1608" s="25"/>
      <c r="C1608" s="8"/>
      <c r="D1608" s="7"/>
      <c r="E1608" s="27"/>
      <c r="F1608" s="27"/>
      <c r="G1608" s="7"/>
      <c r="H1608" s="28"/>
      <c r="I1608" s="28"/>
      <c r="J1608" s="28"/>
      <c r="K1608" s="28"/>
    </row>
    <row r="1609" spans="2:11" x14ac:dyDescent="0.25">
      <c r="B1609" s="25"/>
      <c r="C1609" s="8"/>
      <c r="D1609" s="7"/>
      <c r="E1609" s="27"/>
      <c r="F1609" s="27"/>
      <c r="G1609" s="7"/>
      <c r="H1609" s="28"/>
      <c r="I1609" s="28"/>
      <c r="J1609" s="28"/>
      <c r="K1609" s="28"/>
    </row>
    <row r="1610" spans="2:11" x14ac:dyDescent="0.25">
      <c r="B1610" s="25"/>
      <c r="C1610" s="8"/>
      <c r="D1610" s="7"/>
      <c r="E1610" s="27"/>
      <c r="F1610" s="27"/>
      <c r="G1610" s="7"/>
      <c r="H1610" s="28"/>
      <c r="I1610" s="28"/>
      <c r="J1610" s="28"/>
      <c r="K1610" s="28"/>
    </row>
    <row r="1611" spans="2:11" x14ac:dyDescent="0.25">
      <c r="B1611" s="25"/>
      <c r="C1611" s="8"/>
      <c r="D1611" s="7"/>
      <c r="E1611" s="27"/>
      <c r="F1611" s="27"/>
      <c r="G1611" s="7"/>
      <c r="H1611" s="28"/>
      <c r="I1611" s="28"/>
      <c r="J1611" s="28"/>
      <c r="K1611" s="28"/>
    </row>
    <row r="1612" spans="2:11" x14ac:dyDescent="0.25">
      <c r="B1612" s="25"/>
      <c r="C1612" s="8"/>
      <c r="D1612" s="7"/>
      <c r="E1612" s="27"/>
      <c r="F1612" s="27"/>
      <c r="G1612" s="7"/>
      <c r="H1612" s="28"/>
      <c r="I1612" s="28"/>
      <c r="J1612" s="28"/>
      <c r="K1612" s="28"/>
    </row>
    <row r="1613" spans="2:11" x14ac:dyDescent="0.25">
      <c r="B1613" s="25"/>
      <c r="C1613" s="8"/>
      <c r="D1613" s="7"/>
      <c r="E1613" s="27"/>
      <c r="F1613" s="27"/>
      <c r="G1613" s="7"/>
      <c r="H1613" s="28"/>
      <c r="I1613" s="28"/>
      <c r="J1613" s="28"/>
      <c r="K1613" s="28"/>
    </row>
    <row r="1614" spans="2:11" x14ac:dyDescent="0.25">
      <c r="B1614" s="25"/>
      <c r="C1614" s="8"/>
      <c r="D1614" s="7"/>
      <c r="E1614" s="27"/>
      <c r="F1614" s="27"/>
      <c r="G1614" s="7"/>
      <c r="H1614" s="28"/>
      <c r="I1614" s="28"/>
      <c r="J1614" s="28"/>
      <c r="K1614" s="28"/>
    </row>
    <row r="1615" spans="2:11" x14ac:dyDescent="0.25">
      <c r="B1615" s="25"/>
      <c r="C1615" s="8"/>
      <c r="D1615" s="7"/>
      <c r="E1615" s="27"/>
      <c r="F1615" s="27"/>
      <c r="G1615" s="7"/>
      <c r="H1615" s="28"/>
      <c r="I1615" s="28"/>
      <c r="J1615" s="28"/>
      <c r="K1615" s="28"/>
    </row>
    <row r="1616" spans="2:11" x14ac:dyDescent="0.25">
      <c r="B1616" s="25"/>
      <c r="C1616" s="8"/>
      <c r="D1616" s="7"/>
      <c r="E1616" s="27"/>
      <c r="F1616" s="27"/>
      <c r="G1616" s="7"/>
      <c r="H1616" s="28"/>
      <c r="I1616" s="28"/>
      <c r="J1616" s="28"/>
      <c r="K1616" s="28"/>
    </row>
    <row r="1617" spans="2:11" x14ac:dyDescent="0.25">
      <c r="B1617" s="25"/>
      <c r="C1617" s="8"/>
      <c r="D1617" s="7"/>
      <c r="E1617" s="27"/>
      <c r="F1617" s="27"/>
      <c r="G1617" s="7"/>
      <c r="H1617" s="28"/>
      <c r="I1617" s="28"/>
      <c r="J1617" s="28"/>
      <c r="K1617" s="28"/>
    </row>
    <row r="1618" spans="2:11" x14ac:dyDescent="0.25">
      <c r="B1618" s="25"/>
      <c r="C1618" s="8"/>
      <c r="D1618" s="7"/>
      <c r="E1618" s="27"/>
      <c r="F1618" s="27"/>
      <c r="G1618" s="7"/>
      <c r="H1618" s="28"/>
      <c r="I1618" s="28"/>
      <c r="J1618" s="28"/>
      <c r="K1618" s="28"/>
    </row>
    <row r="1619" spans="2:11" x14ac:dyDescent="0.25">
      <c r="B1619" s="25"/>
      <c r="C1619" s="8"/>
      <c r="D1619" s="7"/>
      <c r="E1619" s="27"/>
      <c r="F1619" s="27"/>
      <c r="G1619" s="7"/>
      <c r="H1619" s="28"/>
      <c r="I1619" s="28"/>
      <c r="J1619" s="28"/>
      <c r="K1619" s="28"/>
    </row>
    <row r="1620" spans="2:11" x14ac:dyDescent="0.25">
      <c r="B1620" s="25"/>
      <c r="C1620" s="8"/>
      <c r="D1620" s="7"/>
      <c r="E1620" s="27"/>
      <c r="F1620" s="27"/>
      <c r="G1620" s="7"/>
      <c r="H1620" s="28"/>
      <c r="I1620" s="28"/>
      <c r="J1620" s="28"/>
      <c r="K1620" s="28"/>
    </row>
    <row r="1621" spans="2:11" x14ac:dyDescent="0.25">
      <c r="B1621" s="25"/>
      <c r="C1621" s="8"/>
      <c r="D1621" s="7"/>
      <c r="E1621" s="27"/>
      <c r="F1621" s="27"/>
      <c r="G1621" s="7"/>
      <c r="H1621" s="28"/>
      <c r="I1621" s="28"/>
      <c r="J1621" s="28"/>
      <c r="K1621" s="28"/>
    </row>
    <row r="1622" spans="2:11" x14ac:dyDescent="0.25">
      <c r="B1622" s="25"/>
      <c r="C1622" s="8"/>
      <c r="D1622" s="7"/>
      <c r="E1622" s="27"/>
      <c r="F1622" s="27"/>
      <c r="G1622" s="7"/>
      <c r="H1622" s="28"/>
      <c r="I1622" s="28"/>
      <c r="J1622" s="28"/>
      <c r="K1622" s="28"/>
    </row>
    <row r="1623" spans="2:11" x14ac:dyDescent="0.25">
      <c r="B1623" s="25"/>
      <c r="C1623" s="8"/>
      <c r="D1623" s="7"/>
      <c r="E1623" s="27"/>
      <c r="F1623" s="27"/>
      <c r="G1623" s="7"/>
      <c r="H1623" s="28"/>
      <c r="I1623" s="28"/>
      <c r="J1623" s="28"/>
      <c r="K1623" s="28"/>
    </row>
    <row r="1624" spans="2:11" x14ac:dyDescent="0.25">
      <c r="B1624" s="25"/>
      <c r="C1624" s="8"/>
      <c r="D1624" s="7"/>
      <c r="E1624" s="27"/>
      <c r="F1624" s="27"/>
      <c r="G1624" s="7"/>
      <c r="H1624" s="28"/>
      <c r="I1624" s="28"/>
      <c r="J1624" s="28"/>
      <c r="K1624" s="28"/>
    </row>
    <row r="1625" spans="2:11" x14ac:dyDescent="0.25">
      <c r="B1625" s="25"/>
      <c r="C1625" s="8"/>
      <c r="D1625" s="7"/>
      <c r="E1625" s="27"/>
      <c r="F1625" s="27"/>
      <c r="G1625" s="7"/>
      <c r="H1625" s="28"/>
      <c r="I1625" s="28"/>
      <c r="J1625" s="28"/>
      <c r="K1625" s="28"/>
    </row>
    <row r="1626" spans="2:11" x14ac:dyDescent="0.25">
      <c r="B1626" s="25"/>
      <c r="C1626" s="8"/>
      <c r="D1626" s="7"/>
      <c r="E1626" s="27"/>
      <c r="F1626" s="27"/>
      <c r="G1626" s="7"/>
      <c r="H1626" s="28"/>
      <c r="I1626" s="28"/>
      <c r="J1626" s="28"/>
      <c r="K1626" s="28"/>
    </row>
    <row r="1627" spans="2:11" x14ac:dyDescent="0.25">
      <c r="B1627" s="25"/>
      <c r="C1627" s="8"/>
      <c r="D1627" s="7"/>
      <c r="E1627" s="27"/>
      <c r="F1627" s="27"/>
      <c r="G1627" s="7"/>
      <c r="H1627" s="28"/>
      <c r="I1627" s="28"/>
      <c r="J1627" s="28"/>
      <c r="K1627" s="28"/>
    </row>
    <row r="1628" spans="2:11" x14ac:dyDescent="0.25">
      <c r="B1628" s="25"/>
      <c r="C1628" s="8"/>
      <c r="D1628" s="7"/>
      <c r="E1628" s="27"/>
      <c r="F1628" s="27"/>
      <c r="G1628" s="7"/>
      <c r="H1628" s="28"/>
      <c r="I1628" s="28"/>
      <c r="J1628" s="28"/>
      <c r="K1628" s="28"/>
    </row>
    <row r="1629" spans="2:11" x14ac:dyDescent="0.25">
      <c r="B1629" s="25"/>
      <c r="C1629" s="8"/>
      <c r="D1629" s="7"/>
      <c r="E1629" s="27"/>
      <c r="F1629" s="27"/>
      <c r="G1629" s="7"/>
      <c r="H1629" s="28"/>
      <c r="I1629" s="28"/>
      <c r="J1629" s="28"/>
      <c r="K1629" s="28"/>
    </row>
    <row r="1630" spans="2:11" x14ac:dyDescent="0.25">
      <c r="B1630" s="25"/>
      <c r="C1630" s="8"/>
      <c r="D1630" s="7"/>
      <c r="E1630" s="27"/>
      <c r="F1630" s="27"/>
      <c r="G1630" s="7"/>
      <c r="H1630" s="28"/>
      <c r="I1630" s="28"/>
      <c r="J1630" s="28"/>
      <c r="K1630" s="28"/>
    </row>
    <row r="1631" spans="2:11" x14ac:dyDescent="0.25">
      <c r="B1631" s="25"/>
      <c r="C1631" s="8"/>
      <c r="D1631" s="7"/>
      <c r="E1631" s="27"/>
      <c r="F1631" s="27"/>
      <c r="G1631" s="7"/>
      <c r="H1631" s="28"/>
      <c r="I1631" s="28"/>
      <c r="J1631" s="28"/>
      <c r="K1631" s="28"/>
    </row>
    <row r="1632" spans="2:11" x14ac:dyDescent="0.25">
      <c r="B1632" s="25"/>
      <c r="C1632" s="8"/>
      <c r="D1632" s="7"/>
      <c r="E1632" s="27"/>
      <c r="F1632" s="27"/>
      <c r="G1632" s="7"/>
      <c r="H1632" s="28"/>
      <c r="I1632" s="28"/>
      <c r="J1632" s="28"/>
      <c r="K1632" s="28"/>
    </row>
    <row r="1633" spans="2:11" x14ac:dyDescent="0.25">
      <c r="B1633" s="25"/>
      <c r="C1633" s="8"/>
      <c r="D1633" s="7"/>
      <c r="E1633" s="27"/>
      <c r="F1633" s="27"/>
      <c r="G1633" s="7"/>
      <c r="H1633" s="28"/>
      <c r="I1633" s="28"/>
      <c r="J1633" s="28"/>
      <c r="K1633" s="28"/>
    </row>
    <row r="1634" spans="2:11" x14ac:dyDescent="0.25">
      <c r="B1634" s="25"/>
      <c r="C1634" s="8"/>
      <c r="D1634" s="7"/>
      <c r="E1634" s="27"/>
      <c r="F1634" s="27"/>
      <c r="G1634" s="7"/>
      <c r="H1634" s="28"/>
      <c r="I1634" s="28"/>
      <c r="J1634" s="28"/>
      <c r="K1634" s="28"/>
    </row>
    <row r="1635" spans="2:11" x14ac:dyDescent="0.25">
      <c r="B1635" s="25"/>
      <c r="C1635" s="8"/>
      <c r="D1635" s="7"/>
      <c r="E1635" s="27"/>
      <c r="F1635" s="27"/>
      <c r="G1635" s="7"/>
      <c r="H1635" s="28"/>
      <c r="I1635" s="28"/>
      <c r="J1635" s="28"/>
      <c r="K1635" s="28"/>
    </row>
    <row r="1636" spans="2:11" x14ac:dyDescent="0.25">
      <c r="B1636" s="25"/>
      <c r="C1636" s="8"/>
      <c r="D1636" s="7"/>
      <c r="E1636" s="27"/>
      <c r="F1636" s="27"/>
      <c r="G1636" s="7"/>
      <c r="H1636" s="28"/>
      <c r="I1636" s="28"/>
      <c r="J1636" s="28"/>
      <c r="K1636" s="28"/>
    </row>
    <row r="1637" spans="2:11" x14ac:dyDescent="0.25">
      <c r="B1637" s="25"/>
      <c r="C1637" s="8"/>
      <c r="D1637" s="7"/>
      <c r="E1637" s="27"/>
      <c r="F1637" s="27"/>
      <c r="G1637" s="7"/>
      <c r="H1637" s="28"/>
      <c r="I1637" s="28"/>
      <c r="J1637" s="28"/>
      <c r="K1637" s="28"/>
    </row>
    <row r="1638" spans="2:11" x14ac:dyDescent="0.25">
      <c r="B1638" s="25"/>
      <c r="C1638" s="8"/>
      <c r="D1638" s="7"/>
      <c r="E1638" s="27"/>
      <c r="F1638" s="27"/>
      <c r="G1638" s="7"/>
      <c r="H1638" s="28"/>
      <c r="I1638" s="28"/>
      <c r="J1638" s="28"/>
      <c r="K1638" s="28"/>
    </row>
    <row r="1639" spans="2:11" x14ac:dyDescent="0.25">
      <c r="B1639" s="25"/>
      <c r="C1639" s="8"/>
      <c r="D1639" s="7"/>
      <c r="E1639" s="27"/>
      <c r="F1639" s="27"/>
      <c r="G1639" s="7"/>
      <c r="H1639" s="28"/>
      <c r="I1639" s="28"/>
      <c r="J1639" s="28"/>
      <c r="K1639" s="28"/>
    </row>
    <row r="1640" spans="2:11" x14ac:dyDescent="0.25">
      <c r="B1640" s="25"/>
      <c r="C1640" s="8"/>
      <c r="D1640" s="7"/>
      <c r="E1640" s="27"/>
      <c r="F1640" s="27"/>
      <c r="G1640" s="7"/>
      <c r="H1640" s="28"/>
      <c r="I1640" s="28"/>
      <c r="J1640" s="28"/>
      <c r="K1640" s="28"/>
    </row>
    <row r="1641" spans="2:11" x14ac:dyDescent="0.25">
      <c r="B1641" s="25"/>
      <c r="C1641" s="8"/>
      <c r="D1641" s="7"/>
      <c r="E1641" s="27"/>
      <c r="F1641" s="27"/>
      <c r="G1641" s="7"/>
      <c r="H1641" s="28"/>
      <c r="I1641" s="28"/>
      <c r="J1641" s="28"/>
      <c r="K1641" s="28"/>
    </row>
    <row r="1642" spans="2:11" x14ac:dyDescent="0.25">
      <c r="B1642" s="25"/>
      <c r="C1642" s="8"/>
      <c r="D1642" s="7"/>
      <c r="E1642" s="27"/>
      <c r="F1642" s="27"/>
      <c r="G1642" s="7"/>
      <c r="H1642" s="28"/>
      <c r="I1642" s="28"/>
      <c r="J1642" s="28"/>
      <c r="K1642" s="28"/>
    </row>
    <row r="1643" spans="2:11" x14ac:dyDescent="0.25">
      <c r="B1643" s="25"/>
      <c r="C1643" s="8"/>
      <c r="D1643" s="7"/>
      <c r="E1643" s="27"/>
      <c r="F1643" s="27"/>
      <c r="G1643" s="7"/>
      <c r="H1643" s="28"/>
      <c r="I1643" s="28"/>
      <c r="J1643" s="28"/>
      <c r="K1643" s="28"/>
    </row>
    <row r="1644" spans="2:11" x14ac:dyDescent="0.25">
      <c r="B1644" s="25"/>
      <c r="C1644" s="8"/>
      <c r="D1644" s="7"/>
      <c r="E1644" s="27"/>
      <c r="F1644" s="27"/>
      <c r="G1644" s="7"/>
      <c r="H1644" s="28"/>
      <c r="I1644" s="28"/>
      <c r="J1644" s="28"/>
      <c r="K1644" s="28"/>
    </row>
    <row r="1645" spans="2:11" x14ac:dyDescent="0.25">
      <c r="B1645" s="25"/>
      <c r="C1645" s="8"/>
      <c r="D1645" s="7"/>
      <c r="E1645" s="27"/>
      <c r="F1645" s="27"/>
      <c r="G1645" s="7"/>
      <c r="H1645" s="28"/>
      <c r="I1645" s="28"/>
      <c r="J1645" s="28"/>
      <c r="K1645" s="28"/>
    </row>
    <row r="1646" spans="2:11" x14ac:dyDescent="0.25">
      <c r="B1646" s="25"/>
      <c r="C1646" s="8"/>
      <c r="D1646" s="7"/>
      <c r="E1646" s="27"/>
      <c r="F1646" s="27"/>
      <c r="G1646" s="7"/>
      <c r="H1646" s="28"/>
      <c r="I1646" s="28"/>
      <c r="J1646" s="28"/>
      <c r="K1646" s="28"/>
    </row>
    <row r="1647" spans="2:11" x14ac:dyDescent="0.25">
      <c r="B1647" s="25"/>
      <c r="C1647" s="8"/>
      <c r="D1647" s="7"/>
      <c r="E1647" s="27"/>
      <c r="F1647" s="27"/>
      <c r="G1647" s="7"/>
      <c r="H1647" s="28"/>
      <c r="I1647" s="28"/>
      <c r="J1647" s="28"/>
      <c r="K1647" s="28"/>
    </row>
    <row r="1648" spans="2:11" x14ac:dyDescent="0.25">
      <c r="B1648" s="25"/>
      <c r="C1648" s="8"/>
      <c r="D1648" s="7"/>
      <c r="E1648" s="27"/>
      <c r="F1648" s="27"/>
      <c r="G1648" s="7"/>
      <c r="H1648" s="28"/>
      <c r="I1648" s="28"/>
      <c r="J1648" s="28"/>
      <c r="K1648" s="28"/>
    </row>
    <row r="1649" spans="2:11" x14ac:dyDescent="0.25">
      <c r="B1649" s="25"/>
      <c r="C1649" s="8"/>
      <c r="D1649" s="7"/>
      <c r="E1649" s="27"/>
      <c r="F1649" s="27"/>
      <c r="G1649" s="7"/>
      <c r="H1649" s="28"/>
      <c r="I1649" s="28"/>
      <c r="J1649" s="28"/>
      <c r="K1649" s="28"/>
    </row>
    <row r="1650" spans="2:11" x14ac:dyDescent="0.25">
      <c r="B1650" s="25"/>
      <c r="C1650" s="8"/>
      <c r="D1650" s="7"/>
      <c r="E1650" s="27"/>
      <c r="F1650" s="27"/>
      <c r="G1650" s="7"/>
      <c r="H1650" s="28"/>
      <c r="I1650" s="28"/>
      <c r="J1650" s="28"/>
      <c r="K1650" s="28"/>
    </row>
    <row r="1651" spans="2:11" x14ac:dyDescent="0.25">
      <c r="B1651" s="25"/>
      <c r="C1651" s="8"/>
      <c r="D1651" s="7"/>
      <c r="E1651" s="27"/>
      <c r="F1651" s="27"/>
      <c r="G1651" s="7"/>
      <c r="H1651" s="28"/>
      <c r="I1651" s="28"/>
      <c r="J1651" s="28"/>
      <c r="K1651" s="28"/>
    </row>
    <row r="1652" spans="2:11" x14ac:dyDescent="0.25">
      <c r="B1652" s="25"/>
      <c r="C1652" s="8"/>
      <c r="D1652" s="7"/>
      <c r="E1652" s="27"/>
      <c r="F1652" s="27"/>
      <c r="G1652" s="7"/>
      <c r="H1652" s="28"/>
      <c r="I1652" s="28"/>
      <c r="J1652" s="28"/>
      <c r="K1652" s="28"/>
    </row>
    <row r="1653" spans="2:11" x14ac:dyDescent="0.25">
      <c r="B1653" s="25"/>
      <c r="C1653" s="8"/>
      <c r="D1653" s="7"/>
      <c r="E1653" s="27"/>
      <c r="F1653" s="27"/>
      <c r="G1653" s="7"/>
      <c r="H1653" s="28"/>
      <c r="I1653" s="28"/>
      <c r="J1653" s="28"/>
      <c r="K1653" s="28"/>
    </row>
    <row r="1654" spans="2:11" x14ac:dyDescent="0.25">
      <c r="B1654" s="25"/>
      <c r="C1654" s="8"/>
      <c r="D1654" s="7"/>
      <c r="E1654" s="27"/>
      <c r="F1654" s="27"/>
      <c r="G1654" s="7"/>
      <c r="H1654" s="28"/>
      <c r="I1654" s="28"/>
      <c r="J1654" s="28"/>
      <c r="K1654" s="28"/>
    </row>
    <row r="1655" spans="2:11" x14ac:dyDescent="0.25">
      <c r="B1655" s="25"/>
      <c r="C1655" s="8"/>
      <c r="D1655" s="7"/>
      <c r="E1655" s="27"/>
      <c r="F1655" s="27"/>
      <c r="G1655" s="7"/>
      <c r="H1655" s="28"/>
      <c r="I1655" s="28"/>
      <c r="J1655" s="28"/>
      <c r="K1655" s="28"/>
    </row>
    <row r="1656" spans="2:11" x14ac:dyDescent="0.25">
      <c r="B1656" s="25"/>
      <c r="C1656" s="8"/>
      <c r="D1656" s="7"/>
      <c r="E1656" s="27"/>
      <c r="F1656" s="27"/>
      <c r="G1656" s="7"/>
      <c r="H1656" s="28"/>
      <c r="I1656" s="28"/>
      <c r="J1656" s="28"/>
      <c r="K1656" s="28"/>
    </row>
    <row r="1657" spans="2:11" x14ac:dyDescent="0.25">
      <c r="B1657" s="25"/>
      <c r="C1657" s="8"/>
      <c r="D1657" s="7"/>
      <c r="E1657" s="27"/>
      <c r="F1657" s="27"/>
      <c r="G1657" s="7"/>
      <c r="H1657" s="28"/>
      <c r="I1657" s="28"/>
      <c r="J1657" s="28"/>
      <c r="K1657" s="28"/>
    </row>
    <row r="1658" spans="2:11" x14ac:dyDescent="0.25">
      <c r="B1658" s="25"/>
      <c r="C1658" s="8"/>
      <c r="D1658" s="7"/>
      <c r="E1658" s="27"/>
      <c r="F1658" s="27"/>
      <c r="G1658" s="7"/>
      <c r="H1658" s="28"/>
      <c r="I1658" s="28"/>
      <c r="J1658" s="28"/>
      <c r="K1658" s="28"/>
    </row>
    <row r="1659" spans="2:11" x14ac:dyDescent="0.25">
      <c r="B1659" s="25"/>
      <c r="C1659" s="8"/>
      <c r="D1659" s="7"/>
      <c r="E1659" s="27"/>
      <c r="F1659" s="27"/>
      <c r="G1659" s="7"/>
      <c r="H1659" s="28"/>
      <c r="I1659" s="28"/>
      <c r="J1659" s="28"/>
      <c r="K1659" s="28"/>
    </row>
    <row r="1660" spans="2:11" x14ac:dyDescent="0.25">
      <c r="B1660" s="25"/>
      <c r="C1660" s="8"/>
      <c r="D1660" s="7"/>
      <c r="E1660" s="27"/>
      <c r="F1660" s="27"/>
      <c r="G1660" s="7"/>
      <c r="H1660" s="28"/>
      <c r="I1660" s="28"/>
      <c r="J1660" s="28"/>
      <c r="K1660" s="28"/>
    </row>
    <row r="1661" spans="2:11" x14ac:dyDescent="0.25">
      <c r="B1661" s="25"/>
      <c r="C1661" s="8"/>
      <c r="D1661" s="7"/>
      <c r="E1661" s="27"/>
      <c r="F1661" s="27"/>
      <c r="G1661" s="7"/>
      <c r="H1661" s="28"/>
      <c r="I1661" s="28"/>
      <c r="J1661" s="28"/>
      <c r="K1661" s="28"/>
    </row>
    <row r="1662" spans="2:11" x14ac:dyDescent="0.25">
      <c r="B1662" s="25"/>
      <c r="C1662" s="8"/>
      <c r="D1662" s="7"/>
      <c r="E1662" s="27"/>
      <c r="F1662" s="27"/>
      <c r="G1662" s="7"/>
      <c r="H1662" s="28"/>
      <c r="I1662" s="28"/>
      <c r="J1662" s="28"/>
      <c r="K1662" s="28"/>
    </row>
    <row r="1663" spans="2:11" x14ac:dyDescent="0.25">
      <c r="B1663" s="25"/>
      <c r="C1663" s="8"/>
      <c r="D1663" s="7"/>
      <c r="E1663" s="27"/>
      <c r="F1663" s="27"/>
      <c r="G1663" s="7"/>
      <c r="H1663" s="28"/>
      <c r="I1663" s="28"/>
      <c r="J1663" s="28"/>
      <c r="K1663" s="28"/>
    </row>
    <row r="1664" spans="2:11" x14ac:dyDescent="0.25">
      <c r="B1664" s="25"/>
      <c r="C1664" s="8"/>
      <c r="D1664" s="7"/>
      <c r="E1664" s="27"/>
      <c r="F1664" s="27"/>
      <c r="G1664" s="7"/>
      <c r="H1664" s="28"/>
      <c r="I1664" s="28"/>
      <c r="J1664" s="28"/>
      <c r="K1664" s="28"/>
    </row>
    <row r="1665" spans="2:11" x14ac:dyDescent="0.25">
      <c r="B1665" s="25"/>
      <c r="C1665" s="8"/>
      <c r="D1665" s="7"/>
      <c r="E1665" s="27"/>
      <c r="F1665" s="27"/>
      <c r="G1665" s="7"/>
      <c r="H1665" s="28"/>
      <c r="I1665" s="28"/>
      <c r="J1665" s="28"/>
      <c r="K1665" s="28"/>
    </row>
    <row r="1666" spans="2:11" x14ac:dyDescent="0.25">
      <c r="B1666" s="25"/>
      <c r="C1666" s="8"/>
      <c r="D1666" s="7"/>
      <c r="E1666" s="27"/>
      <c r="F1666" s="27"/>
      <c r="G1666" s="7"/>
      <c r="H1666" s="28"/>
      <c r="I1666" s="28"/>
      <c r="J1666" s="28"/>
      <c r="K1666" s="28"/>
    </row>
    <row r="1667" spans="2:11" x14ac:dyDescent="0.25">
      <c r="B1667" s="25"/>
      <c r="C1667" s="8"/>
      <c r="D1667" s="7"/>
      <c r="E1667" s="27"/>
      <c r="F1667" s="27"/>
      <c r="G1667" s="7"/>
      <c r="H1667" s="28"/>
      <c r="I1667" s="28"/>
      <c r="J1667" s="28"/>
      <c r="K1667" s="28"/>
    </row>
    <row r="1668" spans="2:11" x14ac:dyDescent="0.25">
      <c r="B1668" s="25"/>
      <c r="C1668" s="8"/>
      <c r="D1668" s="7"/>
      <c r="E1668" s="27"/>
      <c r="F1668" s="27"/>
      <c r="G1668" s="7"/>
      <c r="H1668" s="28"/>
      <c r="I1668" s="28"/>
      <c r="J1668" s="28"/>
      <c r="K1668" s="28"/>
    </row>
    <row r="1669" spans="2:11" x14ac:dyDescent="0.25">
      <c r="B1669" s="25"/>
      <c r="C1669" s="8"/>
      <c r="D1669" s="7"/>
      <c r="E1669" s="27"/>
      <c r="F1669" s="27"/>
      <c r="G1669" s="7"/>
      <c r="H1669" s="28"/>
      <c r="I1669" s="28"/>
      <c r="J1669" s="28"/>
      <c r="K1669" s="28"/>
    </row>
    <row r="1670" spans="2:11" x14ac:dyDescent="0.25">
      <c r="B1670" s="25"/>
      <c r="C1670" s="8"/>
      <c r="D1670" s="7"/>
      <c r="E1670" s="27"/>
      <c r="F1670" s="27"/>
      <c r="G1670" s="7"/>
      <c r="H1670" s="28"/>
      <c r="I1670" s="28"/>
      <c r="J1670" s="28"/>
      <c r="K1670" s="28"/>
    </row>
    <row r="1671" spans="2:11" x14ac:dyDescent="0.25">
      <c r="B1671" s="25"/>
      <c r="C1671" s="8"/>
      <c r="D1671" s="7"/>
      <c r="E1671" s="27"/>
      <c r="F1671" s="27"/>
      <c r="G1671" s="7"/>
      <c r="H1671" s="28"/>
      <c r="I1671" s="28"/>
      <c r="J1671" s="28"/>
      <c r="K1671" s="28"/>
    </row>
    <row r="1672" spans="2:11" x14ac:dyDescent="0.25">
      <c r="B1672" s="25"/>
      <c r="C1672" s="8"/>
      <c r="D1672" s="7"/>
      <c r="E1672" s="27"/>
      <c r="F1672" s="27"/>
      <c r="G1672" s="7"/>
      <c r="H1672" s="28"/>
      <c r="I1672" s="28"/>
      <c r="J1672" s="28"/>
      <c r="K1672" s="28"/>
    </row>
    <row r="1673" spans="2:11" x14ac:dyDescent="0.25">
      <c r="B1673" s="25"/>
      <c r="C1673" s="8"/>
      <c r="D1673" s="7"/>
      <c r="E1673" s="27"/>
      <c r="F1673" s="27"/>
      <c r="G1673" s="7"/>
      <c r="H1673" s="28"/>
      <c r="I1673" s="28"/>
      <c r="J1673" s="28"/>
      <c r="K1673" s="28"/>
    </row>
    <row r="1674" spans="2:11" x14ac:dyDescent="0.25">
      <c r="B1674" s="25"/>
      <c r="C1674" s="8"/>
      <c r="D1674" s="7"/>
      <c r="E1674" s="27"/>
      <c r="F1674" s="27"/>
      <c r="G1674" s="7"/>
      <c r="H1674" s="28"/>
      <c r="I1674" s="28"/>
      <c r="J1674" s="28"/>
      <c r="K1674" s="28"/>
    </row>
    <row r="1675" spans="2:11" x14ac:dyDescent="0.25">
      <c r="B1675" s="25"/>
      <c r="C1675" s="8"/>
      <c r="D1675" s="7"/>
      <c r="E1675" s="27"/>
      <c r="F1675" s="27"/>
      <c r="G1675" s="7"/>
      <c r="H1675" s="28"/>
      <c r="I1675" s="28"/>
      <c r="J1675" s="28"/>
      <c r="K1675" s="28"/>
    </row>
    <row r="1676" spans="2:11" x14ac:dyDescent="0.25">
      <c r="B1676" s="25"/>
      <c r="C1676" s="8"/>
      <c r="D1676" s="7"/>
      <c r="E1676" s="27"/>
      <c r="F1676" s="27"/>
      <c r="G1676" s="7"/>
      <c r="H1676" s="28"/>
      <c r="I1676" s="28"/>
      <c r="J1676" s="28"/>
      <c r="K1676" s="28"/>
    </row>
    <row r="1677" spans="2:11" x14ac:dyDescent="0.25">
      <c r="B1677" s="25"/>
      <c r="C1677" s="8"/>
      <c r="D1677" s="7"/>
      <c r="E1677" s="27"/>
      <c r="F1677" s="27"/>
      <c r="G1677" s="7"/>
      <c r="H1677" s="28"/>
      <c r="I1677" s="28"/>
      <c r="J1677" s="28"/>
      <c r="K1677" s="28"/>
    </row>
    <row r="1678" spans="2:11" x14ac:dyDescent="0.25">
      <c r="B1678" s="25"/>
      <c r="C1678" s="8"/>
      <c r="D1678" s="7"/>
      <c r="E1678" s="27"/>
      <c r="F1678" s="27"/>
      <c r="G1678" s="7"/>
      <c r="H1678" s="28"/>
      <c r="I1678" s="28"/>
      <c r="J1678" s="28"/>
      <c r="K1678" s="28"/>
    </row>
    <row r="1679" spans="2:11" x14ac:dyDescent="0.25">
      <c r="B1679" s="25"/>
      <c r="C1679" s="8"/>
      <c r="D1679" s="7"/>
      <c r="E1679" s="27"/>
      <c r="F1679" s="27"/>
      <c r="G1679" s="7"/>
      <c r="H1679" s="28"/>
      <c r="I1679" s="28"/>
      <c r="J1679" s="28"/>
      <c r="K1679" s="28"/>
    </row>
    <row r="1680" spans="2:11" x14ac:dyDescent="0.25">
      <c r="B1680" s="25"/>
      <c r="C1680" s="8"/>
      <c r="D1680" s="7"/>
      <c r="E1680" s="27"/>
      <c r="F1680" s="27"/>
      <c r="G1680" s="7"/>
      <c r="H1680" s="28"/>
      <c r="I1680" s="28"/>
      <c r="J1680" s="28"/>
      <c r="K1680" s="28"/>
    </row>
    <row r="1681" spans="2:11" x14ac:dyDescent="0.25">
      <c r="B1681" s="25"/>
      <c r="C1681" s="8"/>
      <c r="D1681" s="7"/>
      <c r="E1681" s="27"/>
      <c r="F1681" s="27"/>
      <c r="G1681" s="7"/>
      <c r="H1681" s="28"/>
      <c r="I1681" s="28"/>
      <c r="J1681" s="28"/>
      <c r="K1681" s="28"/>
    </row>
    <row r="1682" spans="2:11" x14ac:dyDescent="0.25">
      <c r="B1682" s="25"/>
      <c r="C1682" s="8"/>
      <c r="D1682" s="7"/>
      <c r="E1682" s="27"/>
      <c r="F1682" s="27"/>
      <c r="G1682" s="7"/>
      <c r="H1682" s="28"/>
      <c r="I1682" s="28"/>
      <c r="J1682" s="28"/>
      <c r="K1682" s="28"/>
    </row>
    <row r="1683" spans="2:11" x14ac:dyDescent="0.25">
      <c r="B1683" s="25"/>
      <c r="C1683" s="8"/>
      <c r="D1683" s="7"/>
      <c r="E1683" s="27"/>
      <c r="F1683" s="27"/>
      <c r="G1683" s="7"/>
      <c r="H1683" s="28"/>
      <c r="I1683" s="28"/>
      <c r="J1683" s="28"/>
      <c r="K1683" s="28"/>
    </row>
    <row r="1684" spans="2:11" x14ac:dyDescent="0.25">
      <c r="B1684" s="25"/>
      <c r="C1684" s="8"/>
      <c r="D1684" s="7"/>
      <c r="E1684" s="27"/>
      <c r="F1684" s="27"/>
      <c r="G1684" s="7"/>
      <c r="H1684" s="28"/>
      <c r="I1684" s="28"/>
      <c r="J1684" s="28"/>
      <c r="K1684" s="28"/>
    </row>
    <row r="1685" spans="2:11" x14ac:dyDescent="0.25">
      <c r="B1685" s="25"/>
      <c r="C1685" s="8"/>
      <c r="D1685" s="7"/>
      <c r="E1685" s="27"/>
      <c r="F1685" s="27"/>
      <c r="G1685" s="7"/>
      <c r="H1685" s="28"/>
      <c r="I1685" s="28"/>
      <c r="J1685" s="28"/>
      <c r="K1685" s="28"/>
    </row>
    <row r="1686" spans="2:11" x14ac:dyDescent="0.25">
      <c r="B1686" s="25"/>
      <c r="C1686" s="8"/>
      <c r="D1686" s="7"/>
      <c r="E1686" s="27"/>
      <c r="F1686" s="27"/>
      <c r="G1686" s="7"/>
      <c r="H1686" s="28"/>
      <c r="I1686" s="28"/>
      <c r="J1686" s="28"/>
      <c r="K1686" s="28"/>
    </row>
    <row r="1687" spans="2:11" x14ac:dyDescent="0.25">
      <c r="B1687" s="25"/>
      <c r="C1687" s="8"/>
      <c r="D1687" s="7"/>
      <c r="E1687" s="27"/>
      <c r="F1687" s="27"/>
      <c r="G1687" s="7"/>
      <c r="H1687" s="28"/>
      <c r="I1687" s="28"/>
      <c r="J1687" s="28"/>
      <c r="K1687" s="28"/>
    </row>
    <row r="1688" spans="2:11" x14ac:dyDescent="0.25">
      <c r="B1688" s="25"/>
      <c r="C1688" s="8"/>
      <c r="D1688" s="7"/>
      <c r="E1688" s="27"/>
      <c r="F1688" s="27"/>
      <c r="G1688" s="7"/>
      <c r="H1688" s="28"/>
      <c r="I1688" s="28"/>
      <c r="J1688" s="28"/>
      <c r="K1688" s="28"/>
    </row>
    <row r="1689" spans="2:11" x14ac:dyDescent="0.25">
      <c r="B1689" s="25"/>
      <c r="C1689" s="8"/>
      <c r="D1689" s="7"/>
      <c r="E1689" s="27"/>
      <c r="F1689" s="27"/>
      <c r="G1689" s="7"/>
      <c r="H1689" s="28"/>
      <c r="I1689" s="28"/>
      <c r="J1689" s="28"/>
      <c r="K1689" s="28"/>
    </row>
    <row r="1690" spans="2:11" x14ac:dyDescent="0.25">
      <c r="B1690" s="25"/>
      <c r="C1690" s="8"/>
      <c r="D1690" s="7"/>
      <c r="E1690" s="27"/>
      <c r="F1690" s="27"/>
      <c r="G1690" s="7"/>
      <c r="H1690" s="28"/>
      <c r="I1690" s="28"/>
      <c r="J1690" s="28"/>
      <c r="K1690" s="28"/>
    </row>
    <row r="1691" spans="2:11" x14ac:dyDescent="0.25">
      <c r="B1691" s="25"/>
      <c r="C1691" s="8"/>
      <c r="D1691" s="7"/>
      <c r="E1691" s="27"/>
      <c r="F1691" s="27"/>
      <c r="G1691" s="7"/>
      <c r="H1691" s="28"/>
      <c r="I1691" s="28"/>
      <c r="J1691" s="28"/>
      <c r="K1691" s="28"/>
    </row>
    <row r="1692" spans="2:11" x14ac:dyDescent="0.25">
      <c r="B1692" s="25"/>
      <c r="C1692" s="8"/>
      <c r="D1692" s="7"/>
      <c r="E1692" s="27"/>
      <c r="F1692" s="27"/>
      <c r="G1692" s="7"/>
      <c r="H1692" s="28"/>
      <c r="I1692" s="28"/>
      <c r="J1692" s="28"/>
      <c r="K1692" s="28"/>
    </row>
    <row r="1693" spans="2:11" x14ac:dyDescent="0.25">
      <c r="B1693" s="25"/>
      <c r="C1693" s="8"/>
      <c r="D1693" s="7"/>
      <c r="E1693" s="27"/>
      <c r="F1693" s="27"/>
      <c r="G1693" s="7"/>
      <c r="H1693" s="28"/>
      <c r="I1693" s="28"/>
      <c r="J1693" s="28"/>
      <c r="K1693" s="28"/>
    </row>
    <row r="1694" spans="2:11" x14ac:dyDescent="0.25">
      <c r="B1694" s="25"/>
      <c r="C1694" s="8"/>
      <c r="D1694" s="7"/>
      <c r="E1694" s="27"/>
      <c r="F1694" s="27"/>
      <c r="G1694" s="7"/>
      <c r="H1694" s="28"/>
      <c r="I1694" s="28"/>
      <c r="J1694" s="28"/>
      <c r="K1694" s="28"/>
    </row>
    <row r="1695" spans="2:11" x14ac:dyDescent="0.25">
      <c r="B1695" s="25"/>
      <c r="C1695" s="8"/>
      <c r="D1695" s="7"/>
      <c r="E1695" s="27"/>
      <c r="F1695" s="27"/>
      <c r="G1695" s="7"/>
      <c r="H1695" s="28"/>
      <c r="I1695" s="28"/>
      <c r="J1695" s="28"/>
      <c r="K1695" s="28"/>
    </row>
    <row r="1696" spans="2:11" x14ac:dyDescent="0.25">
      <c r="B1696" s="25"/>
      <c r="C1696" s="8"/>
      <c r="D1696" s="7"/>
      <c r="E1696" s="27"/>
      <c r="F1696" s="27"/>
      <c r="G1696" s="7"/>
      <c r="H1696" s="28"/>
      <c r="I1696" s="28"/>
      <c r="J1696" s="28"/>
      <c r="K1696" s="28"/>
    </row>
    <row r="1697" spans="2:11" x14ac:dyDescent="0.25">
      <c r="B1697" s="25"/>
      <c r="C1697" s="8"/>
      <c r="D1697" s="7"/>
      <c r="E1697" s="27"/>
      <c r="F1697" s="27"/>
      <c r="G1697" s="7"/>
      <c r="H1697" s="28"/>
      <c r="I1697" s="28"/>
      <c r="J1697" s="28"/>
      <c r="K1697" s="28"/>
    </row>
    <row r="1698" spans="2:11" x14ac:dyDescent="0.25">
      <c r="B1698" s="25"/>
      <c r="C1698" s="8"/>
      <c r="D1698" s="7"/>
      <c r="E1698" s="27"/>
      <c r="F1698" s="27"/>
      <c r="G1698" s="7"/>
      <c r="H1698" s="28"/>
      <c r="I1698" s="28"/>
      <c r="J1698" s="28"/>
      <c r="K1698" s="28"/>
    </row>
    <row r="1699" spans="2:11" x14ac:dyDescent="0.25">
      <c r="B1699" s="25"/>
      <c r="C1699" s="8"/>
      <c r="D1699" s="7"/>
      <c r="E1699" s="27"/>
      <c r="F1699" s="27"/>
      <c r="G1699" s="7"/>
      <c r="H1699" s="28"/>
      <c r="I1699" s="28"/>
      <c r="J1699" s="28"/>
      <c r="K1699" s="28"/>
    </row>
    <row r="1700" spans="2:11" x14ac:dyDescent="0.25">
      <c r="B1700" s="25"/>
      <c r="C1700" s="8"/>
      <c r="D1700" s="7"/>
      <c r="E1700" s="27"/>
      <c r="F1700" s="27"/>
      <c r="G1700" s="7"/>
      <c r="H1700" s="28"/>
      <c r="I1700" s="28"/>
      <c r="J1700" s="28"/>
      <c r="K1700" s="28"/>
    </row>
    <row r="1701" spans="2:11" x14ac:dyDescent="0.25">
      <c r="B1701" s="25"/>
      <c r="C1701" s="8"/>
      <c r="D1701" s="7"/>
      <c r="E1701" s="27"/>
      <c r="F1701" s="27"/>
      <c r="G1701" s="7"/>
      <c r="H1701" s="28"/>
      <c r="I1701" s="28"/>
      <c r="J1701" s="28"/>
      <c r="K1701" s="28"/>
    </row>
    <row r="1702" spans="2:11" x14ac:dyDescent="0.25">
      <c r="B1702" s="25"/>
      <c r="C1702" s="8"/>
      <c r="D1702" s="7"/>
      <c r="E1702" s="27"/>
      <c r="F1702" s="27"/>
      <c r="G1702" s="7"/>
      <c r="H1702" s="28"/>
      <c r="I1702" s="28"/>
      <c r="J1702" s="28"/>
      <c r="K1702" s="28"/>
    </row>
    <row r="1703" spans="2:11" x14ac:dyDescent="0.25">
      <c r="B1703" s="25"/>
      <c r="C1703" s="8"/>
      <c r="D1703" s="7"/>
      <c r="E1703" s="27"/>
      <c r="F1703" s="27"/>
      <c r="G1703" s="7"/>
      <c r="H1703" s="28"/>
      <c r="I1703" s="28"/>
      <c r="J1703" s="28"/>
      <c r="K1703" s="28"/>
    </row>
    <row r="1704" spans="2:11" x14ac:dyDescent="0.25">
      <c r="B1704" s="25"/>
      <c r="C1704" s="8"/>
      <c r="D1704" s="7"/>
      <c r="E1704" s="27"/>
      <c r="F1704" s="27"/>
      <c r="G1704" s="7"/>
      <c r="H1704" s="28"/>
      <c r="I1704" s="28"/>
      <c r="J1704" s="28"/>
      <c r="K1704" s="28"/>
    </row>
    <row r="1705" spans="2:11" x14ac:dyDescent="0.25">
      <c r="B1705" s="25"/>
      <c r="C1705" s="8"/>
      <c r="D1705" s="7"/>
      <c r="E1705" s="27"/>
      <c r="F1705" s="27"/>
      <c r="G1705" s="7"/>
      <c r="H1705" s="28"/>
      <c r="I1705" s="28"/>
      <c r="J1705" s="28"/>
      <c r="K1705" s="28"/>
    </row>
    <row r="1706" spans="2:11" x14ac:dyDescent="0.25">
      <c r="B1706" s="25"/>
      <c r="C1706" s="8"/>
      <c r="D1706" s="7"/>
      <c r="E1706" s="27"/>
      <c r="F1706" s="27"/>
      <c r="G1706" s="7"/>
      <c r="H1706" s="28"/>
      <c r="I1706" s="28"/>
      <c r="J1706" s="28"/>
      <c r="K1706" s="28"/>
    </row>
    <row r="1707" spans="2:11" x14ac:dyDescent="0.25">
      <c r="B1707" s="25"/>
      <c r="C1707" s="8"/>
      <c r="D1707" s="7"/>
      <c r="E1707" s="27"/>
      <c r="F1707" s="27"/>
      <c r="G1707" s="7"/>
      <c r="H1707" s="28"/>
      <c r="I1707" s="28"/>
      <c r="J1707" s="28"/>
      <c r="K1707" s="28"/>
    </row>
    <row r="1708" spans="2:11" x14ac:dyDescent="0.25">
      <c r="B1708" s="25"/>
      <c r="C1708" s="8"/>
      <c r="D1708" s="7"/>
      <c r="E1708" s="27"/>
      <c r="F1708" s="27"/>
      <c r="G1708" s="7"/>
      <c r="H1708" s="28"/>
      <c r="I1708" s="28"/>
      <c r="J1708" s="28"/>
      <c r="K1708" s="28"/>
    </row>
    <row r="1709" spans="2:11" x14ac:dyDescent="0.25">
      <c r="B1709" s="25"/>
      <c r="C1709" s="8"/>
      <c r="D1709" s="7"/>
      <c r="E1709" s="27"/>
      <c r="F1709" s="27"/>
      <c r="G1709" s="7"/>
      <c r="H1709" s="28"/>
      <c r="I1709" s="28"/>
      <c r="J1709" s="28"/>
      <c r="K1709" s="28"/>
    </row>
    <row r="1710" spans="2:11" x14ac:dyDescent="0.25">
      <c r="B1710" s="25"/>
      <c r="C1710" s="8"/>
      <c r="D1710" s="7"/>
      <c r="E1710" s="27"/>
      <c r="F1710" s="27"/>
      <c r="G1710" s="7"/>
      <c r="H1710" s="28"/>
      <c r="I1710" s="28"/>
      <c r="J1710" s="28"/>
      <c r="K1710" s="28"/>
    </row>
    <row r="1711" spans="2:11" x14ac:dyDescent="0.25">
      <c r="B1711" s="25"/>
      <c r="C1711" s="8"/>
      <c r="D1711" s="7"/>
      <c r="E1711" s="27"/>
      <c r="F1711" s="27"/>
      <c r="G1711" s="7"/>
      <c r="H1711" s="28"/>
      <c r="I1711" s="28"/>
      <c r="J1711" s="28"/>
      <c r="K1711" s="28"/>
    </row>
    <row r="1712" spans="2:11" x14ac:dyDescent="0.25">
      <c r="B1712" s="25"/>
      <c r="C1712" s="8"/>
      <c r="D1712" s="7"/>
      <c r="E1712" s="27"/>
      <c r="F1712" s="27"/>
      <c r="G1712" s="7"/>
      <c r="H1712" s="28"/>
      <c r="I1712" s="28"/>
      <c r="J1712" s="28"/>
      <c r="K1712" s="28"/>
    </row>
    <row r="1713" spans="2:11" x14ac:dyDescent="0.25">
      <c r="B1713" s="25"/>
      <c r="C1713" s="8"/>
      <c r="D1713" s="7"/>
      <c r="E1713" s="27"/>
      <c r="F1713" s="27"/>
      <c r="G1713" s="7"/>
      <c r="H1713" s="28"/>
      <c r="I1713" s="28"/>
      <c r="J1713" s="28"/>
      <c r="K1713" s="28"/>
    </row>
    <row r="1714" spans="2:11" x14ac:dyDescent="0.25">
      <c r="B1714" s="25"/>
      <c r="C1714" s="8"/>
      <c r="D1714" s="7"/>
      <c r="E1714" s="27"/>
      <c r="F1714" s="27"/>
      <c r="G1714" s="7"/>
      <c r="H1714" s="28"/>
      <c r="I1714" s="28"/>
      <c r="J1714" s="28"/>
      <c r="K1714" s="28"/>
    </row>
    <row r="1715" spans="2:11" x14ac:dyDescent="0.25">
      <c r="B1715" s="25"/>
      <c r="C1715" s="8"/>
      <c r="D1715" s="7"/>
      <c r="E1715" s="27"/>
      <c r="F1715" s="27"/>
      <c r="G1715" s="7"/>
      <c r="H1715" s="28"/>
      <c r="I1715" s="28"/>
      <c r="J1715" s="28"/>
      <c r="K1715" s="28"/>
    </row>
    <row r="1716" spans="2:11" x14ac:dyDescent="0.25">
      <c r="B1716" s="25"/>
      <c r="C1716" s="8"/>
      <c r="D1716" s="7"/>
      <c r="E1716" s="27"/>
      <c r="F1716" s="27"/>
      <c r="G1716" s="7"/>
      <c r="H1716" s="28"/>
      <c r="I1716" s="28"/>
      <c r="J1716" s="28"/>
      <c r="K1716" s="28"/>
    </row>
    <row r="1717" spans="2:11" x14ac:dyDescent="0.25">
      <c r="B1717" s="25"/>
      <c r="C1717" s="8"/>
      <c r="D1717" s="7"/>
      <c r="E1717" s="27"/>
      <c r="F1717" s="27"/>
      <c r="G1717" s="7"/>
      <c r="H1717" s="28"/>
      <c r="I1717" s="28"/>
      <c r="J1717" s="28"/>
      <c r="K1717" s="28"/>
    </row>
    <row r="1718" spans="2:11" x14ac:dyDescent="0.25">
      <c r="B1718" s="25"/>
      <c r="C1718" s="8"/>
      <c r="D1718" s="7"/>
      <c r="E1718" s="27"/>
      <c r="F1718" s="27"/>
      <c r="G1718" s="7"/>
      <c r="H1718" s="28"/>
      <c r="I1718" s="28"/>
      <c r="J1718" s="28"/>
      <c r="K1718" s="28"/>
    </row>
    <row r="1719" spans="2:11" x14ac:dyDescent="0.25">
      <c r="B1719" s="25"/>
      <c r="C1719" s="8"/>
      <c r="D1719" s="7"/>
      <c r="E1719" s="27"/>
      <c r="F1719" s="27"/>
      <c r="G1719" s="7"/>
      <c r="H1719" s="28"/>
      <c r="I1719" s="28"/>
      <c r="J1719" s="28"/>
      <c r="K1719" s="28"/>
    </row>
    <row r="1720" spans="2:11" x14ac:dyDescent="0.25">
      <c r="B1720" s="25"/>
      <c r="C1720" s="8"/>
      <c r="D1720" s="7"/>
      <c r="E1720" s="27"/>
      <c r="F1720" s="27"/>
      <c r="G1720" s="7"/>
      <c r="H1720" s="28"/>
      <c r="I1720" s="28"/>
      <c r="J1720" s="28"/>
      <c r="K1720" s="28"/>
    </row>
    <row r="1721" spans="2:11" x14ac:dyDescent="0.25">
      <c r="B1721" s="25"/>
      <c r="C1721" s="8"/>
      <c r="D1721" s="7"/>
      <c r="E1721" s="27"/>
      <c r="F1721" s="27"/>
      <c r="G1721" s="7"/>
      <c r="H1721" s="28"/>
      <c r="I1721" s="28"/>
      <c r="J1721" s="28"/>
      <c r="K1721" s="28"/>
    </row>
    <row r="1722" spans="2:11" x14ac:dyDescent="0.25">
      <c r="B1722" s="25"/>
      <c r="C1722" s="8"/>
      <c r="D1722" s="7"/>
      <c r="E1722" s="27"/>
      <c r="F1722" s="27"/>
      <c r="G1722" s="7"/>
      <c r="H1722" s="28"/>
      <c r="I1722" s="28"/>
      <c r="J1722" s="28"/>
      <c r="K1722" s="28"/>
    </row>
    <row r="1723" spans="2:11" x14ac:dyDescent="0.25">
      <c r="B1723" s="25"/>
      <c r="C1723" s="8"/>
      <c r="D1723" s="7"/>
      <c r="E1723" s="27"/>
      <c r="F1723" s="27"/>
      <c r="G1723" s="7"/>
      <c r="H1723" s="28"/>
      <c r="I1723" s="28"/>
      <c r="J1723" s="28"/>
      <c r="K1723" s="28"/>
    </row>
    <row r="1724" spans="2:11" x14ac:dyDescent="0.25">
      <c r="B1724" s="25"/>
      <c r="C1724" s="8"/>
      <c r="D1724" s="7"/>
      <c r="E1724" s="27"/>
      <c r="F1724" s="27"/>
      <c r="G1724" s="7"/>
      <c r="H1724" s="28"/>
      <c r="I1724" s="28"/>
      <c r="J1724" s="28"/>
      <c r="K1724" s="28"/>
    </row>
    <row r="1725" spans="2:11" x14ac:dyDescent="0.25">
      <c r="B1725" s="25"/>
      <c r="C1725" s="8"/>
      <c r="D1725" s="7"/>
      <c r="E1725" s="27"/>
      <c r="F1725" s="27"/>
      <c r="G1725" s="7"/>
      <c r="H1725" s="28"/>
      <c r="I1725" s="28"/>
      <c r="J1725" s="28"/>
      <c r="K1725" s="28"/>
    </row>
    <row r="1726" spans="2:11" x14ac:dyDescent="0.25">
      <c r="B1726" s="25"/>
      <c r="C1726" s="8"/>
      <c r="D1726" s="7"/>
      <c r="E1726" s="27"/>
      <c r="F1726" s="27"/>
      <c r="G1726" s="7"/>
      <c r="H1726" s="28"/>
      <c r="I1726" s="28"/>
      <c r="J1726" s="28"/>
      <c r="K1726" s="28"/>
    </row>
    <row r="1727" spans="2:11" x14ac:dyDescent="0.25">
      <c r="B1727" s="25"/>
      <c r="C1727" s="8"/>
      <c r="D1727" s="7"/>
      <c r="E1727" s="27"/>
      <c r="F1727" s="27"/>
      <c r="G1727" s="7"/>
      <c r="H1727" s="28"/>
      <c r="I1727" s="28"/>
      <c r="J1727" s="28"/>
      <c r="K1727" s="28"/>
    </row>
    <row r="1728" spans="2:11" x14ac:dyDescent="0.25">
      <c r="B1728" s="25"/>
      <c r="C1728" s="8"/>
      <c r="D1728" s="7"/>
      <c r="E1728" s="27"/>
      <c r="F1728" s="27"/>
      <c r="G1728" s="7"/>
      <c r="H1728" s="28"/>
      <c r="I1728" s="28"/>
      <c r="J1728" s="28"/>
      <c r="K1728" s="28"/>
    </row>
    <row r="1729" spans="2:11" x14ac:dyDescent="0.25">
      <c r="B1729" s="25"/>
      <c r="C1729" s="8"/>
      <c r="D1729" s="7"/>
      <c r="E1729" s="27"/>
      <c r="F1729" s="27"/>
      <c r="G1729" s="7"/>
      <c r="H1729" s="28"/>
      <c r="I1729" s="28"/>
      <c r="J1729" s="28"/>
      <c r="K1729" s="28"/>
    </row>
    <row r="1730" spans="2:11" x14ac:dyDescent="0.25">
      <c r="B1730" s="25"/>
      <c r="C1730" s="8"/>
      <c r="D1730" s="7"/>
      <c r="E1730" s="27"/>
      <c r="F1730" s="27"/>
      <c r="G1730" s="7"/>
      <c r="H1730" s="28"/>
      <c r="I1730" s="28"/>
      <c r="J1730" s="28"/>
      <c r="K1730" s="28"/>
    </row>
    <row r="1731" spans="2:11" x14ac:dyDescent="0.25">
      <c r="B1731" s="25"/>
      <c r="C1731" s="8"/>
      <c r="D1731" s="7"/>
      <c r="E1731" s="27"/>
      <c r="F1731" s="27"/>
      <c r="G1731" s="7"/>
      <c r="H1731" s="28"/>
      <c r="I1731" s="28"/>
      <c r="J1731" s="28"/>
      <c r="K1731" s="28"/>
    </row>
    <row r="1732" spans="2:11" x14ac:dyDescent="0.25">
      <c r="B1732" s="25"/>
      <c r="C1732" s="8"/>
      <c r="D1732" s="7"/>
      <c r="E1732" s="27"/>
      <c r="F1732" s="27"/>
      <c r="G1732" s="7"/>
      <c r="H1732" s="28"/>
      <c r="I1732" s="28"/>
      <c r="J1732" s="28"/>
      <c r="K1732" s="28"/>
    </row>
    <row r="1733" spans="2:11" x14ac:dyDescent="0.25">
      <c r="B1733" s="25"/>
      <c r="C1733" s="8"/>
      <c r="D1733" s="7"/>
      <c r="E1733" s="27"/>
      <c r="F1733" s="27"/>
      <c r="G1733" s="7"/>
      <c r="H1733" s="28"/>
      <c r="I1733" s="28"/>
      <c r="J1733" s="28"/>
      <c r="K1733" s="28"/>
    </row>
    <row r="1734" spans="2:11" x14ac:dyDescent="0.25">
      <c r="B1734" s="25"/>
      <c r="C1734" s="8"/>
      <c r="D1734" s="7"/>
      <c r="E1734" s="27"/>
      <c r="F1734" s="27"/>
      <c r="G1734" s="7"/>
      <c r="H1734" s="28"/>
      <c r="I1734" s="28"/>
      <c r="J1734" s="28"/>
      <c r="K1734" s="28"/>
    </row>
    <row r="1735" spans="2:11" x14ac:dyDescent="0.25">
      <c r="B1735" s="25"/>
      <c r="C1735" s="8"/>
      <c r="D1735" s="7"/>
      <c r="E1735" s="27"/>
      <c r="F1735" s="27"/>
      <c r="G1735" s="7"/>
      <c r="H1735" s="28"/>
      <c r="I1735" s="28"/>
      <c r="J1735" s="28"/>
      <c r="K1735" s="28"/>
    </row>
    <row r="1736" spans="2:11" x14ac:dyDescent="0.25">
      <c r="B1736" s="25"/>
      <c r="C1736" s="8"/>
      <c r="D1736" s="7"/>
      <c r="E1736" s="27"/>
      <c r="F1736" s="27"/>
      <c r="G1736" s="7"/>
      <c r="H1736" s="28"/>
      <c r="I1736" s="28"/>
      <c r="J1736" s="28"/>
      <c r="K1736" s="28"/>
    </row>
    <row r="1737" spans="2:11" x14ac:dyDescent="0.25">
      <c r="B1737" s="25"/>
      <c r="C1737" s="8"/>
      <c r="D1737" s="7"/>
      <c r="E1737" s="27"/>
      <c r="F1737" s="27"/>
      <c r="G1737" s="7"/>
      <c r="H1737" s="28"/>
      <c r="I1737" s="28"/>
      <c r="J1737" s="28"/>
      <c r="K1737" s="28"/>
    </row>
    <row r="1738" spans="2:11" x14ac:dyDescent="0.25">
      <c r="B1738" s="25"/>
      <c r="C1738" s="8"/>
      <c r="D1738" s="7"/>
      <c r="E1738" s="27"/>
      <c r="F1738" s="27"/>
      <c r="G1738" s="7"/>
      <c r="H1738" s="28"/>
      <c r="I1738" s="28"/>
      <c r="J1738" s="28"/>
      <c r="K1738" s="28"/>
    </row>
    <row r="1739" spans="2:11" x14ac:dyDescent="0.25">
      <c r="B1739" s="25"/>
      <c r="C1739" s="8"/>
      <c r="D1739" s="7"/>
      <c r="E1739" s="27"/>
      <c r="F1739" s="27"/>
      <c r="G1739" s="7"/>
      <c r="H1739" s="28"/>
      <c r="I1739" s="28"/>
      <c r="J1739" s="28"/>
      <c r="K1739" s="28"/>
    </row>
    <row r="1740" spans="2:11" x14ac:dyDescent="0.25">
      <c r="B1740" s="25"/>
      <c r="C1740" s="8"/>
      <c r="D1740" s="7"/>
      <c r="E1740" s="27"/>
      <c r="F1740" s="27"/>
      <c r="G1740" s="7"/>
      <c r="H1740" s="28"/>
      <c r="I1740" s="28"/>
      <c r="J1740" s="28"/>
      <c r="K1740" s="28"/>
    </row>
    <row r="1741" spans="2:11" x14ac:dyDescent="0.25">
      <c r="B1741" s="25"/>
      <c r="C1741" s="8"/>
      <c r="D1741" s="7"/>
      <c r="E1741" s="27"/>
      <c r="F1741" s="27"/>
      <c r="G1741" s="7"/>
      <c r="H1741" s="28"/>
      <c r="I1741" s="28"/>
      <c r="J1741" s="28"/>
      <c r="K1741" s="28"/>
    </row>
    <row r="1742" spans="2:11" x14ac:dyDescent="0.25">
      <c r="B1742" s="25"/>
      <c r="C1742" s="8"/>
      <c r="D1742" s="7"/>
      <c r="E1742" s="27"/>
      <c r="F1742" s="27"/>
      <c r="G1742" s="7"/>
      <c r="H1742" s="28"/>
      <c r="I1742" s="28"/>
      <c r="J1742" s="28"/>
      <c r="K1742" s="28"/>
    </row>
    <row r="1743" spans="2:11" x14ac:dyDescent="0.25">
      <c r="B1743" s="25"/>
      <c r="C1743" s="8"/>
      <c r="D1743" s="7"/>
      <c r="E1743" s="27"/>
      <c r="F1743" s="27"/>
      <c r="G1743" s="7"/>
      <c r="H1743" s="28"/>
      <c r="I1743" s="28"/>
      <c r="J1743" s="28"/>
      <c r="K1743" s="28"/>
    </row>
    <row r="1744" spans="2:11" x14ac:dyDescent="0.25">
      <c r="B1744" s="25"/>
      <c r="C1744" s="8"/>
      <c r="D1744" s="7"/>
      <c r="E1744" s="27"/>
      <c r="F1744" s="27"/>
      <c r="G1744" s="7"/>
      <c r="H1744" s="28"/>
      <c r="I1744" s="28"/>
      <c r="J1744" s="28"/>
      <c r="K1744" s="28"/>
    </row>
    <row r="1745" spans="2:11" x14ac:dyDescent="0.25">
      <c r="B1745" s="25"/>
      <c r="C1745" s="8"/>
      <c r="D1745" s="7"/>
      <c r="E1745" s="27"/>
      <c r="F1745" s="27"/>
      <c r="G1745" s="7"/>
      <c r="H1745" s="28"/>
      <c r="I1745" s="28"/>
      <c r="J1745" s="28"/>
      <c r="K1745" s="28"/>
    </row>
    <row r="1746" spans="2:11" x14ac:dyDescent="0.25">
      <c r="B1746" s="25"/>
      <c r="C1746" s="8"/>
      <c r="D1746" s="7"/>
      <c r="E1746" s="27"/>
      <c r="F1746" s="27"/>
      <c r="G1746" s="7"/>
      <c r="H1746" s="28"/>
      <c r="I1746" s="28"/>
      <c r="J1746" s="28"/>
      <c r="K1746" s="28"/>
    </row>
    <row r="1747" spans="2:11" x14ac:dyDescent="0.25">
      <c r="B1747" s="25"/>
      <c r="C1747" s="8"/>
      <c r="D1747" s="7"/>
      <c r="E1747" s="27"/>
      <c r="F1747" s="27"/>
      <c r="G1747" s="7"/>
      <c r="H1747" s="28"/>
      <c r="I1747" s="28"/>
      <c r="J1747" s="28"/>
      <c r="K1747" s="28"/>
    </row>
    <row r="1748" spans="2:11" x14ac:dyDescent="0.25">
      <c r="B1748" s="25"/>
      <c r="C1748" s="8"/>
      <c r="D1748" s="7"/>
      <c r="E1748" s="27"/>
      <c r="F1748" s="27"/>
      <c r="G1748" s="7"/>
      <c r="H1748" s="28"/>
      <c r="I1748" s="28"/>
      <c r="J1748" s="28"/>
      <c r="K1748" s="28"/>
    </row>
    <row r="1749" spans="2:11" x14ac:dyDescent="0.25">
      <c r="B1749" s="25"/>
      <c r="C1749" s="8"/>
      <c r="D1749" s="7"/>
      <c r="E1749" s="27"/>
      <c r="F1749" s="27"/>
      <c r="G1749" s="7"/>
      <c r="H1749" s="28"/>
      <c r="I1749" s="28"/>
      <c r="J1749" s="28"/>
      <c r="K1749" s="28"/>
    </row>
    <row r="1750" spans="2:11" x14ac:dyDescent="0.25">
      <c r="B1750" s="25"/>
      <c r="C1750" s="8"/>
      <c r="D1750" s="7"/>
      <c r="E1750" s="27"/>
      <c r="F1750" s="27"/>
      <c r="G1750" s="7"/>
      <c r="H1750" s="28"/>
      <c r="I1750" s="28"/>
      <c r="J1750" s="28"/>
      <c r="K1750" s="28"/>
    </row>
    <row r="1751" spans="2:11" x14ac:dyDescent="0.25">
      <c r="B1751" s="25"/>
      <c r="C1751" s="8"/>
      <c r="D1751" s="7"/>
      <c r="E1751" s="27"/>
      <c r="F1751" s="27"/>
      <c r="G1751" s="7"/>
      <c r="H1751" s="28"/>
      <c r="I1751" s="28"/>
      <c r="J1751" s="28"/>
      <c r="K1751" s="28"/>
    </row>
    <row r="1752" spans="2:11" x14ac:dyDescent="0.25">
      <c r="B1752" s="25"/>
      <c r="C1752" s="8"/>
      <c r="D1752" s="7"/>
      <c r="E1752" s="27"/>
      <c r="F1752" s="27"/>
      <c r="G1752" s="7"/>
      <c r="H1752" s="28"/>
      <c r="I1752" s="28"/>
      <c r="J1752" s="28"/>
      <c r="K1752" s="28"/>
    </row>
    <row r="1753" spans="2:11" x14ac:dyDescent="0.25">
      <c r="B1753" s="25"/>
      <c r="C1753" s="8"/>
      <c r="D1753" s="7"/>
      <c r="E1753" s="27"/>
      <c r="F1753" s="27"/>
      <c r="G1753" s="7"/>
      <c r="H1753" s="28"/>
      <c r="I1753" s="28"/>
      <c r="J1753" s="28"/>
      <c r="K1753" s="28"/>
    </row>
    <row r="1754" spans="2:11" x14ac:dyDescent="0.25">
      <c r="B1754" s="25"/>
      <c r="C1754" s="8"/>
      <c r="D1754" s="7"/>
      <c r="E1754" s="27"/>
      <c r="F1754" s="27"/>
      <c r="G1754" s="7"/>
      <c r="H1754" s="28"/>
      <c r="I1754" s="28"/>
      <c r="J1754" s="28"/>
      <c r="K1754" s="28"/>
    </row>
    <row r="1755" spans="2:11" x14ac:dyDescent="0.25">
      <c r="B1755" s="25"/>
      <c r="C1755" s="8"/>
      <c r="D1755" s="7"/>
      <c r="E1755" s="27"/>
      <c r="F1755" s="27"/>
      <c r="G1755" s="7"/>
      <c r="H1755" s="28"/>
      <c r="I1755" s="28"/>
      <c r="J1755" s="28"/>
      <c r="K1755" s="28"/>
    </row>
    <row r="1756" spans="2:11" x14ac:dyDescent="0.25">
      <c r="B1756" s="25"/>
      <c r="C1756" s="8"/>
      <c r="D1756" s="7"/>
      <c r="E1756" s="27"/>
      <c r="F1756" s="27"/>
      <c r="G1756" s="7"/>
      <c r="H1756" s="28"/>
      <c r="I1756" s="28"/>
      <c r="J1756" s="28"/>
      <c r="K1756" s="28"/>
    </row>
    <row r="1757" spans="2:11" x14ac:dyDescent="0.25">
      <c r="B1757" s="25"/>
      <c r="C1757" s="8"/>
      <c r="D1757" s="7"/>
      <c r="E1757" s="27"/>
      <c r="F1757" s="27"/>
      <c r="G1757" s="7"/>
      <c r="H1757" s="28"/>
      <c r="I1757" s="28"/>
      <c r="J1757" s="28"/>
      <c r="K1757" s="28"/>
    </row>
    <row r="1758" spans="2:11" x14ac:dyDescent="0.25">
      <c r="B1758" s="25"/>
      <c r="C1758" s="8"/>
      <c r="D1758" s="7"/>
      <c r="E1758" s="27"/>
      <c r="F1758" s="27"/>
      <c r="G1758" s="7"/>
      <c r="H1758" s="28"/>
      <c r="I1758" s="28"/>
      <c r="J1758" s="28"/>
      <c r="K1758" s="28"/>
    </row>
    <row r="1759" spans="2:11" x14ac:dyDescent="0.25">
      <c r="B1759" s="25"/>
      <c r="C1759" s="8"/>
      <c r="D1759" s="7"/>
      <c r="E1759" s="27"/>
      <c r="F1759" s="27"/>
      <c r="G1759" s="7"/>
      <c r="H1759" s="28"/>
      <c r="I1759" s="28"/>
      <c r="J1759" s="28"/>
      <c r="K1759" s="28"/>
    </row>
    <row r="1760" spans="2:11" x14ac:dyDescent="0.25">
      <c r="B1760" s="25"/>
      <c r="C1760" s="8"/>
      <c r="D1760" s="7"/>
      <c r="E1760" s="27"/>
      <c r="F1760" s="27"/>
      <c r="G1760" s="7"/>
      <c r="H1760" s="28"/>
      <c r="I1760" s="28"/>
      <c r="J1760" s="28"/>
      <c r="K1760" s="28"/>
    </row>
    <row r="1761" spans="2:11" x14ac:dyDescent="0.25">
      <c r="B1761" s="25"/>
      <c r="C1761" s="8"/>
      <c r="D1761" s="7"/>
      <c r="E1761" s="27"/>
      <c r="F1761" s="27"/>
      <c r="G1761" s="7"/>
      <c r="H1761" s="28"/>
      <c r="I1761" s="28"/>
      <c r="J1761" s="28"/>
      <c r="K1761" s="28"/>
    </row>
    <row r="1762" spans="2:11" x14ac:dyDescent="0.25">
      <c r="B1762" s="25"/>
      <c r="C1762" s="8"/>
      <c r="D1762" s="7"/>
      <c r="E1762" s="27"/>
      <c r="F1762" s="27"/>
      <c r="G1762" s="7"/>
      <c r="H1762" s="28"/>
      <c r="I1762" s="28"/>
      <c r="J1762" s="28"/>
      <c r="K1762" s="28"/>
    </row>
    <row r="1763" spans="2:11" x14ac:dyDescent="0.25">
      <c r="B1763" s="25"/>
      <c r="C1763" s="8"/>
      <c r="D1763" s="7"/>
      <c r="E1763" s="27"/>
      <c r="F1763" s="27"/>
      <c r="G1763" s="7"/>
      <c r="H1763" s="28"/>
      <c r="I1763" s="28"/>
      <c r="J1763" s="28"/>
      <c r="K1763" s="28"/>
    </row>
    <row r="1764" spans="2:11" x14ac:dyDescent="0.25">
      <c r="B1764" s="25"/>
      <c r="C1764" s="8"/>
      <c r="D1764" s="7"/>
      <c r="E1764" s="27"/>
      <c r="F1764" s="27"/>
      <c r="G1764" s="7"/>
      <c r="H1764" s="28"/>
      <c r="I1764" s="28"/>
      <c r="J1764" s="28"/>
      <c r="K1764" s="28"/>
    </row>
    <row r="1765" spans="2:11" x14ac:dyDescent="0.25">
      <c r="B1765" s="25"/>
      <c r="C1765" s="8"/>
      <c r="D1765" s="7"/>
      <c r="E1765" s="27"/>
      <c r="F1765" s="27"/>
      <c r="G1765" s="7"/>
      <c r="H1765" s="28"/>
      <c r="I1765" s="28"/>
      <c r="J1765" s="28"/>
      <c r="K1765" s="28"/>
    </row>
    <row r="1766" spans="2:11" x14ac:dyDescent="0.25">
      <c r="B1766" s="25"/>
      <c r="C1766" s="8"/>
      <c r="D1766" s="7"/>
      <c r="E1766" s="27"/>
      <c r="F1766" s="27"/>
      <c r="G1766" s="7"/>
      <c r="H1766" s="28"/>
      <c r="I1766" s="28"/>
      <c r="J1766" s="28"/>
      <c r="K1766" s="28"/>
    </row>
    <row r="1767" spans="2:11" x14ac:dyDescent="0.25">
      <c r="B1767" s="25"/>
      <c r="C1767" s="8"/>
      <c r="D1767" s="7"/>
      <c r="E1767" s="27"/>
      <c r="F1767" s="27"/>
      <c r="G1767" s="7"/>
      <c r="H1767" s="28"/>
      <c r="I1767" s="28"/>
      <c r="J1767" s="28"/>
      <c r="K1767" s="28"/>
    </row>
    <row r="1768" spans="2:11" x14ac:dyDescent="0.25">
      <c r="B1768" s="25"/>
      <c r="C1768" s="8"/>
      <c r="D1768" s="7"/>
      <c r="E1768" s="27"/>
      <c r="F1768" s="27"/>
      <c r="G1768" s="7"/>
      <c r="H1768" s="28"/>
      <c r="I1768" s="28"/>
      <c r="J1768" s="28"/>
      <c r="K1768" s="28"/>
    </row>
    <row r="1769" spans="2:11" x14ac:dyDescent="0.25">
      <c r="B1769" s="25"/>
      <c r="C1769" s="8"/>
      <c r="D1769" s="7"/>
      <c r="E1769" s="27"/>
      <c r="F1769" s="27"/>
      <c r="G1769" s="7"/>
      <c r="H1769" s="28"/>
      <c r="I1769" s="28"/>
      <c r="J1769" s="28"/>
      <c r="K1769" s="28"/>
    </row>
    <row r="1770" spans="2:11" x14ac:dyDescent="0.25">
      <c r="B1770" s="25"/>
      <c r="C1770" s="8"/>
      <c r="D1770" s="7"/>
      <c r="E1770" s="27"/>
      <c r="F1770" s="27"/>
      <c r="G1770" s="7"/>
      <c r="H1770" s="28"/>
      <c r="I1770" s="28"/>
      <c r="J1770" s="28"/>
      <c r="K1770" s="28"/>
    </row>
    <row r="1771" spans="2:11" x14ac:dyDescent="0.25">
      <c r="B1771" s="25"/>
      <c r="C1771" s="8"/>
      <c r="D1771" s="7"/>
      <c r="E1771" s="27"/>
      <c r="F1771" s="27"/>
      <c r="G1771" s="7"/>
      <c r="H1771" s="28"/>
      <c r="I1771" s="28"/>
      <c r="J1771" s="28"/>
      <c r="K1771" s="28"/>
    </row>
    <row r="1772" spans="2:11" x14ac:dyDescent="0.25">
      <c r="B1772" s="25"/>
      <c r="C1772" s="8"/>
      <c r="D1772" s="7"/>
      <c r="E1772" s="27"/>
      <c r="F1772" s="27"/>
      <c r="G1772" s="7"/>
      <c r="H1772" s="28"/>
      <c r="I1772" s="28"/>
      <c r="J1772" s="28"/>
      <c r="K1772" s="28"/>
    </row>
    <row r="1773" spans="2:11" x14ac:dyDescent="0.25">
      <c r="B1773" s="25"/>
      <c r="C1773" s="8"/>
      <c r="D1773" s="7"/>
      <c r="E1773" s="27"/>
      <c r="F1773" s="27"/>
      <c r="G1773" s="7"/>
      <c r="H1773" s="28"/>
      <c r="I1773" s="28"/>
      <c r="J1773" s="28"/>
      <c r="K1773" s="28"/>
    </row>
    <row r="1774" spans="2:11" x14ac:dyDescent="0.25">
      <c r="B1774" s="25"/>
      <c r="C1774" s="8"/>
      <c r="D1774" s="7"/>
      <c r="E1774" s="27"/>
      <c r="F1774" s="27"/>
      <c r="G1774" s="7"/>
      <c r="H1774" s="28"/>
      <c r="I1774" s="28"/>
      <c r="J1774" s="28"/>
      <c r="K1774" s="28"/>
    </row>
    <row r="1775" spans="2:11" x14ac:dyDescent="0.25">
      <c r="B1775" s="25"/>
      <c r="C1775" s="8"/>
      <c r="D1775" s="7"/>
      <c r="E1775" s="27"/>
      <c r="F1775" s="27"/>
      <c r="G1775" s="7"/>
      <c r="H1775" s="28"/>
      <c r="I1775" s="28"/>
      <c r="J1775" s="28"/>
      <c r="K1775" s="28"/>
    </row>
    <row r="1776" spans="2:11" x14ac:dyDescent="0.25">
      <c r="B1776" s="25"/>
      <c r="C1776" s="8"/>
      <c r="D1776" s="7"/>
      <c r="E1776" s="27"/>
      <c r="F1776" s="27"/>
      <c r="G1776" s="7"/>
      <c r="H1776" s="28"/>
      <c r="I1776" s="28"/>
      <c r="J1776" s="28"/>
      <c r="K1776" s="28"/>
    </row>
    <row r="1777" spans="2:11" x14ac:dyDescent="0.25">
      <c r="B1777" s="25"/>
      <c r="C1777" s="8"/>
      <c r="D1777" s="7"/>
      <c r="E1777" s="27"/>
      <c r="F1777" s="27"/>
      <c r="G1777" s="7"/>
      <c r="H1777" s="28"/>
      <c r="I1777" s="28"/>
      <c r="J1777" s="28"/>
      <c r="K1777" s="28"/>
    </row>
    <row r="1778" spans="2:11" x14ac:dyDescent="0.25">
      <c r="B1778" s="25"/>
      <c r="C1778" s="8"/>
      <c r="D1778" s="7"/>
      <c r="E1778" s="27"/>
      <c r="F1778" s="27"/>
      <c r="G1778" s="7"/>
      <c r="H1778" s="28"/>
      <c r="I1778" s="28"/>
      <c r="J1778" s="28"/>
      <c r="K1778" s="28"/>
    </row>
    <row r="1779" spans="2:11" x14ac:dyDescent="0.25">
      <c r="B1779" s="25"/>
      <c r="C1779" s="8"/>
      <c r="D1779" s="7"/>
      <c r="E1779" s="27"/>
      <c r="F1779" s="27"/>
      <c r="G1779" s="7"/>
      <c r="H1779" s="28"/>
      <c r="I1779" s="28"/>
      <c r="J1779" s="28"/>
      <c r="K1779" s="28"/>
    </row>
    <row r="1780" spans="2:11" x14ac:dyDescent="0.25">
      <c r="B1780" s="25"/>
      <c r="C1780" s="8"/>
      <c r="D1780" s="7"/>
      <c r="E1780" s="27"/>
      <c r="F1780" s="27"/>
      <c r="G1780" s="7"/>
      <c r="H1780" s="28"/>
      <c r="I1780" s="28"/>
      <c r="J1780" s="28"/>
      <c r="K1780" s="28"/>
    </row>
    <row r="1781" spans="2:11" x14ac:dyDescent="0.25">
      <c r="B1781" s="25"/>
      <c r="C1781" s="8"/>
      <c r="D1781" s="7"/>
      <c r="E1781" s="27"/>
      <c r="F1781" s="27"/>
      <c r="G1781" s="7"/>
      <c r="H1781" s="28"/>
      <c r="I1781" s="28"/>
      <c r="J1781" s="28"/>
      <c r="K1781" s="28"/>
    </row>
    <row r="1782" spans="2:11" x14ac:dyDescent="0.25">
      <c r="B1782" s="25"/>
      <c r="C1782" s="8"/>
      <c r="D1782" s="7"/>
      <c r="E1782" s="27"/>
      <c r="F1782" s="27"/>
      <c r="G1782" s="7"/>
      <c r="H1782" s="28"/>
      <c r="I1782" s="28"/>
      <c r="J1782" s="28"/>
      <c r="K1782" s="28"/>
    </row>
    <row r="1783" spans="2:11" x14ac:dyDescent="0.25">
      <c r="B1783" s="25"/>
      <c r="C1783" s="8"/>
      <c r="D1783" s="7"/>
      <c r="E1783" s="27"/>
      <c r="F1783" s="27"/>
      <c r="G1783" s="7"/>
      <c r="H1783" s="28"/>
      <c r="I1783" s="28"/>
      <c r="J1783" s="28"/>
      <c r="K1783" s="28"/>
    </row>
    <row r="1784" spans="2:11" x14ac:dyDescent="0.25">
      <c r="B1784" s="25"/>
      <c r="C1784" s="8"/>
      <c r="D1784" s="7"/>
      <c r="E1784" s="27"/>
      <c r="F1784" s="27"/>
      <c r="G1784" s="7"/>
      <c r="H1784" s="28"/>
      <c r="I1784" s="28"/>
      <c r="J1784" s="28"/>
      <c r="K1784" s="28"/>
    </row>
    <row r="1785" spans="2:11" x14ac:dyDescent="0.25">
      <c r="B1785" s="25"/>
      <c r="C1785" s="8"/>
      <c r="D1785" s="7"/>
      <c r="E1785" s="27"/>
      <c r="F1785" s="27"/>
      <c r="G1785" s="7"/>
      <c r="H1785" s="28"/>
      <c r="I1785" s="28"/>
      <c r="J1785" s="28"/>
      <c r="K1785" s="28"/>
    </row>
    <row r="1786" spans="2:11" x14ac:dyDescent="0.25">
      <c r="B1786" s="25"/>
      <c r="C1786" s="8"/>
      <c r="D1786" s="7"/>
      <c r="E1786" s="27"/>
      <c r="F1786" s="27"/>
      <c r="G1786" s="7"/>
      <c r="H1786" s="28"/>
      <c r="I1786" s="28"/>
      <c r="J1786" s="28"/>
      <c r="K1786" s="28"/>
    </row>
    <row r="1787" spans="2:11" x14ac:dyDescent="0.25">
      <c r="B1787" s="25"/>
      <c r="C1787" s="8"/>
      <c r="D1787" s="7"/>
      <c r="E1787" s="27"/>
      <c r="F1787" s="27"/>
      <c r="G1787" s="7"/>
      <c r="H1787" s="28"/>
      <c r="I1787" s="28"/>
      <c r="J1787" s="28"/>
      <c r="K1787" s="28"/>
    </row>
    <row r="1788" spans="2:11" x14ac:dyDescent="0.25">
      <c r="B1788" s="25"/>
      <c r="C1788" s="8"/>
      <c r="D1788" s="7"/>
      <c r="E1788" s="27"/>
      <c r="F1788" s="27"/>
      <c r="G1788" s="7"/>
      <c r="H1788" s="28"/>
      <c r="I1788" s="28"/>
      <c r="J1788" s="28"/>
      <c r="K1788" s="28"/>
    </row>
    <row r="1789" spans="2:11" x14ac:dyDescent="0.25">
      <c r="B1789" s="25"/>
      <c r="C1789" s="8"/>
      <c r="D1789" s="7"/>
      <c r="E1789" s="27"/>
      <c r="F1789" s="27"/>
      <c r="G1789" s="7"/>
      <c r="H1789" s="28"/>
      <c r="I1789" s="28"/>
      <c r="J1789" s="28"/>
      <c r="K1789" s="28"/>
    </row>
    <row r="1790" spans="2:11" x14ac:dyDescent="0.25">
      <c r="B1790" s="25"/>
      <c r="C1790" s="8"/>
      <c r="D1790" s="7"/>
      <c r="E1790" s="27"/>
      <c r="F1790" s="27"/>
      <c r="G1790" s="7"/>
      <c r="H1790" s="28"/>
      <c r="I1790" s="28"/>
      <c r="J1790" s="28"/>
      <c r="K1790" s="28"/>
    </row>
    <row r="1791" spans="2:11" x14ac:dyDescent="0.25">
      <c r="B1791" s="25"/>
      <c r="C1791" s="8"/>
      <c r="D1791" s="7"/>
      <c r="E1791" s="27"/>
      <c r="F1791" s="27"/>
      <c r="G1791" s="7"/>
      <c r="H1791" s="28"/>
      <c r="I1791" s="28"/>
      <c r="J1791" s="28"/>
      <c r="K1791" s="28"/>
    </row>
    <row r="1792" spans="2:11" x14ac:dyDescent="0.25">
      <c r="B1792" s="25"/>
      <c r="C1792" s="8"/>
      <c r="D1792" s="7"/>
      <c r="E1792" s="27"/>
      <c r="F1792" s="27"/>
      <c r="G1792" s="7"/>
      <c r="H1792" s="28"/>
      <c r="I1792" s="28"/>
      <c r="J1792" s="28"/>
      <c r="K1792" s="28"/>
    </row>
    <row r="1793" spans="2:11" x14ac:dyDescent="0.25">
      <c r="B1793" s="25"/>
      <c r="C1793" s="8"/>
      <c r="D1793" s="7"/>
      <c r="E1793" s="27"/>
      <c r="F1793" s="27"/>
      <c r="G1793" s="7"/>
      <c r="H1793" s="28"/>
      <c r="I1793" s="28"/>
      <c r="J1793" s="28"/>
      <c r="K1793" s="28"/>
    </row>
    <row r="1794" spans="2:11" x14ac:dyDescent="0.25">
      <c r="B1794" s="25"/>
      <c r="C1794" s="8"/>
      <c r="D1794" s="7"/>
      <c r="E1794" s="27"/>
      <c r="F1794" s="27"/>
      <c r="G1794" s="7"/>
      <c r="H1794" s="28"/>
      <c r="I1794" s="28"/>
      <c r="J1794" s="28"/>
      <c r="K1794" s="28"/>
    </row>
    <row r="1795" spans="2:11" x14ac:dyDescent="0.25">
      <c r="B1795" s="25"/>
      <c r="C1795" s="8"/>
      <c r="D1795" s="7"/>
      <c r="E1795" s="27"/>
      <c r="F1795" s="27"/>
      <c r="G1795" s="7"/>
      <c r="H1795" s="28"/>
      <c r="I1795" s="28"/>
      <c r="J1795" s="28"/>
      <c r="K1795" s="28"/>
    </row>
    <row r="1796" spans="2:11" x14ac:dyDescent="0.25">
      <c r="B1796" s="25"/>
      <c r="C1796" s="8"/>
      <c r="D1796" s="7"/>
      <c r="E1796" s="27"/>
      <c r="F1796" s="27"/>
      <c r="G1796" s="7"/>
      <c r="H1796" s="28"/>
      <c r="I1796" s="28"/>
      <c r="J1796" s="28"/>
      <c r="K1796" s="28"/>
    </row>
    <row r="1797" spans="2:11" x14ac:dyDescent="0.25">
      <c r="B1797" s="25"/>
      <c r="C1797" s="8"/>
      <c r="D1797" s="7"/>
      <c r="E1797" s="27"/>
      <c r="F1797" s="27"/>
      <c r="G1797" s="7"/>
      <c r="H1797" s="28"/>
      <c r="I1797" s="28"/>
      <c r="J1797" s="28"/>
      <c r="K1797" s="28"/>
    </row>
    <row r="1798" spans="2:11" x14ac:dyDescent="0.25">
      <c r="B1798" s="25"/>
      <c r="C1798" s="8"/>
      <c r="D1798" s="7"/>
      <c r="E1798" s="27"/>
      <c r="F1798" s="27"/>
      <c r="G1798" s="7"/>
      <c r="H1798" s="28"/>
      <c r="I1798" s="28"/>
      <c r="J1798" s="28"/>
      <c r="K1798" s="28"/>
    </row>
    <row r="1799" spans="2:11" x14ac:dyDescent="0.25">
      <c r="B1799" s="25"/>
      <c r="C1799" s="8"/>
      <c r="D1799" s="7"/>
      <c r="E1799" s="27"/>
      <c r="F1799" s="27"/>
      <c r="G1799" s="7"/>
      <c r="H1799" s="28"/>
      <c r="I1799" s="28"/>
      <c r="J1799" s="28"/>
      <c r="K1799" s="28"/>
    </row>
    <row r="1800" spans="2:11" x14ac:dyDescent="0.25">
      <c r="B1800" s="25"/>
      <c r="C1800" s="8"/>
      <c r="D1800" s="7"/>
      <c r="E1800" s="27"/>
      <c r="F1800" s="27"/>
      <c r="G1800" s="7"/>
      <c r="H1800" s="28"/>
      <c r="I1800" s="28"/>
      <c r="J1800" s="28"/>
      <c r="K1800" s="28"/>
    </row>
    <row r="1801" spans="2:11" x14ac:dyDescent="0.25">
      <c r="B1801" s="25"/>
      <c r="C1801" s="8"/>
      <c r="D1801" s="7"/>
      <c r="E1801" s="27"/>
      <c r="F1801" s="27"/>
      <c r="G1801" s="7"/>
      <c r="H1801" s="28"/>
      <c r="I1801" s="28"/>
      <c r="J1801" s="28"/>
      <c r="K1801" s="28"/>
    </row>
    <row r="1802" spans="2:11" x14ac:dyDescent="0.25">
      <c r="B1802" s="25"/>
      <c r="C1802" s="8"/>
      <c r="D1802" s="7"/>
      <c r="E1802" s="27"/>
      <c r="F1802" s="27"/>
      <c r="G1802" s="7"/>
      <c r="H1802" s="28"/>
      <c r="I1802" s="28"/>
      <c r="J1802" s="28"/>
      <c r="K1802" s="28"/>
    </row>
    <row r="1803" spans="2:11" x14ac:dyDescent="0.25">
      <c r="B1803" s="25"/>
      <c r="C1803" s="8"/>
      <c r="D1803" s="7"/>
      <c r="E1803" s="27"/>
      <c r="F1803" s="27"/>
      <c r="G1803" s="7"/>
      <c r="H1803" s="28"/>
      <c r="I1803" s="28"/>
      <c r="J1803" s="28"/>
      <c r="K1803" s="28"/>
    </row>
    <row r="1804" spans="2:11" x14ac:dyDescent="0.25">
      <c r="B1804" s="25"/>
      <c r="C1804" s="8"/>
      <c r="D1804" s="7"/>
      <c r="E1804" s="27"/>
      <c r="F1804" s="27"/>
      <c r="G1804" s="7"/>
      <c r="H1804" s="28"/>
      <c r="I1804" s="28"/>
      <c r="J1804" s="28"/>
      <c r="K1804" s="28"/>
    </row>
    <row r="1805" spans="2:11" x14ac:dyDescent="0.25">
      <c r="B1805" s="25"/>
      <c r="C1805" s="8"/>
      <c r="D1805" s="7"/>
      <c r="E1805" s="27"/>
      <c r="F1805" s="27"/>
      <c r="G1805" s="7"/>
      <c r="H1805" s="28"/>
      <c r="I1805" s="28"/>
      <c r="J1805" s="28"/>
      <c r="K1805" s="28"/>
    </row>
    <row r="1806" spans="2:11" x14ac:dyDescent="0.25">
      <c r="B1806" s="25"/>
      <c r="C1806" s="8"/>
      <c r="D1806" s="7"/>
      <c r="E1806" s="27"/>
      <c r="F1806" s="27"/>
      <c r="G1806" s="7"/>
      <c r="H1806" s="28"/>
      <c r="I1806" s="28"/>
      <c r="J1806" s="28"/>
      <c r="K1806" s="28"/>
    </row>
    <row r="1807" spans="2:11" x14ac:dyDescent="0.25">
      <c r="B1807" s="25"/>
      <c r="C1807" s="8"/>
      <c r="D1807" s="7"/>
      <c r="E1807" s="27"/>
      <c r="F1807" s="27"/>
      <c r="G1807" s="7"/>
      <c r="H1807" s="28"/>
      <c r="I1807" s="28"/>
      <c r="J1807" s="28"/>
      <c r="K1807" s="28"/>
    </row>
    <row r="1808" spans="2:11" x14ac:dyDescent="0.25">
      <c r="B1808" s="25"/>
      <c r="C1808" s="8"/>
      <c r="D1808" s="7"/>
      <c r="E1808" s="27"/>
      <c r="F1808" s="27"/>
      <c r="G1808" s="7"/>
      <c r="H1808" s="28"/>
      <c r="I1808" s="28"/>
      <c r="J1808" s="28"/>
      <c r="K1808" s="28"/>
    </row>
    <row r="1809" spans="2:11" x14ac:dyDescent="0.25">
      <c r="B1809" s="25"/>
      <c r="C1809" s="8"/>
      <c r="D1809" s="7"/>
      <c r="E1809" s="27"/>
      <c r="F1809" s="27"/>
      <c r="G1809" s="7"/>
      <c r="H1809" s="28"/>
      <c r="I1809" s="28"/>
      <c r="J1809" s="28"/>
      <c r="K1809" s="28"/>
    </row>
    <row r="1810" spans="2:11" x14ac:dyDescent="0.25">
      <c r="B1810" s="25"/>
      <c r="C1810" s="8"/>
      <c r="D1810" s="7"/>
      <c r="E1810" s="27"/>
      <c r="F1810" s="27"/>
      <c r="G1810" s="7"/>
      <c r="H1810" s="28"/>
      <c r="I1810" s="28"/>
      <c r="J1810" s="28"/>
      <c r="K1810" s="28"/>
    </row>
    <row r="1811" spans="2:11" x14ac:dyDescent="0.25">
      <c r="B1811" s="25"/>
      <c r="C1811" s="8"/>
      <c r="D1811" s="7"/>
      <c r="E1811" s="27"/>
      <c r="F1811" s="27"/>
      <c r="G1811" s="7"/>
      <c r="H1811" s="28"/>
      <c r="I1811" s="28"/>
      <c r="J1811" s="28"/>
      <c r="K1811" s="28"/>
    </row>
    <row r="1812" spans="2:11" x14ac:dyDescent="0.25">
      <c r="B1812" s="25"/>
      <c r="C1812" s="8"/>
      <c r="D1812" s="7"/>
      <c r="E1812" s="27"/>
      <c r="F1812" s="27"/>
      <c r="G1812" s="7"/>
      <c r="H1812" s="28"/>
      <c r="I1812" s="28"/>
      <c r="J1812" s="28"/>
      <c r="K1812" s="28"/>
    </row>
    <row r="1813" spans="2:11" x14ac:dyDescent="0.25">
      <c r="B1813" s="25"/>
      <c r="C1813" s="8"/>
      <c r="D1813" s="7"/>
      <c r="E1813" s="27"/>
      <c r="F1813" s="27"/>
      <c r="G1813" s="7"/>
      <c r="H1813" s="28"/>
      <c r="I1813" s="28"/>
      <c r="J1813" s="28"/>
      <c r="K1813" s="28"/>
    </row>
    <row r="1814" spans="2:11" x14ac:dyDescent="0.25">
      <c r="B1814" s="25"/>
      <c r="C1814" s="8"/>
      <c r="D1814" s="7"/>
      <c r="E1814" s="27"/>
      <c r="F1814" s="27"/>
      <c r="G1814" s="7"/>
      <c r="H1814" s="28"/>
      <c r="I1814" s="28"/>
      <c r="J1814" s="28"/>
      <c r="K1814" s="28"/>
    </row>
    <row r="1815" spans="2:11" x14ac:dyDescent="0.25">
      <c r="B1815" s="25"/>
      <c r="C1815" s="8"/>
      <c r="D1815" s="7"/>
      <c r="E1815" s="27"/>
      <c r="F1815" s="27"/>
      <c r="G1815" s="7"/>
      <c r="H1815" s="28"/>
      <c r="I1815" s="28"/>
      <c r="J1815" s="28"/>
      <c r="K1815" s="28"/>
    </row>
    <row r="1816" spans="2:11" x14ac:dyDescent="0.25">
      <c r="B1816" s="25"/>
      <c r="C1816" s="8"/>
      <c r="D1816" s="7"/>
      <c r="E1816" s="27"/>
      <c r="F1816" s="27"/>
      <c r="G1816" s="7"/>
      <c r="H1816" s="28"/>
      <c r="I1816" s="28"/>
      <c r="J1816" s="28"/>
      <c r="K1816" s="28"/>
    </row>
    <row r="1817" spans="2:11" x14ac:dyDescent="0.25">
      <c r="B1817" s="25"/>
      <c r="C1817" s="8"/>
      <c r="D1817" s="7"/>
      <c r="E1817" s="27"/>
      <c r="F1817" s="27"/>
      <c r="G1817" s="7"/>
      <c r="H1817" s="28"/>
      <c r="I1817" s="28"/>
      <c r="J1817" s="28"/>
      <c r="K1817" s="28"/>
    </row>
    <row r="1818" spans="2:11" x14ac:dyDescent="0.25">
      <c r="B1818" s="25"/>
      <c r="C1818" s="8"/>
      <c r="D1818" s="7"/>
      <c r="E1818" s="27"/>
      <c r="F1818" s="27"/>
      <c r="G1818" s="7"/>
      <c r="H1818" s="28"/>
      <c r="I1818" s="28"/>
      <c r="J1818" s="28"/>
      <c r="K1818" s="28"/>
    </row>
    <row r="1819" spans="2:11" x14ac:dyDescent="0.25">
      <c r="B1819" s="25"/>
      <c r="C1819" s="8"/>
      <c r="D1819" s="7"/>
      <c r="E1819" s="27"/>
      <c r="F1819" s="27"/>
      <c r="G1819" s="7"/>
      <c r="H1819" s="28"/>
      <c r="I1819" s="28"/>
      <c r="J1819" s="28"/>
      <c r="K1819" s="28"/>
    </row>
    <row r="1820" spans="2:11" x14ac:dyDescent="0.25">
      <c r="B1820" s="25"/>
      <c r="C1820" s="8"/>
      <c r="D1820" s="7"/>
      <c r="E1820" s="27"/>
      <c r="F1820" s="27"/>
      <c r="G1820" s="7"/>
      <c r="H1820" s="28"/>
      <c r="I1820" s="28"/>
      <c r="J1820" s="28"/>
      <c r="K1820" s="28"/>
    </row>
    <row r="1821" spans="2:11" x14ac:dyDescent="0.25">
      <c r="B1821" s="25"/>
      <c r="C1821" s="8"/>
      <c r="D1821" s="7"/>
      <c r="E1821" s="27"/>
      <c r="F1821" s="27"/>
      <c r="G1821" s="7"/>
      <c r="H1821" s="28"/>
      <c r="I1821" s="28"/>
      <c r="J1821" s="28"/>
      <c r="K1821" s="28"/>
    </row>
    <row r="1822" spans="2:11" x14ac:dyDescent="0.25">
      <c r="B1822" s="25"/>
      <c r="C1822" s="8"/>
      <c r="D1822" s="7"/>
      <c r="E1822" s="27"/>
      <c r="F1822" s="27"/>
      <c r="G1822" s="7"/>
      <c r="H1822" s="28"/>
      <c r="I1822" s="28"/>
      <c r="J1822" s="28"/>
      <c r="K1822" s="28"/>
    </row>
    <row r="1823" spans="2:11" x14ac:dyDescent="0.25">
      <c r="B1823" s="25"/>
      <c r="C1823" s="8"/>
      <c r="D1823" s="7"/>
      <c r="E1823" s="27"/>
      <c r="F1823" s="27"/>
      <c r="G1823" s="7"/>
      <c r="H1823" s="28"/>
      <c r="I1823" s="28"/>
      <c r="J1823" s="28"/>
      <c r="K1823" s="28"/>
    </row>
    <row r="1824" spans="2:11" x14ac:dyDescent="0.25">
      <c r="B1824" s="25"/>
      <c r="C1824" s="8"/>
      <c r="D1824" s="7"/>
      <c r="E1824" s="27"/>
      <c r="F1824" s="27"/>
      <c r="G1824" s="7"/>
      <c r="H1824" s="28"/>
      <c r="I1824" s="28"/>
      <c r="J1824" s="28"/>
      <c r="K1824" s="28"/>
    </row>
    <row r="1825" spans="2:11" x14ac:dyDescent="0.25">
      <c r="B1825" s="25"/>
      <c r="C1825" s="8"/>
      <c r="D1825" s="7"/>
      <c r="E1825" s="27"/>
      <c r="F1825" s="27"/>
      <c r="G1825" s="7"/>
      <c r="H1825" s="28"/>
      <c r="I1825" s="28"/>
      <c r="J1825" s="28"/>
      <c r="K1825" s="28"/>
    </row>
    <row r="1826" spans="2:11" x14ac:dyDescent="0.25">
      <c r="B1826" s="25"/>
      <c r="C1826" s="8"/>
      <c r="D1826" s="7"/>
      <c r="E1826" s="27"/>
      <c r="F1826" s="27"/>
      <c r="G1826" s="7"/>
      <c r="H1826" s="28"/>
      <c r="I1826" s="28"/>
      <c r="J1826" s="28"/>
      <c r="K1826" s="28"/>
    </row>
    <row r="1827" spans="2:11" x14ac:dyDescent="0.25">
      <c r="B1827" s="25"/>
      <c r="C1827" s="8"/>
      <c r="D1827" s="7"/>
      <c r="E1827" s="27"/>
      <c r="F1827" s="27"/>
      <c r="G1827" s="7"/>
      <c r="H1827" s="28"/>
      <c r="I1827" s="28"/>
      <c r="J1827" s="28"/>
      <c r="K1827" s="28"/>
    </row>
    <row r="1828" spans="2:11" x14ac:dyDescent="0.25">
      <c r="B1828" s="25"/>
      <c r="C1828" s="8"/>
      <c r="D1828" s="7"/>
      <c r="E1828" s="27"/>
      <c r="F1828" s="27"/>
      <c r="G1828" s="7"/>
      <c r="H1828" s="28"/>
      <c r="I1828" s="28"/>
      <c r="J1828" s="28"/>
      <c r="K1828" s="28"/>
    </row>
    <row r="1829" spans="2:11" x14ac:dyDescent="0.25">
      <c r="B1829" s="25"/>
      <c r="C1829" s="8"/>
      <c r="D1829" s="7"/>
      <c r="E1829" s="27"/>
      <c r="F1829" s="27"/>
      <c r="G1829" s="7"/>
      <c r="H1829" s="28"/>
      <c r="I1829" s="28"/>
      <c r="J1829" s="28"/>
      <c r="K1829" s="28"/>
    </row>
    <row r="1830" spans="2:11" x14ac:dyDescent="0.25">
      <c r="B1830" s="25"/>
      <c r="C1830" s="8"/>
      <c r="D1830" s="7"/>
      <c r="E1830" s="27"/>
      <c r="F1830" s="27"/>
      <c r="G1830" s="7"/>
      <c r="H1830" s="28"/>
      <c r="I1830" s="28"/>
      <c r="J1830" s="28"/>
      <c r="K1830" s="28"/>
    </row>
    <row r="1831" spans="2:11" x14ac:dyDescent="0.25">
      <c r="B1831" s="25"/>
      <c r="C1831" s="8"/>
      <c r="D1831" s="7"/>
      <c r="E1831" s="27"/>
      <c r="F1831" s="27"/>
      <c r="G1831" s="7"/>
      <c r="H1831" s="28"/>
      <c r="I1831" s="28"/>
      <c r="J1831" s="28"/>
      <c r="K1831" s="28"/>
    </row>
    <row r="1832" spans="2:11" x14ac:dyDescent="0.25">
      <c r="B1832" s="25"/>
      <c r="C1832" s="8"/>
      <c r="D1832" s="7"/>
      <c r="E1832" s="27"/>
      <c r="F1832" s="27"/>
      <c r="G1832" s="7"/>
      <c r="H1832" s="28"/>
      <c r="I1832" s="28"/>
      <c r="J1832" s="28"/>
      <c r="K1832" s="28"/>
    </row>
    <row r="1833" spans="2:11" x14ac:dyDescent="0.25">
      <c r="B1833" s="25"/>
      <c r="C1833" s="8"/>
      <c r="D1833" s="7"/>
      <c r="E1833" s="27"/>
      <c r="F1833" s="27"/>
      <c r="G1833" s="7"/>
      <c r="H1833" s="28"/>
      <c r="I1833" s="28"/>
      <c r="J1833" s="28"/>
      <c r="K1833" s="28"/>
    </row>
    <row r="1834" spans="2:11" x14ac:dyDescent="0.25">
      <c r="B1834" s="25"/>
      <c r="C1834" s="8"/>
      <c r="D1834" s="7"/>
      <c r="E1834" s="27"/>
      <c r="F1834" s="27"/>
      <c r="G1834" s="7"/>
      <c r="H1834" s="28"/>
      <c r="I1834" s="28"/>
      <c r="J1834" s="28"/>
      <c r="K1834" s="28"/>
    </row>
    <row r="1835" spans="2:11" x14ac:dyDescent="0.25">
      <c r="B1835" s="25"/>
      <c r="C1835" s="8"/>
      <c r="D1835" s="7"/>
      <c r="E1835" s="27"/>
      <c r="F1835" s="27"/>
      <c r="G1835" s="7"/>
      <c r="H1835" s="28"/>
      <c r="I1835" s="28"/>
      <c r="J1835" s="28"/>
      <c r="K1835" s="28"/>
    </row>
    <row r="1836" spans="2:11" x14ac:dyDescent="0.25">
      <c r="B1836" s="25"/>
      <c r="C1836" s="8"/>
      <c r="D1836" s="7"/>
      <c r="E1836" s="27"/>
      <c r="F1836" s="27"/>
      <c r="G1836" s="7"/>
      <c r="H1836" s="28"/>
      <c r="I1836" s="28"/>
      <c r="J1836" s="28"/>
      <c r="K1836" s="28"/>
    </row>
    <row r="1837" spans="2:11" x14ac:dyDescent="0.25">
      <c r="B1837" s="25"/>
      <c r="C1837" s="8"/>
      <c r="D1837" s="7"/>
      <c r="E1837" s="27"/>
      <c r="F1837" s="27"/>
      <c r="G1837" s="7"/>
      <c r="H1837" s="28"/>
      <c r="I1837" s="28"/>
      <c r="J1837" s="28"/>
      <c r="K1837" s="28"/>
    </row>
    <row r="1838" spans="2:11" x14ac:dyDescent="0.25">
      <c r="B1838" s="25"/>
      <c r="C1838" s="8"/>
      <c r="D1838" s="7"/>
      <c r="E1838" s="27"/>
      <c r="F1838" s="27"/>
      <c r="G1838" s="7"/>
      <c r="H1838" s="28"/>
      <c r="I1838" s="28"/>
      <c r="J1838" s="28"/>
      <c r="K1838" s="28"/>
    </row>
    <row r="1839" spans="2:11" x14ac:dyDescent="0.25">
      <c r="B1839" s="25"/>
      <c r="C1839" s="8"/>
      <c r="D1839" s="7"/>
      <c r="E1839" s="27"/>
      <c r="F1839" s="27"/>
      <c r="G1839" s="7"/>
      <c r="H1839" s="28"/>
      <c r="I1839" s="28"/>
      <c r="J1839" s="28"/>
      <c r="K1839" s="28"/>
    </row>
    <row r="1840" spans="2:11" x14ac:dyDescent="0.25">
      <c r="B1840" s="25"/>
      <c r="C1840" s="8"/>
      <c r="D1840" s="7"/>
      <c r="E1840" s="27"/>
      <c r="F1840" s="27"/>
      <c r="G1840" s="7"/>
      <c r="H1840" s="28"/>
      <c r="I1840" s="28"/>
      <c r="J1840" s="28"/>
      <c r="K1840" s="28"/>
    </row>
    <row r="1841" spans="2:11" x14ac:dyDescent="0.25">
      <c r="B1841" s="25"/>
      <c r="C1841" s="8"/>
      <c r="D1841" s="7"/>
      <c r="E1841" s="27"/>
      <c r="F1841" s="27"/>
      <c r="G1841" s="7"/>
      <c r="H1841" s="28"/>
      <c r="I1841" s="28"/>
      <c r="J1841" s="28"/>
      <c r="K1841" s="28"/>
    </row>
    <row r="1842" spans="2:11" x14ac:dyDescent="0.25">
      <c r="B1842" s="25"/>
      <c r="C1842" s="8"/>
      <c r="D1842" s="7"/>
      <c r="E1842" s="27"/>
      <c r="F1842" s="27"/>
      <c r="G1842" s="7"/>
      <c r="H1842" s="28"/>
      <c r="I1842" s="28"/>
      <c r="J1842" s="28"/>
      <c r="K1842" s="28"/>
    </row>
    <row r="1843" spans="2:11" x14ac:dyDescent="0.25">
      <c r="B1843" s="25"/>
      <c r="C1843" s="8"/>
      <c r="D1843" s="7"/>
      <c r="E1843" s="27"/>
      <c r="F1843" s="27"/>
      <c r="G1843" s="7"/>
      <c r="H1843" s="28"/>
      <c r="I1843" s="28"/>
      <c r="J1843" s="28"/>
      <c r="K1843" s="28"/>
    </row>
    <row r="1844" spans="2:11" x14ac:dyDescent="0.25">
      <c r="B1844" s="25"/>
      <c r="C1844" s="8"/>
      <c r="D1844" s="7"/>
      <c r="E1844" s="27"/>
      <c r="F1844" s="27"/>
      <c r="G1844" s="7"/>
      <c r="H1844" s="28"/>
      <c r="I1844" s="28"/>
      <c r="J1844" s="28"/>
      <c r="K1844" s="28"/>
    </row>
    <row r="1845" spans="2:11" x14ac:dyDescent="0.25">
      <c r="B1845" s="25"/>
      <c r="C1845" s="8"/>
      <c r="D1845" s="7"/>
      <c r="E1845" s="27"/>
      <c r="F1845" s="27"/>
      <c r="G1845" s="7"/>
      <c r="H1845" s="28"/>
      <c r="I1845" s="28"/>
      <c r="J1845" s="28"/>
      <c r="K1845" s="28"/>
    </row>
    <row r="1846" spans="2:11" x14ac:dyDescent="0.25">
      <c r="B1846" s="25"/>
      <c r="C1846" s="8"/>
      <c r="D1846" s="7"/>
      <c r="E1846" s="27"/>
      <c r="F1846" s="27"/>
      <c r="G1846" s="7"/>
      <c r="H1846" s="28"/>
      <c r="I1846" s="28"/>
      <c r="J1846" s="28"/>
      <c r="K1846" s="28"/>
    </row>
    <row r="1847" spans="2:11" x14ac:dyDescent="0.25">
      <c r="B1847" s="25"/>
      <c r="C1847" s="8"/>
      <c r="D1847" s="7"/>
      <c r="E1847" s="27"/>
      <c r="F1847" s="27"/>
      <c r="G1847" s="7"/>
      <c r="H1847" s="28"/>
      <c r="I1847" s="28"/>
      <c r="J1847" s="28"/>
      <c r="K1847" s="28"/>
    </row>
    <row r="1848" spans="2:11" x14ac:dyDescent="0.25">
      <c r="B1848" s="25"/>
      <c r="C1848" s="8"/>
      <c r="D1848" s="7"/>
      <c r="E1848" s="27"/>
      <c r="F1848" s="27"/>
      <c r="G1848" s="7"/>
      <c r="H1848" s="28"/>
      <c r="I1848" s="28"/>
      <c r="J1848" s="28"/>
      <c r="K1848" s="28"/>
    </row>
    <row r="1849" spans="2:11" x14ac:dyDescent="0.25">
      <c r="B1849" s="25"/>
      <c r="C1849" s="8"/>
      <c r="D1849" s="7"/>
      <c r="E1849" s="27"/>
      <c r="F1849" s="27"/>
      <c r="G1849" s="7"/>
      <c r="H1849" s="28"/>
      <c r="I1849" s="28"/>
      <c r="J1849" s="28"/>
      <c r="K1849" s="28"/>
    </row>
    <row r="1850" spans="2:11" x14ac:dyDescent="0.25">
      <c r="B1850" s="25"/>
      <c r="C1850" s="8"/>
      <c r="D1850" s="7"/>
      <c r="E1850" s="27"/>
      <c r="F1850" s="27"/>
      <c r="G1850" s="7"/>
      <c r="H1850" s="28"/>
      <c r="I1850" s="28"/>
      <c r="J1850" s="28"/>
      <c r="K1850" s="28"/>
    </row>
    <row r="1851" spans="2:11" x14ac:dyDescent="0.25">
      <c r="B1851" s="25"/>
      <c r="C1851" s="8"/>
      <c r="D1851" s="7"/>
      <c r="E1851" s="27"/>
      <c r="F1851" s="27"/>
      <c r="G1851" s="7"/>
      <c r="H1851" s="28"/>
      <c r="I1851" s="28"/>
      <c r="J1851" s="28"/>
      <c r="K1851" s="28"/>
    </row>
    <row r="1852" spans="2:11" x14ac:dyDescent="0.25">
      <c r="B1852" s="25"/>
      <c r="C1852" s="8"/>
      <c r="D1852" s="7"/>
      <c r="E1852" s="27"/>
      <c r="F1852" s="27"/>
      <c r="G1852" s="7"/>
      <c r="H1852" s="28"/>
      <c r="I1852" s="28"/>
      <c r="J1852" s="28"/>
      <c r="K1852" s="28"/>
    </row>
    <row r="1853" spans="2:11" x14ac:dyDescent="0.25">
      <c r="B1853" s="25"/>
      <c r="C1853" s="8"/>
      <c r="D1853" s="7"/>
      <c r="E1853" s="27"/>
      <c r="F1853" s="27"/>
      <c r="G1853" s="7"/>
      <c r="H1853" s="28"/>
      <c r="I1853" s="28"/>
      <c r="J1853" s="28"/>
      <c r="K1853" s="28"/>
    </row>
    <row r="1854" spans="2:11" x14ac:dyDescent="0.25">
      <c r="B1854" s="25"/>
      <c r="C1854" s="8"/>
      <c r="D1854" s="7"/>
      <c r="E1854" s="27"/>
      <c r="F1854" s="27"/>
      <c r="G1854" s="7"/>
      <c r="H1854" s="28"/>
      <c r="I1854" s="28"/>
      <c r="J1854" s="28"/>
      <c r="K1854" s="28"/>
    </row>
    <row r="1855" spans="2:11" x14ac:dyDescent="0.25">
      <c r="B1855" s="25"/>
      <c r="C1855" s="8"/>
      <c r="D1855" s="7"/>
      <c r="E1855" s="27"/>
      <c r="F1855" s="27"/>
      <c r="G1855" s="7"/>
      <c r="H1855" s="28"/>
      <c r="I1855" s="28"/>
      <c r="J1855" s="28"/>
      <c r="K1855" s="28"/>
    </row>
    <row r="1856" spans="2:11" x14ac:dyDescent="0.25">
      <c r="B1856" s="25"/>
      <c r="C1856" s="8"/>
      <c r="D1856" s="7"/>
      <c r="E1856" s="27"/>
      <c r="F1856" s="27"/>
      <c r="G1856" s="7"/>
      <c r="H1856" s="28"/>
      <c r="I1856" s="28"/>
      <c r="J1856" s="28"/>
      <c r="K1856" s="28"/>
    </row>
    <row r="1857" spans="2:11" x14ac:dyDescent="0.25">
      <c r="B1857" s="25"/>
      <c r="C1857" s="8"/>
      <c r="D1857" s="7"/>
      <c r="E1857" s="27"/>
      <c r="F1857" s="27"/>
      <c r="G1857" s="7"/>
      <c r="H1857" s="28"/>
      <c r="I1857" s="28"/>
      <c r="J1857" s="28"/>
      <c r="K1857" s="28"/>
    </row>
    <row r="1858" spans="2:11" x14ac:dyDescent="0.25">
      <c r="B1858" s="25"/>
      <c r="C1858" s="8"/>
      <c r="D1858" s="7"/>
      <c r="E1858" s="27"/>
      <c r="F1858" s="27"/>
      <c r="G1858" s="7"/>
      <c r="H1858" s="28"/>
      <c r="I1858" s="28"/>
      <c r="J1858" s="28"/>
      <c r="K1858" s="28"/>
    </row>
    <row r="1859" spans="2:11" x14ac:dyDescent="0.25">
      <c r="B1859" s="25"/>
      <c r="C1859" s="8"/>
      <c r="D1859" s="7"/>
      <c r="E1859" s="27"/>
      <c r="F1859" s="27"/>
      <c r="G1859" s="7"/>
      <c r="H1859" s="28"/>
      <c r="I1859" s="28"/>
      <c r="J1859" s="28"/>
      <c r="K1859" s="28"/>
    </row>
    <row r="1860" spans="2:11" x14ac:dyDescent="0.25">
      <c r="B1860" s="25"/>
      <c r="C1860" s="8"/>
      <c r="D1860" s="7"/>
      <c r="E1860" s="27"/>
      <c r="F1860" s="27"/>
      <c r="G1860" s="7"/>
      <c r="H1860" s="28"/>
      <c r="I1860" s="28"/>
      <c r="J1860" s="28"/>
      <c r="K1860" s="28"/>
    </row>
    <row r="1861" spans="2:11" x14ac:dyDescent="0.25">
      <c r="B1861" s="25"/>
      <c r="C1861" s="8"/>
      <c r="D1861" s="7"/>
      <c r="E1861" s="27"/>
      <c r="F1861" s="27"/>
      <c r="G1861" s="7"/>
      <c r="H1861" s="28"/>
      <c r="I1861" s="28"/>
      <c r="J1861" s="28"/>
      <c r="K1861" s="28"/>
    </row>
    <row r="1862" spans="2:11" x14ac:dyDescent="0.25">
      <c r="B1862" s="25"/>
      <c r="C1862" s="8"/>
      <c r="D1862" s="7"/>
      <c r="E1862" s="27"/>
      <c r="F1862" s="27"/>
      <c r="G1862" s="7"/>
      <c r="H1862" s="28"/>
      <c r="I1862" s="28"/>
      <c r="J1862" s="28"/>
      <c r="K1862" s="28"/>
    </row>
    <row r="1863" spans="2:11" x14ac:dyDescent="0.25">
      <c r="B1863" s="25"/>
      <c r="C1863" s="8"/>
      <c r="D1863" s="7"/>
      <c r="E1863" s="27"/>
      <c r="F1863" s="27"/>
      <c r="G1863" s="7"/>
      <c r="H1863" s="28"/>
      <c r="I1863" s="28"/>
      <c r="J1863" s="28"/>
      <c r="K1863" s="28"/>
    </row>
    <row r="1864" spans="2:11" x14ac:dyDescent="0.25">
      <c r="B1864" s="25"/>
      <c r="C1864" s="8"/>
      <c r="D1864" s="7"/>
      <c r="E1864" s="27"/>
      <c r="F1864" s="27"/>
      <c r="G1864" s="7"/>
      <c r="H1864" s="28"/>
      <c r="I1864" s="28"/>
      <c r="J1864" s="28"/>
      <c r="K1864" s="28"/>
    </row>
    <row r="1865" spans="2:11" x14ac:dyDescent="0.25">
      <c r="B1865" s="25"/>
      <c r="C1865" s="8"/>
      <c r="D1865" s="7"/>
      <c r="E1865" s="27"/>
      <c r="F1865" s="27"/>
      <c r="G1865" s="7"/>
      <c r="H1865" s="28"/>
      <c r="I1865" s="28"/>
      <c r="J1865" s="28"/>
      <c r="K1865" s="28"/>
    </row>
    <row r="1866" spans="2:11" x14ac:dyDescent="0.25">
      <c r="B1866" s="25"/>
      <c r="C1866" s="8"/>
      <c r="D1866" s="7"/>
      <c r="E1866" s="27"/>
      <c r="F1866" s="27"/>
      <c r="G1866" s="7"/>
      <c r="H1866" s="28"/>
      <c r="I1866" s="28"/>
      <c r="J1866" s="28"/>
      <c r="K1866" s="28"/>
    </row>
    <row r="1867" spans="2:11" x14ac:dyDescent="0.25">
      <c r="B1867" s="25"/>
      <c r="C1867" s="8"/>
      <c r="D1867" s="7"/>
      <c r="E1867" s="27"/>
      <c r="F1867" s="27"/>
      <c r="G1867" s="7"/>
      <c r="H1867" s="28"/>
      <c r="I1867" s="28"/>
      <c r="J1867" s="28"/>
      <c r="K1867" s="28"/>
    </row>
    <row r="1868" spans="2:11" x14ac:dyDescent="0.25">
      <c r="B1868" s="25"/>
      <c r="C1868" s="8"/>
      <c r="D1868" s="7"/>
      <c r="E1868" s="27"/>
      <c r="F1868" s="27"/>
      <c r="G1868" s="7"/>
      <c r="H1868" s="28"/>
      <c r="I1868" s="28"/>
      <c r="J1868" s="28"/>
      <c r="K1868" s="28"/>
    </row>
    <row r="1869" spans="2:11" x14ac:dyDescent="0.25">
      <c r="B1869" s="25"/>
      <c r="C1869" s="8"/>
      <c r="D1869" s="7"/>
      <c r="E1869" s="27"/>
      <c r="F1869" s="27"/>
      <c r="G1869" s="7"/>
      <c r="H1869" s="28"/>
      <c r="I1869" s="28"/>
      <c r="J1869" s="28"/>
      <c r="K1869" s="28"/>
    </row>
    <row r="1870" spans="2:11" x14ac:dyDescent="0.25">
      <c r="B1870" s="25"/>
      <c r="C1870" s="8"/>
      <c r="D1870" s="7"/>
      <c r="E1870" s="27"/>
      <c r="F1870" s="27"/>
      <c r="G1870" s="7"/>
      <c r="H1870" s="28"/>
      <c r="I1870" s="28"/>
      <c r="J1870" s="28"/>
      <c r="K1870" s="28"/>
    </row>
    <row r="1871" spans="2:11" x14ac:dyDescent="0.25">
      <c r="B1871" s="25"/>
      <c r="C1871" s="8"/>
      <c r="D1871" s="7"/>
      <c r="E1871" s="27"/>
      <c r="F1871" s="27"/>
      <c r="G1871" s="7"/>
      <c r="H1871" s="28"/>
      <c r="I1871" s="28"/>
      <c r="J1871" s="28"/>
      <c r="K1871" s="28"/>
    </row>
    <row r="1872" spans="2:11" x14ac:dyDescent="0.25">
      <c r="B1872" s="25"/>
      <c r="C1872" s="8"/>
      <c r="D1872" s="7"/>
      <c r="E1872" s="27"/>
      <c r="F1872" s="27"/>
      <c r="G1872" s="7"/>
      <c r="H1872" s="28"/>
      <c r="I1872" s="28"/>
      <c r="J1872" s="28"/>
      <c r="K1872" s="28"/>
    </row>
    <row r="1873" spans="2:11" x14ac:dyDescent="0.25">
      <c r="B1873" s="25"/>
      <c r="C1873" s="8"/>
      <c r="D1873" s="7"/>
      <c r="E1873" s="27"/>
      <c r="F1873" s="27"/>
      <c r="G1873" s="7"/>
      <c r="H1873" s="28"/>
      <c r="I1873" s="28"/>
      <c r="J1873" s="28"/>
      <c r="K1873" s="28"/>
    </row>
    <row r="1874" spans="2:11" x14ac:dyDescent="0.25">
      <c r="B1874" s="25"/>
      <c r="C1874" s="8"/>
      <c r="D1874" s="7"/>
      <c r="E1874" s="27"/>
      <c r="F1874" s="27"/>
      <c r="G1874" s="7"/>
      <c r="H1874" s="28"/>
      <c r="I1874" s="28"/>
      <c r="J1874" s="28"/>
      <c r="K1874" s="28"/>
    </row>
    <row r="1875" spans="2:11" x14ac:dyDescent="0.25">
      <c r="B1875" s="25"/>
      <c r="C1875" s="8"/>
      <c r="D1875" s="7"/>
      <c r="E1875" s="27"/>
      <c r="F1875" s="27"/>
      <c r="G1875" s="7"/>
      <c r="H1875" s="28"/>
      <c r="I1875" s="28"/>
      <c r="J1875" s="28"/>
      <c r="K1875" s="28"/>
    </row>
    <row r="1876" spans="2:11" x14ac:dyDescent="0.25">
      <c r="B1876" s="25"/>
      <c r="C1876" s="8"/>
      <c r="D1876" s="7"/>
      <c r="E1876" s="27"/>
      <c r="F1876" s="27"/>
      <c r="G1876" s="7"/>
      <c r="H1876" s="28"/>
      <c r="I1876" s="28"/>
      <c r="J1876" s="28"/>
      <c r="K1876" s="28"/>
    </row>
    <row r="1877" spans="2:11" x14ac:dyDescent="0.25">
      <c r="B1877" s="25"/>
      <c r="C1877" s="8"/>
      <c r="D1877" s="7"/>
      <c r="E1877" s="27"/>
      <c r="F1877" s="27"/>
      <c r="G1877" s="7"/>
      <c r="H1877" s="28"/>
      <c r="I1877" s="28"/>
      <c r="J1877" s="28"/>
      <c r="K1877" s="28"/>
    </row>
    <row r="1878" spans="2:11" x14ac:dyDescent="0.25">
      <c r="B1878" s="25"/>
      <c r="C1878" s="8"/>
      <c r="D1878" s="7"/>
      <c r="E1878" s="27"/>
      <c r="F1878" s="27"/>
      <c r="G1878" s="7"/>
      <c r="H1878" s="28"/>
      <c r="I1878" s="28"/>
      <c r="J1878" s="28"/>
      <c r="K1878" s="28"/>
    </row>
    <row r="1879" spans="2:11" x14ac:dyDescent="0.25">
      <c r="B1879" s="25"/>
      <c r="C1879" s="8"/>
      <c r="D1879" s="7"/>
      <c r="E1879" s="27"/>
      <c r="F1879" s="27"/>
      <c r="G1879" s="7"/>
      <c r="H1879" s="28"/>
      <c r="I1879" s="28"/>
      <c r="J1879" s="28"/>
      <c r="K1879" s="28"/>
    </row>
    <row r="1880" spans="2:11" x14ac:dyDescent="0.25">
      <c r="B1880" s="25"/>
      <c r="C1880" s="8"/>
      <c r="D1880" s="7"/>
      <c r="E1880" s="27"/>
      <c r="F1880" s="27"/>
      <c r="G1880" s="7"/>
      <c r="H1880" s="28"/>
      <c r="I1880" s="28"/>
      <c r="J1880" s="28"/>
      <c r="K1880" s="28"/>
    </row>
    <row r="1881" spans="2:11" x14ac:dyDescent="0.25">
      <c r="B1881" s="25"/>
      <c r="C1881" s="8"/>
      <c r="D1881" s="7"/>
      <c r="E1881" s="27"/>
      <c r="F1881" s="27"/>
      <c r="G1881" s="7"/>
      <c r="H1881" s="28"/>
      <c r="I1881" s="28"/>
      <c r="J1881" s="28"/>
      <c r="K1881" s="28"/>
    </row>
    <row r="1882" spans="2:11" x14ac:dyDescent="0.25">
      <c r="B1882" s="25"/>
      <c r="C1882" s="8"/>
      <c r="D1882" s="7"/>
      <c r="E1882" s="27"/>
      <c r="F1882" s="27"/>
      <c r="G1882" s="7"/>
      <c r="H1882" s="28"/>
      <c r="I1882" s="28"/>
      <c r="J1882" s="28"/>
      <c r="K1882" s="28"/>
    </row>
    <row r="1883" spans="2:11" x14ac:dyDescent="0.25">
      <c r="B1883" s="25"/>
      <c r="C1883" s="8"/>
      <c r="D1883" s="7"/>
      <c r="E1883" s="27"/>
      <c r="F1883" s="27"/>
      <c r="G1883" s="7"/>
      <c r="H1883" s="28"/>
      <c r="I1883" s="28"/>
      <c r="J1883" s="28"/>
      <c r="K1883" s="28"/>
    </row>
    <row r="1884" spans="2:11" x14ac:dyDescent="0.25">
      <c r="B1884" s="25"/>
      <c r="C1884" s="8"/>
      <c r="D1884" s="7"/>
      <c r="E1884" s="27"/>
      <c r="F1884" s="27"/>
      <c r="G1884" s="7"/>
      <c r="H1884" s="28"/>
      <c r="I1884" s="28"/>
      <c r="J1884" s="28"/>
      <c r="K1884" s="28"/>
    </row>
    <row r="1885" spans="2:11" x14ac:dyDescent="0.25">
      <c r="B1885" s="25"/>
      <c r="C1885" s="8"/>
      <c r="D1885" s="7"/>
      <c r="E1885" s="27"/>
      <c r="F1885" s="27"/>
      <c r="G1885" s="7"/>
      <c r="H1885" s="28"/>
      <c r="I1885" s="28"/>
      <c r="J1885" s="28"/>
      <c r="K1885" s="28"/>
    </row>
    <row r="1886" spans="2:11" x14ac:dyDescent="0.25">
      <c r="B1886" s="25"/>
      <c r="C1886" s="8"/>
      <c r="D1886" s="7"/>
      <c r="E1886" s="27"/>
      <c r="F1886" s="27"/>
      <c r="G1886" s="7"/>
      <c r="H1886" s="28"/>
      <c r="I1886" s="28"/>
      <c r="J1886" s="28"/>
      <c r="K1886" s="28"/>
    </row>
    <row r="1887" spans="2:11" x14ac:dyDescent="0.25">
      <c r="B1887" s="25"/>
      <c r="C1887" s="8"/>
      <c r="D1887" s="7"/>
      <c r="E1887" s="27"/>
      <c r="F1887" s="27"/>
      <c r="G1887" s="7"/>
      <c r="H1887" s="28"/>
      <c r="I1887" s="28"/>
      <c r="J1887" s="28"/>
      <c r="K1887" s="28"/>
    </row>
    <row r="1888" spans="2:11" x14ac:dyDescent="0.25">
      <c r="B1888" s="25"/>
      <c r="C1888" s="8"/>
      <c r="D1888" s="7"/>
      <c r="E1888" s="27"/>
      <c r="F1888" s="27"/>
      <c r="G1888" s="7"/>
      <c r="H1888" s="28"/>
      <c r="I1888" s="28"/>
      <c r="J1888" s="28"/>
      <c r="K1888" s="28"/>
    </row>
    <row r="1889" spans="2:11" x14ac:dyDescent="0.25">
      <c r="B1889" s="25"/>
      <c r="C1889" s="8"/>
      <c r="D1889" s="7"/>
      <c r="E1889" s="27"/>
      <c r="F1889" s="27"/>
      <c r="G1889" s="7"/>
      <c r="H1889" s="28"/>
      <c r="I1889" s="28"/>
      <c r="J1889" s="28"/>
      <c r="K1889" s="28"/>
    </row>
    <row r="1890" spans="2:11" x14ac:dyDescent="0.25">
      <c r="B1890" s="25"/>
      <c r="C1890" s="8"/>
      <c r="D1890" s="7"/>
      <c r="E1890" s="27"/>
      <c r="F1890" s="27"/>
      <c r="G1890" s="7"/>
      <c r="H1890" s="28"/>
      <c r="I1890" s="28"/>
      <c r="J1890" s="28"/>
      <c r="K1890" s="28"/>
    </row>
    <row r="1891" spans="2:11" x14ac:dyDescent="0.25">
      <c r="B1891" s="25"/>
      <c r="C1891" s="8"/>
      <c r="D1891" s="7"/>
      <c r="E1891" s="27"/>
      <c r="F1891" s="27"/>
      <c r="G1891" s="7"/>
      <c r="H1891" s="28"/>
      <c r="I1891" s="28"/>
      <c r="J1891" s="28"/>
      <c r="K1891" s="28"/>
    </row>
    <row r="1892" spans="2:11" x14ac:dyDescent="0.25">
      <c r="B1892" s="25"/>
      <c r="C1892" s="8"/>
      <c r="D1892" s="7"/>
      <c r="E1892" s="27"/>
      <c r="F1892" s="27"/>
      <c r="G1892" s="7"/>
      <c r="H1892" s="28"/>
      <c r="I1892" s="28"/>
      <c r="J1892" s="28"/>
      <c r="K1892" s="28"/>
    </row>
    <row r="1893" spans="2:11" x14ac:dyDescent="0.25">
      <c r="B1893" s="25"/>
      <c r="C1893" s="8"/>
      <c r="D1893" s="7"/>
      <c r="E1893" s="27"/>
      <c r="F1893" s="27"/>
      <c r="G1893" s="7"/>
      <c r="H1893" s="28"/>
      <c r="I1893" s="28"/>
      <c r="J1893" s="28"/>
      <c r="K1893" s="28"/>
    </row>
    <row r="1894" spans="2:11" x14ac:dyDescent="0.25">
      <c r="B1894" s="25"/>
      <c r="C1894" s="8"/>
      <c r="D1894" s="7"/>
      <c r="E1894" s="27"/>
      <c r="F1894" s="27"/>
      <c r="G1894" s="7"/>
      <c r="H1894" s="28"/>
      <c r="I1894" s="28"/>
      <c r="J1894" s="28"/>
      <c r="K1894" s="28"/>
    </row>
    <row r="1895" spans="2:11" x14ac:dyDescent="0.25">
      <c r="B1895" s="25"/>
      <c r="C1895" s="8"/>
      <c r="D1895" s="7"/>
      <c r="E1895" s="27"/>
      <c r="F1895" s="27"/>
      <c r="G1895" s="7"/>
      <c r="H1895" s="28"/>
      <c r="I1895" s="28"/>
      <c r="J1895" s="28"/>
      <c r="K1895" s="28"/>
    </row>
    <row r="1896" spans="2:11" x14ac:dyDescent="0.25">
      <c r="B1896" s="25"/>
      <c r="C1896" s="8"/>
      <c r="D1896" s="7"/>
      <c r="E1896" s="27"/>
      <c r="F1896" s="27"/>
      <c r="G1896" s="7"/>
      <c r="H1896" s="28"/>
      <c r="I1896" s="28"/>
      <c r="J1896" s="28"/>
      <c r="K1896" s="28"/>
    </row>
    <row r="1897" spans="2:11" x14ac:dyDescent="0.25">
      <c r="B1897" s="25"/>
      <c r="C1897" s="8"/>
      <c r="D1897" s="7"/>
      <c r="E1897" s="27"/>
      <c r="F1897" s="27"/>
      <c r="G1897" s="7"/>
      <c r="H1897" s="28"/>
      <c r="I1897" s="28"/>
      <c r="J1897" s="28"/>
      <c r="K1897" s="28"/>
    </row>
    <row r="1898" spans="2:11" x14ac:dyDescent="0.25">
      <c r="B1898" s="25"/>
      <c r="C1898" s="8"/>
      <c r="D1898" s="7"/>
      <c r="E1898" s="27"/>
      <c r="F1898" s="27"/>
      <c r="G1898" s="7"/>
      <c r="H1898" s="28"/>
      <c r="I1898" s="28"/>
      <c r="J1898" s="28"/>
      <c r="K1898" s="28"/>
    </row>
    <row r="1899" spans="2:11" x14ac:dyDescent="0.25">
      <c r="B1899" s="25"/>
      <c r="C1899" s="8"/>
      <c r="D1899" s="7"/>
      <c r="E1899" s="27"/>
      <c r="F1899" s="27"/>
      <c r="G1899" s="7"/>
      <c r="H1899" s="28"/>
      <c r="I1899" s="28"/>
      <c r="J1899" s="28"/>
      <c r="K1899" s="28"/>
    </row>
    <row r="1900" spans="2:11" x14ac:dyDescent="0.25">
      <c r="B1900" s="25"/>
      <c r="C1900" s="8"/>
      <c r="D1900" s="7"/>
      <c r="E1900" s="27"/>
      <c r="F1900" s="27"/>
      <c r="G1900" s="7"/>
      <c r="H1900" s="28"/>
      <c r="I1900" s="28"/>
      <c r="J1900" s="28"/>
      <c r="K1900" s="28"/>
    </row>
    <row r="1901" spans="2:11" x14ac:dyDescent="0.25">
      <c r="B1901" s="25"/>
      <c r="C1901" s="8"/>
      <c r="D1901" s="7"/>
      <c r="E1901" s="27"/>
      <c r="F1901" s="27"/>
      <c r="G1901" s="7"/>
      <c r="H1901" s="28"/>
      <c r="I1901" s="28"/>
      <c r="J1901" s="28"/>
      <c r="K1901" s="28"/>
    </row>
    <row r="1902" spans="2:11" x14ac:dyDescent="0.25">
      <c r="B1902" s="25"/>
      <c r="C1902" s="8"/>
      <c r="D1902" s="7"/>
      <c r="E1902" s="27"/>
      <c r="F1902" s="27"/>
      <c r="G1902" s="7"/>
      <c r="H1902" s="28"/>
      <c r="I1902" s="28"/>
      <c r="J1902" s="28"/>
      <c r="K1902" s="28"/>
    </row>
    <row r="1903" spans="2:11" x14ac:dyDescent="0.25">
      <c r="B1903" s="25"/>
      <c r="C1903" s="8"/>
      <c r="D1903" s="7"/>
      <c r="E1903" s="27"/>
      <c r="F1903" s="27"/>
      <c r="G1903" s="7"/>
      <c r="H1903" s="28"/>
      <c r="I1903" s="28"/>
      <c r="J1903" s="28"/>
      <c r="K1903" s="28"/>
    </row>
    <row r="1904" spans="2:11" x14ac:dyDescent="0.25">
      <c r="B1904" s="25"/>
      <c r="C1904" s="8"/>
      <c r="D1904" s="7"/>
      <c r="E1904" s="27"/>
      <c r="F1904" s="27"/>
      <c r="G1904" s="7"/>
      <c r="H1904" s="28"/>
      <c r="I1904" s="28"/>
      <c r="J1904" s="28"/>
      <c r="K1904" s="28"/>
    </row>
    <row r="1905" spans="2:11" x14ac:dyDescent="0.25">
      <c r="B1905" s="25"/>
      <c r="C1905" s="8"/>
      <c r="D1905" s="7"/>
      <c r="E1905" s="27"/>
      <c r="F1905" s="27"/>
      <c r="G1905" s="7"/>
      <c r="H1905" s="28"/>
      <c r="I1905" s="28"/>
      <c r="J1905" s="28"/>
      <c r="K1905" s="28"/>
    </row>
    <row r="1906" spans="2:11" x14ac:dyDescent="0.25">
      <c r="B1906" s="25"/>
      <c r="C1906" s="8"/>
      <c r="D1906" s="7"/>
      <c r="E1906" s="27"/>
      <c r="F1906" s="27"/>
      <c r="G1906" s="7"/>
      <c r="H1906" s="28"/>
      <c r="I1906" s="28"/>
      <c r="J1906" s="28"/>
      <c r="K1906" s="28"/>
    </row>
    <row r="1907" spans="2:11" x14ac:dyDescent="0.25">
      <c r="B1907" s="25"/>
      <c r="C1907" s="8"/>
      <c r="D1907" s="7"/>
      <c r="E1907" s="27"/>
      <c r="F1907" s="27"/>
      <c r="G1907" s="7"/>
      <c r="H1907" s="28"/>
      <c r="I1907" s="28"/>
      <c r="J1907" s="28"/>
      <c r="K1907" s="28"/>
    </row>
    <row r="1908" spans="2:11" x14ac:dyDescent="0.25">
      <c r="B1908" s="25"/>
      <c r="C1908" s="8"/>
      <c r="D1908" s="7"/>
      <c r="E1908" s="27"/>
      <c r="F1908" s="27"/>
      <c r="G1908" s="7"/>
      <c r="H1908" s="28"/>
      <c r="I1908" s="28"/>
      <c r="J1908" s="28"/>
      <c r="K1908" s="28"/>
    </row>
    <row r="1909" spans="2:11" x14ac:dyDescent="0.25">
      <c r="B1909" s="25"/>
      <c r="C1909" s="8"/>
      <c r="D1909" s="7"/>
      <c r="E1909" s="27"/>
      <c r="F1909" s="27"/>
      <c r="G1909" s="7"/>
      <c r="H1909" s="28"/>
      <c r="I1909" s="28"/>
      <c r="J1909" s="28"/>
      <c r="K1909" s="28"/>
    </row>
    <row r="1910" spans="2:11" x14ac:dyDescent="0.25">
      <c r="B1910" s="25"/>
      <c r="C1910" s="8"/>
      <c r="D1910" s="7"/>
      <c r="E1910" s="27"/>
      <c r="F1910" s="27"/>
      <c r="G1910" s="7"/>
      <c r="H1910" s="28"/>
      <c r="I1910" s="28"/>
      <c r="J1910" s="28"/>
      <c r="K1910" s="28"/>
    </row>
    <row r="1911" spans="2:11" x14ac:dyDescent="0.25">
      <c r="B1911" s="25"/>
      <c r="C1911" s="8"/>
      <c r="D1911" s="7"/>
      <c r="E1911" s="27"/>
      <c r="F1911" s="27"/>
      <c r="G1911" s="7"/>
      <c r="H1911" s="28"/>
      <c r="I1911" s="28"/>
      <c r="J1911" s="28"/>
      <c r="K1911" s="28"/>
    </row>
    <row r="1912" spans="2:11" x14ac:dyDescent="0.25">
      <c r="B1912" s="25"/>
      <c r="C1912" s="8"/>
      <c r="D1912" s="7"/>
      <c r="E1912" s="27"/>
      <c r="F1912" s="27"/>
      <c r="G1912" s="7"/>
      <c r="H1912" s="28"/>
      <c r="I1912" s="28"/>
      <c r="J1912" s="28"/>
      <c r="K1912" s="28"/>
    </row>
    <row r="1913" spans="2:11" x14ac:dyDescent="0.25">
      <c r="B1913" s="25"/>
      <c r="C1913" s="8"/>
      <c r="D1913" s="7"/>
      <c r="E1913" s="27"/>
      <c r="F1913" s="27"/>
      <c r="G1913" s="7"/>
      <c r="H1913" s="28"/>
      <c r="I1913" s="28"/>
      <c r="J1913" s="28"/>
      <c r="K1913" s="28"/>
    </row>
    <row r="1914" spans="2:11" x14ac:dyDescent="0.25">
      <c r="B1914" s="25"/>
      <c r="C1914" s="8"/>
      <c r="D1914" s="7"/>
      <c r="E1914" s="27"/>
      <c r="F1914" s="27"/>
      <c r="G1914" s="7"/>
      <c r="H1914" s="28"/>
      <c r="I1914" s="28"/>
      <c r="J1914" s="28"/>
      <c r="K1914" s="28"/>
    </row>
    <row r="1915" spans="2:11" x14ac:dyDescent="0.25">
      <c r="B1915" s="25"/>
      <c r="C1915" s="8"/>
      <c r="D1915" s="7"/>
      <c r="E1915" s="27"/>
      <c r="F1915" s="27"/>
      <c r="G1915" s="7"/>
      <c r="H1915" s="28"/>
      <c r="I1915" s="28"/>
      <c r="J1915" s="28"/>
      <c r="K1915" s="28"/>
    </row>
    <row r="1916" spans="2:11" x14ac:dyDescent="0.25">
      <c r="B1916" s="25"/>
      <c r="C1916" s="8"/>
      <c r="D1916" s="7"/>
      <c r="E1916" s="27"/>
      <c r="F1916" s="27"/>
      <c r="G1916" s="7"/>
      <c r="H1916" s="28"/>
      <c r="I1916" s="28"/>
      <c r="J1916" s="28"/>
      <c r="K1916" s="28"/>
    </row>
    <row r="1917" spans="2:11" x14ac:dyDescent="0.25">
      <c r="B1917" s="25"/>
      <c r="C1917" s="8"/>
      <c r="D1917" s="7"/>
      <c r="E1917" s="27"/>
      <c r="F1917" s="27"/>
      <c r="G1917" s="7"/>
      <c r="H1917" s="28"/>
      <c r="I1917" s="28"/>
      <c r="J1917" s="28"/>
      <c r="K1917" s="28"/>
    </row>
    <row r="1918" spans="2:11" x14ac:dyDescent="0.25">
      <c r="B1918" s="25"/>
      <c r="C1918" s="8"/>
      <c r="D1918" s="7"/>
      <c r="E1918" s="27"/>
      <c r="F1918" s="27"/>
      <c r="G1918" s="7"/>
      <c r="H1918" s="28"/>
      <c r="I1918" s="28"/>
      <c r="J1918" s="28"/>
      <c r="K1918" s="28"/>
    </row>
    <row r="1919" spans="2:11" x14ac:dyDescent="0.25">
      <c r="B1919" s="25"/>
      <c r="C1919" s="8"/>
      <c r="D1919" s="7"/>
      <c r="E1919" s="27"/>
      <c r="F1919" s="27"/>
      <c r="G1919" s="7"/>
      <c r="H1919" s="28"/>
      <c r="I1919" s="28"/>
      <c r="J1919" s="28"/>
      <c r="K1919" s="28"/>
    </row>
    <row r="1920" spans="2:11" x14ac:dyDescent="0.25">
      <c r="B1920" s="25"/>
      <c r="C1920" s="8"/>
      <c r="D1920" s="7"/>
      <c r="E1920" s="27"/>
      <c r="F1920" s="27"/>
      <c r="G1920" s="7"/>
      <c r="H1920" s="28"/>
      <c r="I1920" s="28"/>
      <c r="J1920" s="28"/>
      <c r="K1920" s="28"/>
    </row>
    <row r="1921" spans="2:11" x14ac:dyDescent="0.25">
      <c r="B1921" s="25"/>
      <c r="C1921" s="8"/>
      <c r="D1921" s="7"/>
      <c r="E1921" s="27"/>
      <c r="F1921" s="27"/>
      <c r="G1921" s="7"/>
      <c r="H1921" s="28"/>
      <c r="I1921" s="28"/>
      <c r="J1921" s="28"/>
      <c r="K1921" s="28"/>
    </row>
    <row r="1922" spans="2:11" x14ac:dyDescent="0.25">
      <c r="B1922" s="25"/>
      <c r="C1922" s="8"/>
      <c r="D1922" s="7"/>
      <c r="E1922" s="27"/>
      <c r="F1922" s="27"/>
      <c r="G1922" s="7"/>
      <c r="H1922" s="28"/>
      <c r="I1922" s="28"/>
      <c r="J1922" s="28"/>
      <c r="K1922" s="28"/>
    </row>
    <row r="1923" spans="2:11" x14ac:dyDescent="0.25">
      <c r="B1923" s="25"/>
      <c r="C1923" s="8"/>
      <c r="D1923" s="7"/>
      <c r="E1923" s="27"/>
      <c r="F1923" s="27"/>
      <c r="G1923" s="7"/>
      <c r="H1923" s="28"/>
      <c r="I1923" s="28"/>
      <c r="J1923" s="28"/>
      <c r="K1923" s="28"/>
    </row>
    <row r="1924" spans="2:11" x14ac:dyDescent="0.25">
      <c r="B1924" s="25"/>
      <c r="C1924" s="8"/>
      <c r="D1924" s="7"/>
      <c r="E1924" s="27"/>
      <c r="F1924" s="27"/>
      <c r="G1924" s="7"/>
      <c r="H1924" s="28"/>
      <c r="I1924" s="28"/>
      <c r="J1924" s="28"/>
      <c r="K1924" s="28"/>
    </row>
    <row r="1925" spans="2:11" x14ac:dyDescent="0.25">
      <c r="B1925" s="25"/>
      <c r="C1925" s="8"/>
      <c r="D1925" s="7"/>
      <c r="E1925" s="27"/>
      <c r="F1925" s="27"/>
      <c r="G1925" s="7"/>
      <c r="H1925" s="28"/>
      <c r="I1925" s="28"/>
      <c r="J1925" s="28"/>
      <c r="K1925" s="28"/>
    </row>
    <row r="1926" spans="2:11" x14ac:dyDescent="0.25">
      <c r="B1926" s="25"/>
      <c r="C1926" s="8"/>
      <c r="D1926" s="7"/>
      <c r="E1926" s="27"/>
      <c r="F1926" s="27"/>
      <c r="G1926" s="7"/>
      <c r="H1926" s="28"/>
      <c r="I1926" s="28"/>
      <c r="J1926" s="28"/>
      <c r="K1926" s="28"/>
    </row>
    <row r="1927" spans="2:11" x14ac:dyDescent="0.25">
      <c r="B1927" s="25"/>
      <c r="C1927" s="8"/>
      <c r="D1927" s="7"/>
      <c r="E1927" s="27"/>
      <c r="F1927" s="27"/>
      <c r="G1927" s="7"/>
      <c r="H1927" s="28"/>
      <c r="I1927" s="28"/>
      <c r="J1927" s="28"/>
      <c r="K1927" s="28"/>
    </row>
    <row r="1928" spans="2:11" x14ac:dyDescent="0.25">
      <c r="B1928" s="25"/>
      <c r="C1928" s="8"/>
      <c r="D1928" s="7"/>
      <c r="E1928" s="27"/>
      <c r="F1928" s="27"/>
      <c r="G1928" s="7"/>
      <c r="H1928" s="28"/>
      <c r="I1928" s="28"/>
      <c r="J1928" s="28"/>
      <c r="K1928" s="28"/>
    </row>
    <row r="1929" spans="2:11" x14ac:dyDescent="0.25">
      <c r="B1929" s="25"/>
      <c r="C1929" s="8"/>
      <c r="D1929" s="7"/>
      <c r="E1929" s="27"/>
      <c r="F1929" s="27"/>
      <c r="G1929" s="7"/>
      <c r="H1929" s="28"/>
      <c r="I1929" s="28"/>
      <c r="J1929" s="28"/>
      <c r="K1929" s="28"/>
    </row>
    <row r="1930" spans="2:11" x14ac:dyDescent="0.25">
      <c r="B1930" s="25"/>
      <c r="C1930" s="8"/>
      <c r="D1930" s="7"/>
      <c r="E1930" s="27"/>
      <c r="F1930" s="27"/>
      <c r="G1930" s="7"/>
      <c r="H1930" s="28"/>
      <c r="I1930" s="28"/>
      <c r="J1930" s="28"/>
      <c r="K1930" s="28"/>
    </row>
    <row r="1931" spans="2:11" x14ac:dyDescent="0.25">
      <c r="B1931" s="25"/>
      <c r="C1931" s="8"/>
      <c r="D1931" s="7"/>
      <c r="E1931" s="27"/>
      <c r="F1931" s="27"/>
      <c r="G1931" s="7"/>
      <c r="H1931" s="28"/>
      <c r="I1931" s="28"/>
      <c r="J1931" s="28"/>
      <c r="K1931" s="28"/>
    </row>
    <row r="1932" spans="2:11" x14ac:dyDescent="0.25">
      <c r="B1932" s="25"/>
      <c r="C1932" s="8"/>
      <c r="D1932" s="7"/>
      <c r="E1932" s="27"/>
      <c r="F1932" s="27"/>
      <c r="G1932" s="7"/>
      <c r="H1932" s="28"/>
      <c r="I1932" s="28"/>
      <c r="J1932" s="28"/>
      <c r="K1932" s="28"/>
    </row>
    <row r="1933" spans="2:11" x14ac:dyDescent="0.25">
      <c r="B1933" s="25"/>
      <c r="C1933" s="8"/>
      <c r="D1933" s="7"/>
      <c r="E1933" s="27"/>
      <c r="F1933" s="27"/>
      <c r="G1933" s="7"/>
      <c r="H1933" s="28"/>
      <c r="I1933" s="28"/>
      <c r="J1933" s="28"/>
      <c r="K1933" s="28"/>
    </row>
    <row r="1934" spans="2:11" x14ac:dyDescent="0.25">
      <c r="B1934" s="25"/>
      <c r="C1934" s="8"/>
      <c r="D1934" s="7"/>
      <c r="E1934" s="27"/>
      <c r="F1934" s="27"/>
      <c r="G1934" s="7"/>
      <c r="H1934" s="28"/>
      <c r="I1934" s="28"/>
      <c r="J1934" s="28"/>
      <c r="K1934" s="28"/>
    </row>
    <row r="1935" spans="2:11" x14ac:dyDescent="0.25">
      <c r="B1935" s="25"/>
      <c r="C1935" s="8"/>
      <c r="D1935" s="7"/>
      <c r="E1935" s="27"/>
      <c r="F1935" s="27"/>
      <c r="G1935" s="7"/>
      <c r="H1935" s="28"/>
      <c r="I1935" s="28"/>
      <c r="J1935" s="28"/>
      <c r="K1935" s="28"/>
    </row>
    <row r="1936" spans="2:11" x14ac:dyDescent="0.25">
      <c r="B1936" s="25"/>
      <c r="C1936" s="8"/>
      <c r="D1936" s="7"/>
      <c r="E1936" s="27"/>
      <c r="F1936" s="27"/>
      <c r="G1936" s="7"/>
      <c r="H1936" s="28"/>
      <c r="I1936" s="28"/>
      <c r="J1936" s="28"/>
      <c r="K1936" s="28"/>
    </row>
    <row r="1937" spans="2:11" x14ac:dyDescent="0.25">
      <c r="B1937" s="25"/>
      <c r="C1937" s="8"/>
      <c r="D1937" s="7"/>
      <c r="E1937" s="27"/>
      <c r="F1937" s="27"/>
      <c r="G1937" s="7"/>
      <c r="H1937" s="28"/>
      <c r="I1937" s="28"/>
      <c r="J1937" s="28"/>
      <c r="K1937" s="28"/>
    </row>
    <row r="1938" spans="2:11" x14ac:dyDescent="0.25">
      <c r="B1938" s="25"/>
      <c r="C1938" s="8"/>
      <c r="D1938" s="7"/>
      <c r="E1938" s="27"/>
      <c r="F1938" s="27"/>
      <c r="G1938" s="7"/>
      <c r="H1938" s="28"/>
      <c r="I1938" s="28"/>
      <c r="J1938" s="28"/>
      <c r="K1938" s="28"/>
    </row>
    <row r="1939" spans="2:11" x14ac:dyDescent="0.25">
      <c r="B1939" s="25"/>
      <c r="C1939" s="8"/>
      <c r="D1939" s="7"/>
      <c r="E1939" s="27"/>
      <c r="F1939" s="27"/>
      <c r="G1939" s="7"/>
      <c r="H1939" s="28"/>
      <c r="I1939" s="28"/>
      <c r="J1939" s="28"/>
      <c r="K1939" s="28"/>
    </row>
    <row r="1940" spans="2:11" x14ac:dyDescent="0.25">
      <c r="B1940" s="25"/>
      <c r="C1940" s="8"/>
      <c r="D1940" s="7"/>
      <c r="E1940" s="27"/>
      <c r="F1940" s="27"/>
      <c r="G1940" s="7"/>
      <c r="H1940" s="28"/>
      <c r="I1940" s="28"/>
      <c r="J1940" s="28"/>
      <c r="K1940" s="28"/>
    </row>
    <row r="1941" spans="2:11" x14ac:dyDescent="0.25">
      <c r="B1941" s="25"/>
      <c r="C1941" s="8"/>
      <c r="D1941" s="7"/>
      <c r="E1941" s="27"/>
      <c r="F1941" s="27"/>
      <c r="G1941" s="7"/>
      <c r="H1941" s="28"/>
      <c r="I1941" s="28"/>
      <c r="J1941" s="28"/>
      <c r="K1941" s="28"/>
    </row>
    <row r="1942" spans="2:11" x14ac:dyDescent="0.25">
      <c r="B1942" s="25"/>
      <c r="C1942" s="8"/>
      <c r="D1942" s="7"/>
      <c r="E1942" s="27"/>
      <c r="F1942" s="27"/>
      <c r="G1942" s="7"/>
      <c r="H1942" s="28"/>
      <c r="I1942" s="28"/>
      <c r="J1942" s="28"/>
      <c r="K1942" s="28"/>
    </row>
    <row r="1943" spans="2:11" x14ac:dyDescent="0.25">
      <c r="B1943" s="25"/>
      <c r="C1943" s="8"/>
      <c r="D1943" s="7"/>
      <c r="E1943" s="27"/>
      <c r="F1943" s="27"/>
      <c r="G1943" s="7"/>
      <c r="H1943" s="28"/>
      <c r="I1943" s="28"/>
      <c r="J1943" s="28"/>
      <c r="K1943" s="28"/>
    </row>
    <row r="1944" spans="2:11" x14ac:dyDescent="0.25">
      <c r="B1944" s="25"/>
      <c r="C1944" s="8"/>
      <c r="D1944" s="7"/>
      <c r="E1944" s="27"/>
      <c r="F1944" s="27"/>
      <c r="G1944" s="7"/>
      <c r="H1944" s="28"/>
      <c r="I1944" s="28"/>
      <c r="J1944" s="28"/>
      <c r="K1944" s="28"/>
    </row>
    <row r="1945" spans="2:11" x14ac:dyDescent="0.25">
      <c r="B1945" s="25"/>
      <c r="C1945" s="8"/>
      <c r="D1945" s="7"/>
      <c r="E1945" s="27"/>
      <c r="F1945" s="27"/>
      <c r="G1945" s="7"/>
      <c r="H1945" s="28"/>
      <c r="I1945" s="28"/>
      <c r="J1945" s="28"/>
      <c r="K1945" s="28"/>
    </row>
    <row r="1946" spans="2:11" x14ac:dyDescent="0.25">
      <c r="B1946" s="25"/>
      <c r="C1946" s="8"/>
      <c r="D1946" s="7"/>
      <c r="E1946" s="27"/>
      <c r="F1946" s="27"/>
      <c r="G1946" s="7"/>
      <c r="H1946" s="28"/>
      <c r="I1946" s="28"/>
      <c r="J1946" s="28"/>
      <c r="K1946" s="28"/>
    </row>
    <row r="1947" spans="2:11" x14ac:dyDescent="0.25">
      <c r="B1947" s="25"/>
      <c r="C1947" s="8"/>
      <c r="D1947" s="7"/>
      <c r="E1947" s="27"/>
      <c r="F1947" s="27"/>
      <c r="G1947" s="7"/>
      <c r="H1947" s="28"/>
      <c r="I1947" s="28"/>
      <c r="J1947" s="28"/>
      <c r="K1947" s="28"/>
    </row>
    <row r="1948" spans="2:11" x14ac:dyDescent="0.25">
      <c r="B1948" s="25"/>
      <c r="C1948" s="8"/>
      <c r="D1948" s="7"/>
      <c r="E1948" s="27"/>
      <c r="F1948" s="27"/>
      <c r="G1948" s="7"/>
      <c r="H1948" s="28"/>
      <c r="I1948" s="28"/>
      <c r="J1948" s="28"/>
      <c r="K1948" s="28"/>
    </row>
    <row r="1949" spans="2:11" x14ac:dyDescent="0.25">
      <c r="B1949" s="25"/>
      <c r="C1949" s="8"/>
      <c r="D1949" s="7"/>
      <c r="E1949" s="27"/>
      <c r="F1949" s="27"/>
      <c r="G1949" s="7"/>
      <c r="H1949" s="28"/>
      <c r="I1949" s="28"/>
      <c r="J1949" s="28"/>
      <c r="K1949" s="28"/>
    </row>
    <row r="1950" spans="2:11" x14ac:dyDescent="0.25">
      <c r="B1950" s="25"/>
      <c r="C1950" s="8"/>
      <c r="D1950" s="7"/>
      <c r="E1950" s="27"/>
      <c r="F1950" s="27"/>
      <c r="G1950" s="7"/>
      <c r="H1950" s="28"/>
      <c r="I1950" s="28"/>
      <c r="J1950" s="28"/>
      <c r="K1950" s="28"/>
    </row>
    <row r="1951" spans="2:11" x14ac:dyDescent="0.25">
      <c r="B1951" s="25"/>
      <c r="C1951" s="8"/>
      <c r="D1951" s="7"/>
      <c r="E1951" s="27"/>
      <c r="F1951" s="27"/>
      <c r="G1951" s="7"/>
      <c r="H1951" s="28"/>
      <c r="I1951" s="28"/>
      <c r="J1951" s="28"/>
      <c r="K1951" s="28"/>
    </row>
    <row r="1952" spans="2:11" x14ac:dyDescent="0.25">
      <c r="B1952" s="25"/>
      <c r="C1952" s="8"/>
      <c r="D1952" s="7"/>
      <c r="E1952" s="27"/>
      <c r="F1952" s="27"/>
      <c r="G1952" s="7"/>
      <c r="H1952" s="28"/>
      <c r="I1952" s="28"/>
      <c r="J1952" s="28"/>
      <c r="K1952" s="28"/>
    </row>
    <row r="1953" spans="2:11" x14ac:dyDescent="0.25">
      <c r="B1953" s="25"/>
      <c r="C1953" s="8"/>
      <c r="D1953" s="7"/>
      <c r="E1953" s="27"/>
      <c r="F1953" s="27"/>
      <c r="G1953" s="7"/>
      <c r="H1953" s="28"/>
      <c r="I1953" s="28"/>
      <c r="J1953" s="28"/>
      <c r="K1953" s="28"/>
    </row>
    <row r="1954" spans="2:11" x14ac:dyDescent="0.25">
      <c r="B1954" s="25"/>
      <c r="C1954" s="8"/>
      <c r="D1954" s="7"/>
      <c r="E1954" s="27"/>
      <c r="F1954" s="27"/>
      <c r="G1954" s="7"/>
      <c r="H1954" s="28"/>
      <c r="I1954" s="28"/>
      <c r="J1954" s="28"/>
      <c r="K1954" s="28"/>
    </row>
    <row r="1955" spans="2:11" x14ac:dyDescent="0.25">
      <c r="B1955" s="25"/>
      <c r="C1955" s="8"/>
      <c r="D1955" s="7"/>
      <c r="E1955" s="27"/>
      <c r="F1955" s="27"/>
      <c r="G1955" s="7"/>
      <c r="H1955" s="28"/>
      <c r="I1955" s="28"/>
      <c r="J1955" s="28"/>
      <c r="K1955" s="28"/>
    </row>
    <row r="1956" spans="2:11" x14ac:dyDescent="0.25">
      <c r="B1956" s="25"/>
      <c r="C1956" s="8"/>
      <c r="D1956" s="7"/>
      <c r="E1956" s="27"/>
      <c r="F1956" s="27"/>
      <c r="G1956" s="7"/>
      <c r="H1956" s="28"/>
      <c r="I1956" s="28"/>
      <c r="J1956" s="28"/>
      <c r="K1956" s="28"/>
    </row>
    <row r="1957" spans="2:11" x14ac:dyDescent="0.25">
      <c r="B1957" s="25"/>
      <c r="C1957" s="8"/>
      <c r="D1957" s="7"/>
      <c r="E1957" s="27"/>
      <c r="F1957" s="27"/>
      <c r="G1957" s="7"/>
      <c r="H1957" s="28"/>
      <c r="I1957" s="28"/>
      <c r="J1957" s="28"/>
      <c r="K1957" s="28"/>
    </row>
    <row r="1958" spans="2:11" x14ac:dyDescent="0.25">
      <c r="B1958" s="25"/>
      <c r="C1958" s="8"/>
      <c r="D1958" s="7"/>
      <c r="E1958" s="27"/>
      <c r="F1958" s="27"/>
      <c r="G1958" s="7"/>
      <c r="H1958" s="28"/>
      <c r="I1958" s="28"/>
      <c r="J1958" s="28"/>
      <c r="K1958" s="28"/>
    </row>
    <row r="1959" spans="2:11" x14ac:dyDescent="0.25">
      <c r="B1959" s="25"/>
      <c r="C1959" s="8"/>
      <c r="D1959" s="7"/>
      <c r="E1959" s="27"/>
      <c r="F1959" s="27"/>
      <c r="G1959" s="7"/>
      <c r="H1959" s="28"/>
      <c r="I1959" s="28"/>
      <c r="J1959" s="28"/>
      <c r="K1959" s="28"/>
    </row>
    <row r="1960" spans="2:11" x14ac:dyDescent="0.25">
      <c r="B1960" s="25"/>
      <c r="C1960" s="8"/>
      <c r="D1960" s="7"/>
      <c r="E1960" s="27"/>
      <c r="F1960" s="27"/>
      <c r="G1960" s="7"/>
      <c r="H1960" s="28"/>
      <c r="I1960" s="28"/>
      <c r="J1960" s="28"/>
      <c r="K1960" s="28"/>
    </row>
    <row r="1961" spans="2:11" x14ac:dyDescent="0.25">
      <c r="B1961" s="25"/>
      <c r="C1961" s="8"/>
      <c r="D1961" s="7"/>
      <c r="E1961" s="27"/>
      <c r="F1961" s="27"/>
      <c r="G1961" s="7"/>
      <c r="H1961" s="28"/>
      <c r="I1961" s="28"/>
      <c r="J1961" s="28"/>
      <c r="K1961" s="28"/>
    </row>
    <row r="1962" spans="2:11" x14ac:dyDescent="0.25">
      <c r="B1962" s="25"/>
      <c r="C1962" s="8"/>
      <c r="D1962" s="7"/>
      <c r="E1962" s="27"/>
      <c r="F1962" s="27"/>
      <c r="G1962" s="7"/>
      <c r="H1962" s="28"/>
      <c r="I1962" s="28"/>
      <c r="J1962" s="28"/>
      <c r="K1962" s="28"/>
    </row>
    <row r="1963" spans="2:11" x14ac:dyDescent="0.25">
      <c r="B1963" s="25"/>
      <c r="C1963" s="8"/>
      <c r="D1963" s="7"/>
      <c r="E1963" s="27"/>
      <c r="F1963" s="27"/>
      <c r="G1963" s="7"/>
      <c r="H1963" s="28"/>
      <c r="I1963" s="28"/>
      <c r="J1963" s="28"/>
      <c r="K1963" s="28"/>
    </row>
    <row r="1964" spans="2:11" x14ac:dyDescent="0.25">
      <c r="B1964" s="25"/>
      <c r="C1964" s="8"/>
      <c r="D1964" s="7"/>
      <c r="E1964" s="27"/>
      <c r="F1964" s="27"/>
      <c r="G1964" s="7"/>
      <c r="H1964" s="28"/>
      <c r="I1964" s="28"/>
      <c r="J1964" s="28"/>
      <c r="K1964" s="28"/>
    </row>
    <row r="1965" spans="2:11" x14ac:dyDescent="0.25">
      <c r="B1965" s="25"/>
      <c r="C1965" s="8"/>
      <c r="D1965" s="7"/>
      <c r="E1965" s="27"/>
      <c r="F1965" s="27"/>
      <c r="G1965" s="7"/>
      <c r="H1965" s="28"/>
      <c r="I1965" s="28"/>
      <c r="J1965" s="28"/>
      <c r="K1965" s="28"/>
    </row>
    <row r="1966" spans="2:11" x14ac:dyDescent="0.25">
      <c r="B1966" s="25"/>
      <c r="C1966" s="8"/>
      <c r="D1966" s="7"/>
      <c r="E1966" s="27"/>
      <c r="F1966" s="27"/>
      <c r="G1966" s="7"/>
      <c r="H1966" s="28"/>
      <c r="I1966" s="28"/>
      <c r="J1966" s="28"/>
      <c r="K1966" s="28"/>
    </row>
    <row r="1967" spans="2:11" x14ac:dyDescent="0.25">
      <c r="B1967" s="25"/>
      <c r="C1967" s="8"/>
      <c r="D1967" s="7"/>
      <c r="E1967" s="27"/>
      <c r="F1967" s="27"/>
      <c r="G1967" s="7"/>
      <c r="H1967" s="28"/>
      <c r="I1967" s="28"/>
      <c r="J1967" s="28"/>
      <c r="K1967" s="28"/>
    </row>
    <row r="1968" spans="2:11" x14ac:dyDescent="0.25">
      <c r="B1968" s="25"/>
      <c r="C1968" s="8"/>
      <c r="D1968" s="7"/>
      <c r="E1968" s="27"/>
      <c r="F1968" s="27"/>
      <c r="G1968" s="7"/>
      <c r="H1968" s="28"/>
      <c r="I1968" s="28"/>
      <c r="J1968" s="28"/>
      <c r="K1968" s="28"/>
    </row>
    <row r="1969" spans="2:11" x14ac:dyDescent="0.25">
      <c r="B1969" s="25"/>
      <c r="C1969" s="8"/>
      <c r="D1969" s="7"/>
      <c r="E1969" s="27"/>
      <c r="F1969" s="27"/>
      <c r="G1969" s="7"/>
      <c r="H1969" s="28"/>
      <c r="I1969" s="28"/>
      <c r="J1969" s="28"/>
      <c r="K1969" s="28"/>
    </row>
    <row r="1970" spans="2:11" x14ac:dyDescent="0.25">
      <c r="B1970" s="25"/>
      <c r="C1970" s="8"/>
      <c r="D1970" s="7"/>
      <c r="E1970" s="27"/>
      <c r="F1970" s="27"/>
      <c r="G1970" s="7"/>
      <c r="H1970" s="28"/>
      <c r="I1970" s="28"/>
      <c r="J1970" s="28"/>
      <c r="K1970" s="28"/>
    </row>
    <row r="1971" spans="2:11" x14ac:dyDescent="0.25">
      <c r="B1971" s="25"/>
      <c r="C1971" s="8"/>
      <c r="D1971" s="7"/>
      <c r="E1971" s="27"/>
      <c r="F1971" s="27"/>
      <c r="G1971" s="7"/>
      <c r="H1971" s="28"/>
      <c r="I1971" s="28"/>
      <c r="J1971" s="28"/>
      <c r="K1971" s="28"/>
    </row>
    <row r="1972" spans="2:11" x14ac:dyDescent="0.25">
      <c r="B1972" s="25"/>
      <c r="C1972" s="8"/>
      <c r="D1972" s="7"/>
      <c r="E1972" s="27"/>
      <c r="F1972" s="27"/>
      <c r="G1972" s="7"/>
      <c r="H1972" s="28"/>
      <c r="I1972" s="28"/>
      <c r="J1972" s="28"/>
      <c r="K1972" s="28"/>
    </row>
    <row r="1973" spans="2:11" x14ac:dyDescent="0.25">
      <c r="B1973" s="25"/>
      <c r="C1973" s="8"/>
      <c r="D1973" s="7"/>
      <c r="E1973" s="27"/>
      <c r="F1973" s="27"/>
      <c r="G1973" s="7"/>
      <c r="H1973" s="28"/>
      <c r="I1973" s="28"/>
      <c r="J1973" s="28"/>
      <c r="K1973" s="28"/>
    </row>
    <row r="1974" spans="2:11" x14ac:dyDescent="0.25">
      <c r="B1974" s="25"/>
      <c r="C1974" s="8"/>
      <c r="D1974" s="7"/>
      <c r="E1974" s="27"/>
      <c r="F1974" s="27"/>
      <c r="G1974" s="7"/>
      <c r="H1974" s="28"/>
      <c r="I1974" s="28"/>
      <c r="J1974" s="28"/>
      <c r="K1974" s="28"/>
    </row>
    <row r="1975" spans="2:11" x14ac:dyDescent="0.25">
      <c r="B1975" s="25"/>
      <c r="C1975" s="8"/>
      <c r="D1975" s="7"/>
      <c r="E1975" s="27"/>
      <c r="F1975" s="27"/>
      <c r="G1975" s="7"/>
      <c r="H1975" s="28"/>
      <c r="I1975" s="28"/>
      <c r="J1975" s="28"/>
      <c r="K1975" s="28"/>
    </row>
    <row r="1976" spans="2:11" x14ac:dyDescent="0.25">
      <c r="B1976" s="25"/>
      <c r="C1976" s="8"/>
      <c r="D1976" s="7"/>
      <c r="E1976" s="27"/>
      <c r="F1976" s="27"/>
      <c r="G1976" s="7"/>
      <c r="H1976" s="28"/>
      <c r="I1976" s="28"/>
      <c r="J1976" s="28"/>
      <c r="K1976" s="28"/>
    </row>
    <row r="1977" spans="2:11" x14ac:dyDescent="0.25">
      <c r="B1977" s="25"/>
      <c r="C1977" s="8"/>
      <c r="D1977" s="7"/>
      <c r="E1977" s="27"/>
      <c r="F1977" s="27"/>
      <c r="G1977" s="7"/>
      <c r="H1977" s="28"/>
      <c r="I1977" s="28"/>
      <c r="J1977" s="28"/>
      <c r="K1977" s="28"/>
    </row>
    <row r="1978" spans="2:11" x14ac:dyDescent="0.25">
      <c r="B1978" s="25"/>
      <c r="C1978" s="8"/>
      <c r="D1978" s="7"/>
      <c r="E1978" s="27"/>
      <c r="F1978" s="27"/>
      <c r="G1978" s="7"/>
      <c r="H1978" s="28"/>
      <c r="I1978" s="28"/>
      <c r="J1978" s="28"/>
      <c r="K1978" s="28"/>
    </row>
    <row r="1979" spans="2:11" x14ac:dyDescent="0.25">
      <c r="B1979" s="25"/>
      <c r="C1979" s="8"/>
      <c r="D1979" s="7"/>
      <c r="E1979" s="27"/>
      <c r="F1979" s="27"/>
      <c r="G1979" s="7"/>
      <c r="H1979" s="28"/>
      <c r="I1979" s="28"/>
      <c r="J1979" s="28"/>
      <c r="K1979" s="28"/>
    </row>
    <row r="1980" spans="2:11" x14ac:dyDescent="0.25">
      <c r="B1980" s="25"/>
      <c r="C1980" s="8"/>
      <c r="D1980" s="7"/>
      <c r="E1980" s="27"/>
      <c r="F1980" s="27"/>
      <c r="G1980" s="7"/>
      <c r="H1980" s="28"/>
      <c r="I1980" s="28"/>
      <c r="J1980" s="28"/>
      <c r="K1980" s="28"/>
    </row>
    <row r="1981" spans="2:11" x14ac:dyDescent="0.25">
      <c r="B1981" s="25"/>
      <c r="C1981" s="8"/>
      <c r="D1981" s="7"/>
      <c r="E1981" s="27"/>
      <c r="F1981" s="27"/>
      <c r="G1981" s="7"/>
      <c r="H1981" s="28"/>
      <c r="I1981" s="28"/>
      <c r="J1981" s="28"/>
      <c r="K1981" s="28"/>
    </row>
    <row r="1982" spans="2:11" x14ac:dyDescent="0.25">
      <c r="B1982" s="25"/>
      <c r="C1982" s="8"/>
      <c r="D1982" s="7"/>
      <c r="E1982" s="27"/>
      <c r="F1982" s="27"/>
      <c r="G1982" s="7"/>
      <c r="H1982" s="28"/>
      <c r="I1982" s="28"/>
      <c r="J1982" s="28"/>
      <c r="K1982" s="28"/>
    </row>
    <row r="1983" spans="2:11" x14ac:dyDescent="0.25">
      <c r="B1983" s="25"/>
      <c r="C1983" s="8"/>
      <c r="D1983" s="7"/>
      <c r="E1983" s="27"/>
      <c r="F1983" s="27"/>
      <c r="G1983" s="7"/>
      <c r="H1983" s="28"/>
      <c r="I1983" s="28"/>
      <c r="J1983" s="28"/>
      <c r="K1983" s="28"/>
    </row>
    <row r="1984" spans="2:11" x14ac:dyDescent="0.25">
      <c r="B1984" s="25"/>
      <c r="C1984" s="8"/>
      <c r="D1984" s="7"/>
      <c r="E1984" s="27"/>
      <c r="F1984" s="27"/>
      <c r="G1984" s="7"/>
      <c r="H1984" s="28"/>
      <c r="I1984" s="28"/>
      <c r="J1984" s="28"/>
      <c r="K1984" s="28"/>
    </row>
    <row r="1985" spans="2:11" x14ac:dyDescent="0.25">
      <c r="B1985" s="25"/>
      <c r="C1985" s="8"/>
      <c r="D1985" s="7"/>
      <c r="E1985" s="27"/>
      <c r="F1985" s="27"/>
      <c r="G1985" s="7"/>
      <c r="H1985" s="28"/>
      <c r="I1985" s="28"/>
      <c r="J1985" s="28"/>
      <c r="K1985" s="28"/>
    </row>
    <row r="1986" spans="2:11" x14ac:dyDescent="0.25">
      <c r="B1986" s="25"/>
      <c r="C1986" s="8"/>
      <c r="D1986" s="7"/>
      <c r="E1986" s="27"/>
      <c r="F1986" s="27"/>
      <c r="G1986" s="7"/>
      <c r="H1986" s="28"/>
      <c r="I1986" s="28"/>
      <c r="J1986" s="28"/>
      <c r="K1986" s="28"/>
    </row>
    <row r="1987" spans="2:11" x14ac:dyDescent="0.25">
      <c r="B1987" s="25"/>
      <c r="C1987" s="8"/>
      <c r="D1987" s="7"/>
      <c r="E1987" s="27"/>
      <c r="F1987" s="27"/>
      <c r="G1987" s="7"/>
      <c r="H1987" s="28"/>
      <c r="I1987" s="28"/>
      <c r="J1987" s="28"/>
      <c r="K1987" s="28"/>
    </row>
    <row r="1988" spans="2:11" x14ac:dyDescent="0.25">
      <c r="B1988" s="25"/>
      <c r="C1988" s="8"/>
      <c r="D1988" s="7"/>
      <c r="E1988" s="27"/>
      <c r="F1988" s="27"/>
      <c r="G1988" s="7"/>
      <c r="H1988" s="28"/>
      <c r="I1988" s="28"/>
      <c r="J1988" s="28"/>
      <c r="K1988" s="28"/>
    </row>
    <row r="1989" spans="2:11" x14ac:dyDescent="0.25">
      <c r="B1989" s="25"/>
      <c r="C1989" s="8"/>
      <c r="D1989" s="7"/>
      <c r="E1989" s="27"/>
      <c r="F1989" s="27"/>
      <c r="G1989" s="7"/>
      <c r="H1989" s="28"/>
      <c r="I1989" s="28"/>
      <c r="J1989" s="28"/>
      <c r="K1989" s="28"/>
    </row>
    <row r="1990" spans="2:11" x14ac:dyDescent="0.25">
      <c r="B1990" s="25"/>
      <c r="C1990" s="8"/>
      <c r="D1990" s="7"/>
      <c r="E1990" s="27"/>
      <c r="F1990" s="27"/>
      <c r="G1990" s="7"/>
      <c r="H1990" s="28"/>
      <c r="I1990" s="28"/>
      <c r="J1990" s="28"/>
      <c r="K1990" s="28"/>
    </row>
    <row r="1991" spans="2:11" x14ac:dyDescent="0.25">
      <c r="B1991" s="25"/>
      <c r="C1991" s="8"/>
      <c r="D1991" s="7"/>
      <c r="E1991" s="27"/>
      <c r="F1991" s="27"/>
      <c r="G1991" s="7"/>
      <c r="H1991" s="28"/>
      <c r="I1991" s="28"/>
      <c r="J1991" s="28"/>
      <c r="K1991" s="28"/>
    </row>
    <row r="1992" spans="2:11" x14ac:dyDescent="0.25">
      <c r="B1992" s="25"/>
      <c r="C1992" s="8"/>
      <c r="D1992" s="7"/>
      <c r="E1992" s="27"/>
      <c r="F1992" s="27"/>
      <c r="G1992" s="7"/>
      <c r="H1992" s="28"/>
      <c r="I1992" s="28"/>
      <c r="J1992" s="28"/>
      <c r="K1992" s="28"/>
    </row>
    <row r="1993" spans="2:11" x14ac:dyDescent="0.25">
      <c r="B1993" s="25"/>
      <c r="C1993" s="8"/>
      <c r="D1993" s="7"/>
      <c r="E1993" s="27"/>
      <c r="F1993" s="27"/>
      <c r="G1993" s="7"/>
      <c r="H1993" s="28"/>
      <c r="I1993" s="28"/>
      <c r="J1993" s="28"/>
      <c r="K1993" s="28"/>
    </row>
    <row r="1994" spans="2:11" x14ac:dyDescent="0.25">
      <c r="B1994" s="25"/>
      <c r="C1994" s="8"/>
      <c r="D1994" s="7"/>
      <c r="E1994" s="27"/>
      <c r="F1994" s="27"/>
      <c r="G1994" s="7"/>
      <c r="H1994" s="28"/>
      <c r="I1994" s="28"/>
      <c r="J1994" s="28"/>
      <c r="K1994" s="28"/>
    </row>
    <row r="1995" spans="2:11" x14ac:dyDescent="0.25">
      <c r="B1995" s="25"/>
      <c r="C1995" s="8"/>
      <c r="D1995" s="7"/>
      <c r="E1995" s="27"/>
      <c r="F1995" s="27"/>
      <c r="G1995" s="7"/>
      <c r="H1995" s="28"/>
      <c r="I1995" s="28"/>
      <c r="J1995" s="28"/>
      <c r="K1995" s="28"/>
    </row>
    <row r="1996" spans="2:11" x14ac:dyDescent="0.25">
      <c r="B1996" s="25"/>
      <c r="C1996" s="8"/>
      <c r="D1996" s="7"/>
      <c r="E1996" s="27"/>
      <c r="F1996" s="27"/>
      <c r="G1996" s="7"/>
      <c r="H1996" s="28"/>
      <c r="I1996" s="28"/>
      <c r="J1996" s="28"/>
      <c r="K1996" s="28"/>
    </row>
    <row r="1997" spans="2:11" x14ac:dyDescent="0.25">
      <c r="B1997" s="25"/>
      <c r="C1997" s="8"/>
      <c r="D1997" s="7"/>
      <c r="E1997" s="27"/>
      <c r="F1997" s="27"/>
      <c r="G1997" s="7"/>
      <c r="H1997" s="28"/>
      <c r="I1997" s="28"/>
      <c r="J1997" s="28"/>
      <c r="K1997" s="28"/>
    </row>
    <row r="1998" spans="2:11" x14ac:dyDescent="0.25">
      <c r="B1998" s="25"/>
      <c r="C1998" s="8"/>
      <c r="D1998" s="7"/>
      <c r="E1998" s="27"/>
      <c r="F1998" s="27"/>
      <c r="G1998" s="7"/>
      <c r="H1998" s="28"/>
      <c r="I1998" s="28"/>
      <c r="J1998" s="28"/>
      <c r="K1998" s="28"/>
    </row>
    <row r="1999" spans="2:11" x14ac:dyDescent="0.25">
      <c r="B1999" s="25"/>
      <c r="C1999" s="8"/>
      <c r="D1999" s="7"/>
      <c r="E1999" s="27"/>
      <c r="F1999" s="27"/>
      <c r="G1999" s="7"/>
      <c r="H1999" s="28"/>
      <c r="I1999" s="28"/>
      <c r="J1999" s="28"/>
      <c r="K1999" s="28"/>
    </row>
    <row r="2000" spans="2:11" x14ac:dyDescent="0.25">
      <c r="B2000" s="25"/>
      <c r="C2000" s="8"/>
      <c r="D2000" s="7"/>
      <c r="E2000" s="27"/>
      <c r="F2000" s="27"/>
      <c r="G2000" s="7"/>
      <c r="H2000" s="28"/>
      <c r="I2000" s="28"/>
      <c r="J2000" s="28"/>
      <c r="K2000" s="28"/>
    </row>
    <row r="2001" spans="2:11" x14ac:dyDescent="0.25">
      <c r="B2001" s="25"/>
      <c r="C2001" s="8"/>
      <c r="D2001" s="7"/>
      <c r="E2001" s="27"/>
      <c r="F2001" s="27"/>
      <c r="G2001" s="7"/>
      <c r="H2001" s="28"/>
      <c r="I2001" s="28"/>
      <c r="J2001" s="28"/>
      <c r="K2001" s="28"/>
    </row>
    <row r="2002" spans="2:11" x14ac:dyDescent="0.25">
      <c r="B2002" s="25"/>
      <c r="C2002" s="8"/>
      <c r="D2002" s="7"/>
      <c r="E2002" s="27"/>
      <c r="F2002" s="27"/>
      <c r="G2002" s="7"/>
      <c r="H2002" s="28"/>
      <c r="I2002" s="28"/>
      <c r="J2002" s="28"/>
      <c r="K2002" s="28"/>
    </row>
    <row r="2003" spans="2:11" x14ac:dyDescent="0.25">
      <c r="B2003" s="25"/>
      <c r="C2003" s="8"/>
      <c r="D2003" s="7"/>
      <c r="E2003" s="27"/>
      <c r="F2003" s="27"/>
      <c r="G2003" s="7"/>
      <c r="H2003" s="28"/>
      <c r="I2003" s="28"/>
      <c r="J2003" s="28"/>
      <c r="K2003" s="28"/>
    </row>
    <row r="2004" spans="2:11" x14ac:dyDescent="0.25">
      <c r="B2004" s="25"/>
      <c r="C2004" s="8"/>
      <c r="D2004" s="7"/>
      <c r="E2004" s="27"/>
      <c r="F2004" s="27"/>
      <c r="G2004" s="7"/>
      <c r="H2004" s="28"/>
      <c r="I2004" s="28"/>
      <c r="J2004" s="28"/>
      <c r="K2004" s="28"/>
    </row>
    <row r="2005" spans="2:11" x14ac:dyDescent="0.25">
      <c r="B2005" s="25"/>
      <c r="C2005" s="8"/>
      <c r="D2005" s="7"/>
      <c r="E2005" s="27"/>
      <c r="F2005" s="27"/>
      <c r="G2005" s="7"/>
      <c r="H2005" s="28"/>
      <c r="I2005" s="28"/>
      <c r="J2005" s="28"/>
      <c r="K2005" s="28"/>
    </row>
    <row r="2006" spans="2:11" x14ac:dyDescent="0.25">
      <c r="B2006" s="25"/>
      <c r="C2006" s="8"/>
      <c r="D2006" s="7"/>
      <c r="E2006" s="27"/>
      <c r="F2006" s="27"/>
      <c r="G2006" s="7"/>
      <c r="H2006" s="28"/>
      <c r="I2006" s="28"/>
      <c r="J2006" s="28"/>
      <c r="K2006" s="28"/>
    </row>
    <row r="2007" spans="2:11" x14ac:dyDescent="0.25">
      <c r="B2007" s="25"/>
      <c r="C2007" s="8"/>
      <c r="D2007" s="7"/>
      <c r="E2007" s="27"/>
      <c r="F2007" s="27"/>
      <c r="G2007" s="7"/>
      <c r="H2007" s="28"/>
      <c r="I2007" s="28"/>
      <c r="J2007" s="28"/>
      <c r="K2007" s="28"/>
    </row>
    <row r="2008" spans="2:11" x14ac:dyDescent="0.25">
      <c r="B2008" s="25"/>
      <c r="C2008" s="8"/>
      <c r="D2008" s="7"/>
      <c r="E2008" s="27"/>
      <c r="F2008" s="27"/>
      <c r="G2008" s="7"/>
      <c r="H2008" s="28"/>
      <c r="I2008" s="28"/>
      <c r="J2008" s="28"/>
      <c r="K2008" s="28"/>
    </row>
    <row r="2009" spans="2:11" x14ac:dyDescent="0.25">
      <c r="B2009" s="25"/>
      <c r="C2009" s="8"/>
      <c r="D2009" s="7"/>
      <c r="E2009" s="27"/>
      <c r="F2009" s="27"/>
      <c r="G2009" s="7"/>
      <c r="H2009" s="28"/>
      <c r="I2009" s="28"/>
      <c r="J2009" s="28"/>
      <c r="K2009" s="28"/>
    </row>
    <row r="2010" spans="2:11" x14ac:dyDescent="0.25">
      <c r="B2010" s="25"/>
      <c r="C2010" s="8"/>
      <c r="D2010" s="7"/>
      <c r="E2010" s="27"/>
      <c r="F2010" s="27"/>
      <c r="G2010" s="7"/>
      <c r="H2010" s="28"/>
      <c r="I2010" s="28"/>
      <c r="J2010" s="28"/>
      <c r="K2010" s="28"/>
    </row>
    <row r="2011" spans="2:11" x14ac:dyDescent="0.25">
      <c r="B2011" s="25"/>
      <c r="C2011" s="8"/>
      <c r="D2011" s="7"/>
      <c r="E2011" s="27"/>
      <c r="F2011" s="27"/>
      <c r="G2011" s="7"/>
      <c r="H2011" s="28"/>
      <c r="I2011" s="28"/>
      <c r="J2011" s="28"/>
      <c r="K2011" s="28"/>
    </row>
    <row r="2012" spans="2:11" x14ac:dyDescent="0.25">
      <c r="B2012" s="25"/>
      <c r="C2012" s="8"/>
      <c r="D2012" s="7"/>
      <c r="E2012" s="27"/>
      <c r="F2012" s="27"/>
      <c r="G2012" s="7"/>
      <c r="H2012" s="28"/>
      <c r="I2012" s="28"/>
      <c r="J2012" s="28"/>
      <c r="K2012" s="28"/>
    </row>
    <row r="2013" spans="2:11" x14ac:dyDescent="0.25">
      <c r="B2013" s="25"/>
      <c r="C2013" s="8"/>
      <c r="D2013" s="7"/>
      <c r="E2013" s="27"/>
      <c r="F2013" s="27"/>
      <c r="G2013" s="7"/>
      <c r="H2013" s="28"/>
      <c r="I2013" s="28"/>
      <c r="J2013" s="28"/>
      <c r="K2013" s="28"/>
    </row>
    <row r="2014" spans="2:11" x14ac:dyDescent="0.25">
      <c r="B2014" s="25"/>
      <c r="C2014" s="8"/>
      <c r="D2014" s="7"/>
      <c r="E2014" s="27"/>
      <c r="F2014" s="27"/>
      <c r="G2014" s="7"/>
      <c r="H2014" s="28"/>
      <c r="I2014" s="28"/>
      <c r="J2014" s="28"/>
      <c r="K2014" s="28"/>
    </row>
    <row r="2015" spans="2:11" x14ac:dyDescent="0.25">
      <c r="B2015" s="25"/>
      <c r="C2015" s="8"/>
      <c r="D2015" s="7"/>
      <c r="E2015" s="27"/>
      <c r="F2015" s="27"/>
      <c r="G2015" s="7"/>
      <c r="H2015" s="28"/>
      <c r="I2015" s="28"/>
      <c r="J2015" s="28"/>
      <c r="K2015" s="28"/>
    </row>
    <row r="2016" spans="2:11" x14ac:dyDescent="0.25">
      <c r="B2016" s="25"/>
      <c r="C2016" s="8"/>
      <c r="D2016" s="7"/>
      <c r="E2016" s="27"/>
      <c r="F2016" s="27"/>
      <c r="G2016" s="7"/>
      <c r="H2016" s="28"/>
      <c r="I2016" s="28"/>
      <c r="J2016" s="28"/>
      <c r="K2016" s="28"/>
    </row>
    <row r="2017" spans="2:11" x14ac:dyDescent="0.25">
      <c r="B2017" s="25"/>
      <c r="C2017" s="8"/>
      <c r="D2017" s="7"/>
      <c r="E2017" s="27"/>
      <c r="F2017" s="27"/>
      <c r="G2017" s="7"/>
      <c r="H2017" s="28"/>
      <c r="I2017" s="28"/>
      <c r="J2017" s="28"/>
      <c r="K2017" s="28"/>
    </row>
    <row r="2018" spans="2:11" x14ac:dyDescent="0.25">
      <c r="B2018" s="25"/>
      <c r="C2018" s="8"/>
      <c r="D2018" s="7"/>
      <c r="E2018" s="27"/>
      <c r="F2018" s="27"/>
      <c r="G2018" s="7"/>
      <c r="H2018" s="28"/>
      <c r="I2018" s="28"/>
      <c r="J2018" s="28"/>
      <c r="K2018" s="28"/>
    </row>
    <row r="2019" spans="2:11" x14ac:dyDescent="0.25">
      <c r="B2019" s="25"/>
      <c r="C2019" s="8"/>
      <c r="D2019" s="7"/>
      <c r="E2019" s="27"/>
      <c r="F2019" s="27"/>
      <c r="G2019" s="7"/>
      <c r="H2019" s="28"/>
      <c r="I2019" s="28"/>
      <c r="J2019" s="28"/>
      <c r="K2019" s="28"/>
    </row>
    <row r="2020" spans="2:11" x14ac:dyDescent="0.25">
      <c r="B2020" s="25"/>
      <c r="C2020" s="8"/>
      <c r="D2020" s="7"/>
      <c r="E2020" s="27"/>
      <c r="F2020" s="27"/>
      <c r="G2020" s="7"/>
      <c r="H2020" s="28"/>
      <c r="I2020" s="28"/>
      <c r="J2020" s="28"/>
      <c r="K2020" s="28"/>
    </row>
    <row r="2021" spans="2:11" x14ac:dyDescent="0.25">
      <c r="B2021" s="25"/>
      <c r="C2021" s="8"/>
      <c r="D2021" s="7"/>
      <c r="E2021" s="27"/>
      <c r="F2021" s="27"/>
      <c r="G2021" s="7"/>
      <c r="H2021" s="28"/>
      <c r="I2021" s="28"/>
      <c r="J2021" s="28"/>
      <c r="K2021" s="28"/>
    </row>
    <row r="2022" spans="2:11" x14ac:dyDescent="0.25">
      <c r="B2022" s="25"/>
      <c r="C2022" s="8"/>
      <c r="D2022" s="7"/>
      <c r="E2022" s="27"/>
      <c r="F2022" s="27"/>
      <c r="G2022" s="7"/>
      <c r="H2022" s="28"/>
      <c r="I2022" s="28"/>
      <c r="J2022" s="28"/>
      <c r="K2022" s="28"/>
    </row>
    <row r="2023" spans="2:11" x14ac:dyDescent="0.25">
      <c r="B2023" s="25"/>
      <c r="C2023" s="8"/>
      <c r="D2023" s="7"/>
      <c r="E2023" s="27"/>
      <c r="F2023" s="27"/>
      <c r="G2023" s="7"/>
      <c r="H2023" s="28"/>
      <c r="I2023" s="28"/>
      <c r="J2023" s="28"/>
      <c r="K2023" s="28"/>
    </row>
    <row r="2024" spans="2:11" x14ac:dyDescent="0.25">
      <c r="B2024" s="25"/>
      <c r="C2024" s="8"/>
      <c r="D2024" s="7"/>
      <c r="E2024" s="27"/>
      <c r="F2024" s="27"/>
      <c r="G2024" s="7"/>
      <c r="H2024" s="28"/>
      <c r="I2024" s="28"/>
      <c r="J2024" s="28"/>
      <c r="K2024" s="28"/>
    </row>
    <row r="2025" spans="2:11" x14ac:dyDescent="0.25">
      <c r="B2025" s="25"/>
      <c r="C2025" s="8"/>
      <c r="D2025" s="7"/>
      <c r="E2025" s="27"/>
      <c r="F2025" s="27"/>
      <c r="G2025" s="7"/>
      <c r="H2025" s="28"/>
      <c r="I2025" s="28"/>
      <c r="J2025" s="28"/>
      <c r="K2025" s="28"/>
    </row>
    <row r="2026" spans="2:11" x14ac:dyDescent="0.25">
      <c r="B2026" s="25"/>
      <c r="C2026" s="8"/>
      <c r="D2026" s="7"/>
      <c r="E2026" s="27"/>
      <c r="F2026" s="27"/>
      <c r="G2026" s="7"/>
      <c r="H2026" s="28"/>
      <c r="I2026" s="28"/>
      <c r="J2026" s="28"/>
      <c r="K2026" s="28"/>
    </row>
    <row r="2027" spans="2:11" x14ac:dyDescent="0.25">
      <c r="B2027" s="25"/>
      <c r="C2027" s="8"/>
      <c r="D2027" s="7"/>
      <c r="E2027" s="27"/>
      <c r="F2027" s="27"/>
      <c r="G2027" s="7"/>
      <c r="H2027" s="28"/>
      <c r="I2027" s="28"/>
      <c r="J2027" s="28"/>
      <c r="K2027" s="28"/>
    </row>
    <row r="2028" spans="2:11" x14ac:dyDescent="0.25">
      <c r="B2028" s="25"/>
      <c r="C2028" s="8"/>
      <c r="D2028" s="7"/>
      <c r="E2028" s="27"/>
      <c r="F2028" s="27"/>
      <c r="G2028" s="7"/>
      <c r="H2028" s="28"/>
      <c r="I2028" s="28"/>
      <c r="J2028" s="28"/>
      <c r="K2028" s="28"/>
    </row>
    <row r="2029" spans="2:11" x14ac:dyDescent="0.25">
      <c r="B2029" s="25"/>
      <c r="C2029" s="8"/>
      <c r="D2029" s="7"/>
      <c r="E2029" s="27"/>
      <c r="F2029" s="27"/>
      <c r="G2029" s="7"/>
      <c r="H2029" s="28"/>
      <c r="I2029" s="28"/>
      <c r="J2029" s="28"/>
      <c r="K2029" s="28"/>
    </row>
    <row r="2030" spans="2:11" x14ac:dyDescent="0.25">
      <c r="B2030" s="25"/>
      <c r="C2030" s="8"/>
      <c r="D2030" s="7"/>
      <c r="E2030" s="27"/>
      <c r="F2030" s="27"/>
      <c r="G2030" s="7"/>
      <c r="H2030" s="28"/>
      <c r="I2030" s="28"/>
      <c r="J2030" s="28"/>
      <c r="K2030" s="28"/>
    </row>
    <row r="2031" spans="2:11" x14ac:dyDescent="0.25">
      <c r="B2031" s="25"/>
      <c r="C2031" s="8"/>
      <c r="D2031" s="7"/>
      <c r="E2031" s="27"/>
      <c r="F2031" s="27"/>
      <c r="G2031" s="7"/>
      <c r="H2031" s="28"/>
      <c r="I2031" s="28"/>
      <c r="J2031" s="28"/>
      <c r="K2031" s="28"/>
    </row>
    <row r="2032" spans="2:11" x14ac:dyDescent="0.25">
      <c r="B2032" s="25"/>
      <c r="C2032" s="8"/>
      <c r="D2032" s="7"/>
      <c r="E2032" s="27"/>
      <c r="F2032" s="27"/>
      <c r="G2032" s="7"/>
      <c r="H2032" s="28"/>
      <c r="I2032" s="28"/>
      <c r="J2032" s="28"/>
      <c r="K2032" s="28"/>
    </row>
    <row r="2033" spans="2:11" x14ac:dyDescent="0.25">
      <c r="B2033" s="25"/>
      <c r="C2033" s="8"/>
      <c r="D2033" s="7"/>
      <c r="E2033" s="27"/>
      <c r="F2033" s="27"/>
      <c r="G2033" s="7"/>
      <c r="H2033" s="28"/>
      <c r="I2033" s="28"/>
      <c r="J2033" s="28"/>
      <c r="K2033" s="28"/>
    </row>
    <row r="2034" spans="2:11" x14ac:dyDescent="0.25">
      <c r="B2034" s="25"/>
      <c r="C2034" s="8"/>
      <c r="D2034" s="7"/>
      <c r="E2034" s="27"/>
      <c r="F2034" s="27"/>
      <c r="G2034" s="7"/>
      <c r="H2034" s="28"/>
      <c r="I2034" s="28"/>
      <c r="J2034" s="28"/>
      <c r="K2034" s="28"/>
    </row>
    <row r="2035" spans="2:11" x14ac:dyDescent="0.25">
      <c r="B2035" s="25"/>
      <c r="C2035" s="8"/>
      <c r="D2035" s="7"/>
      <c r="E2035" s="27"/>
      <c r="F2035" s="27"/>
      <c r="G2035" s="7"/>
      <c r="H2035" s="28"/>
      <c r="I2035" s="28"/>
      <c r="J2035" s="28"/>
      <c r="K2035" s="28"/>
    </row>
    <row r="2036" spans="2:11" x14ac:dyDescent="0.25">
      <c r="B2036" s="25"/>
      <c r="C2036" s="8"/>
      <c r="D2036" s="7"/>
      <c r="E2036" s="27"/>
      <c r="F2036" s="27"/>
      <c r="G2036" s="7"/>
      <c r="H2036" s="28"/>
      <c r="I2036" s="28"/>
      <c r="J2036" s="28"/>
      <c r="K2036" s="28"/>
    </row>
    <row r="2037" spans="2:11" x14ac:dyDescent="0.25">
      <c r="B2037" s="25"/>
      <c r="C2037" s="8"/>
      <c r="D2037" s="7"/>
      <c r="E2037" s="27"/>
      <c r="F2037" s="27"/>
      <c r="G2037" s="7"/>
      <c r="H2037" s="28"/>
      <c r="I2037" s="28"/>
      <c r="J2037" s="28"/>
      <c r="K2037" s="28"/>
    </row>
    <row r="2038" spans="2:11" x14ac:dyDescent="0.25">
      <c r="B2038" s="25"/>
      <c r="C2038" s="8"/>
      <c r="D2038" s="7"/>
      <c r="E2038" s="27"/>
      <c r="F2038" s="27"/>
      <c r="G2038" s="7"/>
      <c r="H2038" s="28"/>
      <c r="I2038" s="28"/>
      <c r="J2038" s="28"/>
      <c r="K2038" s="28"/>
    </row>
    <row r="2039" spans="2:11" x14ac:dyDescent="0.25">
      <c r="B2039" s="25"/>
      <c r="C2039" s="8"/>
      <c r="D2039" s="7"/>
      <c r="E2039" s="27"/>
      <c r="F2039" s="27"/>
      <c r="G2039" s="7"/>
      <c r="H2039" s="28"/>
      <c r="I2039" s="28"/>
      <c r="J2039" s="28"/>
      <c r="K2039" s="28"/>
    </row>
    <row r="2040" spans="2:11" x14ac:dyDescent="0.25">
      <c r="B2040" s="25"/>
      <c r="C2040" s="8"/>
      <c r="D2040" s="7"/>
      <c r="E2040" s="27"/>
      <c r="F2040" s="27"/>
      <c r="G2040" s="7"/>
      <c r="H2040" s="28"/>
      <c r="I2040" s="28"/>
      <c r="J2040" s="28"/>
      <c r="K2040" s="28"/>
    </row>
    <row r="2041" spans="2:11" x14ac:dyDescent="0.25">
      <c r="B2041" s="25"/>
      <c r="C2041" s="8"/>
      <c r="D2041" s="7"/>
      <c r="E2041" s="27"/>
      <c r="F2041" s="27"/>
      <c r="G2041" s="7"/>
      <c r="H2041" s="28"/>
      <c r="I2041" s="28"/>
      <c r="J2041" s="28"/>
      <c r="K2041" s="28"/>
    </row>
    <row r="2042" spans="2:11" x14ac:dyDescent="0.25">
      <c r="B2042" s="25"/>
      <c r="C2042" s="8"/>
      <c r="D2042" s="7"/>
      <c r="E2042" s="27"/>
      <c r="F2042" s="27"/>
      <c r="G2042" s="7"/>
      <c r="H2042" s="28"/>
      <c r="I2042" s="28"/>
      <c r="J2042" s="28"/>
      <c r="K2042" s="28"/>
    </row>
    <row r="2043" spans="2:11" x14ac:dyDescent="0.25">
      <c r="B2043" s="25"/>
      <c r="C2043" s="8"/>
      <c r="D2043" s="7"/>
      <c r="E2043" s="27"/>
      <c r="F2043" s="27"/>
      <c r="G2043" s="7"/>
      <c r="H2043" s="28"/>
      <c r="I2043" s="28"/>
      <c r="J2043" s="28"/>
      <c r="K2043" s="28"/>
    </row>
    <row r="2044" spans="2:11" x14ac:dyDescent="0.25">
      <c r="B2044" s="25"/>
      <c r="C2044" s="8"/>
      <c r="D2044" s="7"/>
      <c r="E2044" s="27"/>
      <c r="F2044" s="27"/>
      <c r="G2044" s="7"/>
      <c r="H2044" s="28"/>
      <c r="I2044" s="28"/>
      <c r="J2044" s="28"/>
      <c r="K2044" s="28"/>
    </row>
    <row r="2045" spans="2:11" x14ac:dyDescent="0.25">
      <c r="B2045" s="25"/>
      <c r="C2045" s="8"/>
      <c r="D2045" s="7"/>
      <c r="E2045" s="27"/>
      <c r="F2045" s="27"/>
      <c r="G2045" s="7"/>
      <c r="H2045" s="28"/>
      <c r="I2045" s="28"/>
      <c r="J2045" s="28"/>
      <c r="K2045" s="28"/>
    </row>
    <row r="2046" spans="2:11" x14ac:dyDescent="0.25">
      <c r="B2046" s="25"/>
      <c r="C2046" s="8"/>
      <c r="D2046" s="7"/>
      <c r="E2046" s="27"/>
      <c r="F2046" s="27"/>
      <c r="G2046" s="7"/>
      <c r="H2046" s="28"/>
      <c r="I2046" s="28"/>
      <c r="J2046" s="28"/>
      <c r="K2046" s="28"/>
    </row>
    <row r="2047" spans="2:11" x14ac:dyDescent="0.25">
      <c r="B2047" s="25"/>
      <c r="C2047" s="8"/>
      <c r="D2047" s="7"/>
      <c r="E2047" s="27"/>
      <c r="F2047" s="27"/>
      <c r="G2047" s="7"/>
      <c r="H2047" s="28"/>
      <c r="I2047" s="28"/>
      <c r="J2047" s="28"/>
      <c r="K2047" s="28"/>
    </row>
    <row r="2048" spans="2:11" x14ac:dyDescent="0.25">
      <c r="B2048" s="25"/>
      <c r="C2048" s="8"/>
      <c r="D2048" s="7"/>
      <c r="E2048" s="27"/>
      <c r="F2048" s="27"/>
      <c r="G2048" s="7"/>
      <c r="H2048" s="28"/>
      <c r="I2048" s="28"/>
      <c r="J2048" s="28"/>
      <c r="K2048" s="28"/>
    </row>
    <row r="2049" spans="2:11" x14ac:dyDescent="0.25">
      <c r="B2049" s="25"/>
      <c r="C2049" s="8"/>
      <c r="D2049" s="7"/>
      <c r="E2049" s="27"/>
      <c r="F2049" s="27"/>
      <c r="G2049" s="7"/>
      <c r="H2049" s="28"/>
      <c r="I2049" s="28"/>
      <c r="J2049" s="28"/>
      <c r="K2049" s="28"/>
    </row>
    <row r="2050" spans="2:11" x14ac:dyDescent="0.25">
      <c r="B2050" s="25"/>
      <c r="C2050" s="8"/>
      <c r="D2050" s="7"/>
      <c r="E2050" s="27"/>
      <c r="F2050" s="27"/>
      <c r="G2050" s="7"/>
      <c r="H2050" s="28"/>
      <c r="I2050" s="28"/>
      <c r="J2050" s="28"/>
      <c r="K2050" s="28"/>
    </row>
    <row r="2051" spans="2:11" x14ac:dyDescent="0.25">
      <c r="B2051" s="25"/>
      <c r="C2051" s="8"/>
      <c r="D2051" s="7"/>
      <c r="E2051" s="27"/>
      <c r="F2051" s="27"/>
      <c r="G2051" s="7"/>
      <c r="H2051" s="28"/>
      <c r="I2051" s="28"/>
      <c r="J2051" s="28"/>
      <c r="K2051" s="28"/>
    </row>
    <row r="2052" spans="2:11" x14ac:dyDescent="0.25">
      <c r="B2052" s="25"/>
      <c r="C2052" s="8"/>
      <c r="D2052" s="7"/>
      <c r="E2052" s="27"/>
      <c r="F2052" s="27"/>
      <c r="G2052" s="7"/>
      <c r="H2052" s="28"/>
      <c r="I2052" s="28"/>
      <c r="J2052" s="28"/>
      <c r="K2052" s="28"/>
    </row>
    <row r="2053" spans="2:11" x14ac:dyDescent="0.25">
      <c r="B2053" s="25"/>
      <c r="C2053" s="8"/>
      <c r="D2053" s="7"/>
      <c r="E2053" s="27"/>
      <c r="F2053" s="27"/>
      <c r="G2053" s="7"/>
      <c r="H2053" s="28"/>
      <c r="I2053" s="28"/>
      <c r="J2053" s="28"/>
      <c r="K2053" s="28"/>
    </row>
    <row r="2054" spans="2:11" x14ac:dyDescent="0.25">
      <c r="B2054" s="25"/>
      <c r="C2054" s="8"/>
      <c r="D2054" s="7"/>
      <c r="E2054" s="27"/>
      <c r="F2054" s="27"/>
      <c r="G2054" s="7"/>
      <c r="H2054" s="28"/>
      <c r="I2054" s="28"/>
      <c r="J2054" s="28"/>
      <c r="K2054" s="28"/>
    </row>
    <row r="2055" spans="2:11" x14ac:dyDescent="0.25">
      <c r="B2055" s="25"/>
      <c r="C2055" s="8"/>
      <c r="D2055" s="7"/>
      <c r="E2055" s="27"/>
      <c r="F2055" s="27"/>
      <c r="G2055" s="7"/>
      <c r="H2055" s="28"/>
      <c r="I2055" s="28"/>
      <c r="J2055" s="28"/>
      <c r="K2055" s="28"/>
    </row>
    <row r="2056" spans="2:11" x14ac:dyDescent="0.25">
      <c r="B2056" s="25"/>
      <c r="C2056" s="8"/>
      <c r="D2056" s="7"/>
      <c r="E2056" s="27"/>
      <c r="F2056" s="27"/>
      <c r="G2056" s="7"/>
      <c r="H2056" s="28"/>
      <c r="I2056" s="28"/>
      <c r="J2056" s="28"/>
      <c r="K2056" s="28"/>
    </row>
    <row r="2057" spans="2:11" x14ac:dyDescent="0.25">
      <c r="B2057" s="25"/>
      <c r="C2057" s="8"/>
      <c r="D2057" s="7"/>
      <c r="E2057" s="27"/>
      <c r="F2057" s="27"/>
      <c r="G2057" s="7"/>
      <c r="H2057" s="28"/>
      <c r="I2057" s="28"/>
      <c r="J2057" s="28"/>
      <c r="K2057" s="28"/>
    </row>
    <row r="2058" spans="2:11" x14ac:dyDescent="0.25">
      <c r="B2058" s="25"/>
      <c r="C2058" s="8"/>
      <c r="D2058" s="7"/>
      <c r="E2058" s="27"/>
      <c r="F2058" s="27"/>
      <c r="G2058" s="7"/>
      <c r="H2058" s="28"/>
      <c r="I2058" s="28"/>
      <c r="J2058" s="28"/>
      <c r="K2058" s="28"/>
    </row>
    <row r="2059" spans="2:11" x14ac:dyDescent="0.25">
      <c r="B2059" s="25"/>
      <c r="C2059" s="8"/>
      <c r="D2059" s="7"/>
      <c r="E2059" s="27"/>
      <c r="F2059" s="27"/>
      <c r="G2059" s="7"/>
      <c r="H2059" s="28"/>
      <c r="I2059" s="28"/>
      <c r="J2059" s="28"/>
      <c r="K2059" s="28"/>
    </row>
    <row r="2060" spans="2:11" x14ac:dyDescent="0.25">
      <c r="B2060" s="25"/>
      <c r="C2060" s="8"/>
      <c r="D2060" s="7"/>
      <c r="E2060" s="27"/>
      <c r="F2060" s="27"/>
      <c r="G2060" s="7"/>
      <c r="H2060" s="28"/>
      <c r="I2060" s="28"/>
      <c r="J2060" s="28"/>
      <c r="K2060" s="28"/>
    </row>
    <row r="2061" spans="2:11" x14ac:dyDescent="0.25">
      <c r="B2061" s="25"/>
      <c r="C2061" s="8"/>
      <c r="D2061" s="7"/>
      <c r="E2061" s="27"/>
      <c r="F2061" s="27"/>
      <c r="G2061" s="7"/>
      <c r="H2061" s="28"/>
      <c r="I2061" s="28"/>
      <c r="J2061" s="28"/>
      <c r="K2061" s="28"/>
    </row>
    <row r="2062" spans="2:11" x14ac:dyDescent="0.25">
      <c r="B2062" s="25"/>
      <c r="C2062" s="8"/>
      <c r="D2062" s="7"/>
      <c r="E2062" s="27"/>
      <c r="F2062" s="27"/>
      <c r="G2062" s="7"/>
      <c r="H2062" s="28"/>
      <c r="I2062" s="28"/>
      <c r="J2062" s="28"/>
      <c r="K2062" s="28"/>
    </row>
    <row r="2063" spans="2:11" x14ac:dyDescent="0.25">
      <c r="B2063" s="25"/>
      <c r="C2063" s="8"/>
      <c r="D2063" s="7"/>
      <c r="E2063" s="27"/>
      <c r="F2063" s="27"/>
      <c r="G2063" s="7"/>
      <c r="H2063" s="28"/>
      <c r="I2063" s="28"/>
      <c r="J2063" s="28"/>
      <c r="K2063" s="28"/>
    </row>
    <row r="2064" spans="2:11" x14ac:dyDescent="0.25">
      <c r="B2064" s="25"/>
      <c r="C2064" s="8"/>
      <c r="D2064" s="7"/>
      <c r="E2064" s="27"/>
      <c r="F2064" s="27"/>
      <c r="G2064" s="7"/>
      <c r="H2064" s="28"/>
      <c r="I2064" s="28"/>
      <c r="J2064" s="28"/>
      <c r="K2064" s="28"/>
    </row>
    <row r="2065" spans="2:11" x14ac:dyDescent="0.25">
      <c r="B2065" s="25"/>
      <c r="C2065" s="8"/>
      <c r="D2065" s="7"/>
      <c r="E2065" s="27"/>
      <c r="F2065" s="27"/>
      <c r="G2065" s="7"/>
      <c r="H2065" s="28"/>
      <c r="I2065" s="28"/>
      <c r="J2065" s="28"/>
      <c r="K2065" s="28"/>
    </row>
    <row r="2066" spans="2:11" x14ac:dyDescent="0.25">
      <c r="B2066" s="25"/>
      <c r="C2066" s="8"/>
      <c r="D2066" s="7"/>
      <c r="E2066" s="27"/>
      <c r="F2066" s="27"/>
      <c r="G2066" s="7"/>
      <c r="H2066" s="28"/>
      <c r="I2066" s="28"/>
      <c r="J2066" s="28"/>
      <c r="K2066" s="28"/>
    </row>
    <row r="2067" spans="2:11" x14ac:dyDescent="0.25">
      <c r="B2067" s="25"/>
      <c r="C2067" s="8"/>
      <c r="D2067" s="7"/>
      <c r="E2067" s="27"/>
      <c r="F2067" s="27"/>
      <c r="G2067" s="7"/>
      <c r="H2067" s="28"/>
      <c r="I2067" s="28"/>
      <c r="J2067" s="28"/>
      <c r="K2067" s="28"/>
    </row>
    <row r="2068" spans="2:11" x14ac:dyDescent="0.25">
      <c r="B2068" s="25"/>
      <c r="C2068" s="8"/>
      <c r="D2068" s="7"/>
      <c r="E2068" s="27"/>
      <c r="F2068" s="27"/>
      <c r="G2068" s="7"/>
      <c r="H2068" s="28"/>
      <c r="I2068" s="28"/>
      <c r="J2068" s="28"/>
      <c r="K2068" s="28"/>
    </row>
    <row r="2069" spans="2:11" x14ac:dyDescent="0.25">
      <c r="B2069" s="25"/>
      <c r="C2069" s="8"/>
      <c r="D2069" s="7"/>
      <c r="E2069" s="27"/>
      <c r="F2069" s="27"/>
      <c r="G2069" s="7"/>
      <c r="H2069" s="28"/>
      <c r="I2069" s="28"/>
      <c r="J2069" s="28"/>
      <c r="K2069" s="28"/>
    </row>
    <row r="2070" spans="2:11" x14ac:dyDescent="0.25">
      <c r="B2070" s="25"/>
      <c r="C2070" s="8"/>
      <c r="D2070" s="7"/>
      <c r="E2070" s="27"/>
      <c r="F2070" s="27"/>
      <c r="G2070" s="7"/>
      <c r="H2070" s="28"/>
      <c r="I2070" s="28"/>
      <c r="J2070" s="28"/>
      <c r="K2070" s="28"/>
    </row>
    <row r="2071" spans="2:11" x14ac:dyDescent="0.25">
      <c r="B2071" s="25"/>
      <c r="C2071" s="8"/>
      <c r="D2071" s="7"/>
      <c r="E2071" s="27"/>
      <c r="F2071" s="27"/>
      <c r="G2071" s="7"/>
      <c r="H2071" s="28"/>
      <c r="I2071" s="28"/>
      <c r="J2071" s="28"/>
      <c r="K2071" s="28"/>
    </row>
    <row r="2072" spans="2:11" x14ac:dyDescent="0.25">
      <c r="B2072" s="25"/>
      <c r="C2072" s="8"/>
      <c r="D2072" s="7"/>
      <c r="E2072" s="27"/>
      <c r="F2072" s="27"/>
      <c r="G2072" s="7"/>
      <c r="H2072" s="28"/>
      <c r="I2072" s="28"/>
      <c r="J2072" s="28"/>
      <c r="K2072" s="28"/>
    </row>
    <row r="2073" spans="2:11" x14ac:dyDescent="0.25">
      <c r="B2073" s="25"/>
      <c r="C2073" s="8"/>
      <c r="D2073" s="7"/>
      <c r="E2073" s="27"/>
      <c r="F2073" s="27"/>
      <c r="G2073" s="7"/>
      <c r="H2073" s="28"/>
      <c r="I2073" s="28"/>
      <c r="J2073" s="28"/>
      <c r="K2073" s="28"/>
    </row>
    <row r="2074" spans="2:11" x14ac:dyDescent="0.25">
      <c r="B2074" s="25"/>
      <c r="C2074" s="8"/>
      <c r="D2074" s="7"/>
      <c r="E2074" s="27"/>
      <c r="F2074" s="27"/>
      <c r="G2074" s="7"/>
      <c r="H2074" s="28"/>
      <c r="I2074" s="28"/>
      <c r="J2074" s="28"/>
      <c r="K2074" s="28"/>
    </row>
    <row r="2075" spans="2:11" x14ac:dyDescent="0.25">
      <c r="B2075" s="25"/>
      <c r="C2075" s="8"/>
      <c r="D2075" s="7"/>
      <c r="E2075" s="27"/>
      <c r="F2075" s="27"/>
      <c r="G2075" s="7"/>
      <c r="H2075" s="28"/>
      <c r="I2075" s="28"/>
      <c r="J2075" s="28"/>
      <c r="K2075" s="28"/>
    </row>
    <row r="2076" spans="2:11" x14ac:dyDescent="0.25">
      <c r="B2076" s="25"/>
      <c r="C2076" s="8"/>
      <c r="D2076" s="7"/>
      <c r="E2076" s="27"/>
      <c r="F2076" s="27"/>
      <c r="G2076" s="7"/>
      <c r="H2076" s="28"/>
      <c r="I2076" s="28"/>
      <c r="J2076" s="28"/>
      <c r="K2076" s="28"/>
    </row>
    <row r="2077" spans="2:11" x14ac:dyDescent="0.25">
      <c r="B2077" s="25"/>
      <c r="C2077" s="8"/>
      <c r="D2077" s="7"/>
      <c r="E2077" s="27"/>
      <c r="F2077" s="27"/>
      <c r="G2077" s="7"/>
      <c r="H2077" s="28"/>
      <c r="I2077" s="28"/>
      <c r="J2077" s="28"/>
      <c r="K2077" s="28"/>
    </row>
    <row r="2078" spans="2:11" x14ac:dyDescent="0.25">
      <c r="B2078" s="25"/>
      <c r="C2078" s="8"/>
      <c r="D2078" s="7"/>
      <c r="E2078" s="27"/>
      <c r="F2078" s="27"/>
      <c r="G2078" s="7"/>
      <c r="H2078" s="28"/>
      <c r="I2078" s="28"/>
      <c r="J2078" s="28"/>
      <c r="K2078" s="28"/>
    </row>
    <row r="2079" spans="2:11" x14ac:dyDescent="0.25">
      <c r="B2079" s="25"/>
      <c r="C2079" s="8"/>
      <c r="D2079" s="7"/>
      <c r="E2079" s="27"/>
      <c r="F2079" s="27"/>
      <c r="G2079" s="7"/>
      <c r="H2079" s="28"/>
      <c r="I2079" s="28"/>
      <c r="J2079" s="28"/>
      <c r="K2079" s="28"/>
    </row>
    <row r="2080" spans="2:11" x14ac:dyDescent="0.25">
      <c r="B2080" s="25"/>
      <c r="C2080" s="8"/>
      <c r="D2080" s="7"/>
      <c r="E2080" s="27"/>
      <c r="F2080" s="27"/>
      <c r="G2080" s="7"/>
      <c r="H2080" s="28"/>
      <c r="I2080" s="28"/>
      <c r="J2080" s="28"/>
      <c r="K2080" s="28"/>
    </row>
    <row r="2081" spans="2:11" x14ac:dyDescent="0.25">
      <c r="B2081" s="25"/>
      <c r="C2081" s="8"/>
      <c r="D2081" s="7"/>
      <c r="E2081" s="27"/>
      <c r="F2081" s="27"/>
      <c r="G2081" s="7"/>
      <c r="H2081" s="28"/>
      <c r="I2081" s="28"/>
      <c r="J2081" s="28"/>
      <c r="K2081" s="28"/>
    </row>
    <row r="2082" spans="2:11" x14ac:dyDescent="0.25">
      <c r="B2082" s="25"/>
      <c r="C2082" s="8"/>
      <c r="D2082" s="7"/>
      <c r="E2082" s="27"/>
      <c r="F2082" s="27"/>
      <c r="G2082" s="7"/>
      <c r="H2082" s="28"/>
      <c r="I2082" s="28"/>
      <c r="J2082" s="28"/>
      <c r="K2082" s="28"/>
    </row>
    <row r="2083" spans="2:11" x14ac:dyDescent="0.25">
      <c r="B2083" s="25"/>
      <c r="C2083" s="8"/>
      <c r="D2083" s="7"/>
      <c r="E2083" s="27"/>
      <c r="F2083" s="27"/>
      <c r="G2083" s="7"/>
      <c r="H2083" s="28"/>
      <c r="I2083" s="28"/>
      <c r="J2083" s="28"/>
      <c r="K2083" s="28"/>
    </row>
    <row r="2084" spans="2:11" x14ac:dyDescent="0.25">
      <c r="B2084" s="25"/>
      <c r="C2084" s="8"/>
      <c r="D2084" s="7"/>
      <c r="E2084" s="27"/>
      <c r="F2084" s="27"/>
      <c r="G2084" s="7"/>
      <c r="H2084" s="28"/>
      <c r="I2084" s="28"/>
      <c r="J2084" s="28"/>
      <c r="K2084" s="28"/>
    </row>
    <row r="2085" spans="2:11" x14ac:dyDescent="0.25">
      <c r="B2085" s="25"/>
      <c r="C2085" s="8"/>
      <c r="D2085" s="7"/>
      <c r="E2085" s="27"/>
      <c r="F2085" s="27"/>
      <c r="G2085" s="7"/>
      <c r="H2085" s="28"/>
      <c r="I2085" s="28"/>
      <c r="J2085" s="28"/>
      <c r="K2085" s="28"/>
    </row>
    <row r="2086" spans="2:11" x14ac:dyDescent="0.25">
      <c r="B2086" s="25"/>
      <c r="C2086" s="8"/>
      <c r="D2086" s="7"/>
      <c r="E2086" s="27"/>
      <c r="F2086" s="27"/>
      <c r="G2086" s="7"/>
      <c r="H2086" s="28"/>
      <c r="I2086" s="28"/>
      <c r="J2086" s="28"/>
      <c r="K2086" s="28"/>
    </row>
    <row r="2087" spans="2:11" x14ac:dyDescent="0.25">
      <c r="B2087" s="25"/>
      <c r="C2087" s="8"/>
      <c r="D2087" s="7"/>
      <c r="E2087" s="27"/>
      <c r="F2087" s="27"/>
      <c r="G2087" s="7"/>
      <c r="H2087" s="28"/>
      <c r="I2087" s="28"/>
      <c r="J2087" s="28"/>
      <c r="K2087" s="28"/>
    </row>
    <row r="2088" spans="2:11" x14ac:dyDescent="0.25">
      <c r="B2088" s="25"/>
      <c r="C2088" s="8"/>
      <c r="D2088" s="7"/>
      <c r="E2088" s="27"/>
      <c r="F2088" s="27"/>
      <c r="G2088" s="7"/>
      <c r="H2088" s="28"/>
      <c r="I2088" s="28"/>
      <c r="J2088" s="28"/>
      <c r="K2088" s="28"/>
    </row>
    <row r="2089" spans="2:11" x14ac:dyDescent="0.25">
      <c r="B2089" s="25"/>
      <c r="C2089" s="8"/>
      <c r="D2089" s="7"/>
      <c r="E2089" s="27"/>
      <c r="F2089" s="27"/>
      <c r="G2089" s="7"/>
      <c r="H2089" s="28"/>
      <c r="I2089" s="28"/>
      <c r="J2089" s="28"/>
      <c r="K2089" s="28"/>
    </row>
    <row r="2090" spans="2:11" x14ac:dyDescent="0.25">
      <c r="B2090" s="25"/>
      <c r="C2090" s="8"/>
      <c r="D2090" s="7"/>
      <c r="E2090" s="27"/>
      <c r="F2090" s="27"/>
      <c r="G2090" s="7"/>
      <c r="H2090" s="28"/>
      <c r="I2090" s="28"/>
      <c r="J2090" s="28"/>
      <c r="K2090" s="28"/>
    </row>
    <row r="2091" spans="2:11" x14ac:dyDescent="0.25">
      <c r="B2091" s="25"/>
      <c r="C2091" s="8"/>
      <c r="D2091" s="7"/>
      <c r="E2091" s="27"/>
      <c r="F2091" s="27"/>
      <c r="G2091" s="7"/>
      <c r="H2091" s="28"/>
      <c r="I2091" s="28"/>
      <c r="J2091" s="28"/>
      <c r="K2091" s="28"/>
    </row>
    <row r="2092" spans="2:11" x14ac:dyDescent="0.25">
      <c r="B2092" s="25"/>
      <c r="C2092" s="8"/>
      <c r="D2092" s="7"/>
      <c r="E2092" s="27"/>
      <c r="F2092" s="27"/>
      <c r="G2092" s="7"/>
      <c r="H2092" s="28"/>
      <c r="I2092" s="28"/>
      <c r="J2092" s="28"/>
      <c r="K2092" s="28"/>
    </row>
    <row r="2093" spans="2:11" x14ac:dyDescent="0.25">
      <c r="B2093" s="25"/>
      <c r="C2093" s="8"/>
      <c r="D2093" s="7"/>
      <c r="E2093" s="27"/>
      <c r="F2093" s="27"/>
      <c r="G2093" s="7"/>
      <c r="H2093" s="28"/>
      <c r="I2093" s="28"/>
      <c r="J2093" s="28"/>
      <c r="K2093" s="28"/>
    </row>
    <row r="2094" spans="2:11" x14ac:dyDescent="0.25">
      <c r="B2094" s="25"/>
      <c r="C2094" s="8"/>
      <c r="D2094" s="7"/>
      <c r="E2094" s="27"/>
      <c r="F2094" s="27"/>
      <c r="G2094" s="7"/>
      <c r="H2094" s="28"/>
      <c r="I2094" s="28"/>
      <c r="J2094" s="28"/>
      <c r="K2094" s="28"/>
    </row>
    <row r="2095" spans="2:11" x14ac:dyDescent="0.25">
      <c r="B2095" s="25"/>
      <c r="C2095" s="8"/>
      <c r="D2095" s="7"/>
      <c r="E2095" s="27"/>
      <c r="F2095" s="27"/>
      <c r="G2095" s="7"/>
      <c r="H2095" s="28"/>
      <c r="I2095" s="28"/>
      <c r="J2095" s="28"/>
      <c r="K2095" s="28"/>
    </row>
    <row r="2096" spans="2:11" x14ac:dyDescent="0.25">
      <c r="B2096" s="25"/>
      <c r="C2096" s="8"/>
      <c r="D2096" s="7"/>
      <c r="E2096" s="27"/>
      <c r="F2096" s="27"/>
      <c r="G2096" s="7"/>
      <c r="H2096" s="28"/>
      <c r="I2096" s="28"/>
      <c r="J2096" s="28"/>
      <c r="K2096" s="28"/>
    </row>
    <row r="2097" spans="2:11" x14ac:dyDescent="0.25">
      <c r="B2097" s="25"/>
      <c r="C2097" s="8"/>
      <c r="D2097" s="7"/>
      <c r="E2097" s="27"/>
      <c r="F2097" s="27"/>
      <c r="G2097" s="7"/>
      <c r="H2097" s="28"/>
      <c r="I2097" s="28"/>
      <c r="J2097" s="28"/>
      <c r="K2097" s="28"/>
    </row>
    <row r="2098" spans="2:11" x14ac:dyDescent="0.25">
      <c r="B2098" s="25"/>
      <c r="C2098" s="8"/>
      <c r="D2098" s="7"/>
      <c r="E2098" s="27"/>
      <c r="F2098" s="27"/>
      <c r="G2098" s="7"/>
      <c r="H2098" s="28"/>
      <c r="I2098" s="28"/>
      <c r="J2098" s="28"/>
      <c r="K2098" s="28"/>
    </row>
    <row r="2099" spans="2:11" x14ac:dyDescent="0.25">
      <c r="B2099" s="25"/>
      <c r="C2099" s="8"/>
      <c r="D2099" s="7"/>
      <c r="E2099" s="27"/>
      <c r="F2099" s="27"/>
      <c r="G2099" s="7"/>
      <c r="H2099" s="28"/>
      <c r="I2099" s="28"/>
      <c r="J2099" s="28"/>
      <c r="K2099" s="28"/>
    </row>
    <row r="2100" spans="2:11" x14ac:dyDescent="0.25">
      <c r="B2100" s="25"/>
      <c r="C2100" s="8"/>
      <c r="D2100" s="7"/>
      <c r="E2100" s="27"/>
      <c r="F2100" s="27"/>
      <c r="G2100" s="7"/>
      <c r="H2100" s="28"/>
      <c r="I2100" s="28"/>
      <c r="J2100" s="28"/>
      <c r="K2100" s="28"/>
    </row>
    <row r="2101" spans="2:11" x14ac:dyDescent="0.25">
      <c r="B2101" s="25"/>
      <c r="C2101" s="8"/>
      <c r="D2101" s="7"/>
      <c r="E2101" s="27"/>
      <c r="F2101" s="27"/>
      <c r="G2101" s="7"/>
      <c r="H2101" s="28"/>
      <c r="I2101" s="28"/>
      <c r="J2101" s="28"/>
      <c r="K2101" s="28"/>
    </row>
    <row r="2102" spans="2:11" x14ac:dyDescent="0.25">
      <c r="B2102" s="25"/>
      <c r="C2102" s="8"/>
      <c r="D2102" s="7"/>
      <c r="E2102" s="27"/>
      <c r="F2102" s="27"/>
      <c r="G2102" s="7"/>
      <c r="H2102" s="28"/>
      <c r="I2102" s="28"/>
      <c r="J2102" s="28"/>
      <c r="K2102" s="28"/>
    </row>
    <row r="2103" spans="2:11" x14ac:dyDescent="0.25">
      <c r="B2103" s="25"/>
      <c r="C2103" s="8"/>
      <c r="D2103" s="7"/>
      <c r="E2103" s="27"/>
      <c r="F2103" s="27"/>
      <c r="G2103" s="7"/>
      <c r="H2103" s="28"/>
      <c r="I2103" s="28"/>
      <c r="J2103" s="28"/>
      <c r="K2103" s="28"/>
    </row>
    <row r="2104" spans="2:11" x14ac:dyDescent="0.25">
      <c r="B2104" s="25"/>
      <c r="C2104" s="8"/>
      <c r="D2104" s="7"/>
      <c r="E2104" s="27"/>
      <c r="F2104" s="27"/>
      <c r="G2104" s="7"/>
      <c r="H2104" s="28"/>
      <c r="I2104" s="28"/>
      <c r="J2104" s="28"/>
      <c r="K2104" s="28"/>
    </row>
    <row r="2105" spans="2:11" x14ac:dyDescent="0.25">
      <c r="B2105" s="25"/>
      <c r="C2105" s="8"/>
      <c r="D2105" s="7"/>
      <c r="E2105" s="27"/>
      <c r="F2105" s="27"/>
      <c r="G2105" s="7"/>
      <c r="H2105" s="28"/>
      <c r="I2105" s="28"/>
      <c r="J2105" s="28"/>
      <c r="K2105" s="28"/>
    </row>
    <row r="2106" spans="2:11" x14ac:dyDescent="0.25">
      <c r="B2106" s="25"/>
      <c r="C2106" s="8"/>
      <c r="D2106" s="7"/>
      <c r="E2106" s="27"/>
      <c r="F2106" s="27"/>
      <c r="G2106" s="7"/>
      <c r="H2106" s="28"/>
      <c r="I2106" s="28"/>
      <c r="J2106" s="28"/>
      <c r="K2106" s="28"/>
    </row>
    <row r="2107" spans="2:11" x14ac:dyDescent="0.25">
      <c r="B2107" s="25"/>
      <c r="C2107" s="8"/>
      <c r="D2107" s="7"/>
      <c r="E2107" s="27"/>
      <c r="F2107" s="27"/>
      <c r="G2107" s="7"/>
      <c r="H2107" s="28"/>
      <c r="I2107" s="28"/>
      <c r="J2107" s="28"/>
      <c r="K2107" s="28"/>
    </row>
    <row r="2108" spans="2:11" x14ac:dyDescent="0.25">
      <c r="B2108" s="25"/>
      <c r="C2108" s="8"/>
      <c r="D2108" s="7"/>
      <c r="E2108" s="27"/>
      <c r="F2108" s="27"/>
      <c r="G2108" s="7"/>
      <c r="H2108" s="28"/>
      <c r="I2108" s="28"/>
      <c r="J2108" s="28"/>
      <c r="K2108" s="28"/>
    </row>
    <row r="2109" spans="2:11" x14ac:dyDescent="0.25">
      <c r="B2109" s="25"/>
      <c r="C2109" s="8"/>
      <c r="D2109" s="7"/>
      <c r="E2109" s="27"/>
      <c r="F2109" s="27"/>
      <c r="G2109" s="7"/>
      <c r="H2109" s="28"/>
      <c r="I2109" s="28"/>
      <c r="J2109" s="28"/>
      <c r="K2109" s="28"/>
    </row>
    <row r="2110" spans="2:11" x14ac:dyDescent="0.25">
      <c r="B2110" s="25"/>
      <c r="C2110" s="8"/>
      <c r="D2110" s="7"/>
      <c r="E2110" s="27"/>
      <c r="F2110" s="27"/>
      <c r="G2110" s="7"/>
      <c r="H2110" s="28"/>
      <c r="I2110" s="28"/>
      <c r="J2110" s="28"/>
      <c r="K2110" s="28"/>
    </row>
    <row r="2111" spans="2:11" x14ac:dyDescent="0.25">
      <c r="B2111" s="25"/>
      <c r="C2111" s="8"/>
      <c r="D2111" s="7"/>
      <c r="E2111" s="27"/>
      <c r="F2111" s="27"/>
      <c r="G2111" s="7"/>
      <c r="H2111" s="28"/>
      <c r="I2111" s="28"/>
      <c r="J2111" s="28"/>
      <c r="K2111" s="28"/>
    </row>
    <row r="2112" spans="2:11" x14ac:dyDescent="0.25">
      <c r="B2112" s="25"/>
      <c r="C2112" s="8"/>
      <c r="D2112" s="7"/>
      <c r="E2112" s="27"/>
      <c r="F2112" s="27"/>
      <c r="G2112" s="7"/>
      <c r="H2112" s="28"/>
      <c r="I2112" s="28"/>
      <c r="J2112" s="28"/>
      <c r="K2112" s="28"/>
    </row>
    <row r="2113" spans="2:11" x14ac:dyDescent="0.25">
      <c r="B2113" s="25"/>
      <c r="C2113" s="8"/>
      <c r="D2113" s="7"/>
      <c r="E2113" s="27"/>
      <c r="F2113" s="27"/>
      <c r="G2113" s="7"/>
      <c r="H2113" s="28"/>
      <c r="I2113" s="28"/>
      <c r="J2113" s="28"/>
      <c r="K2113" s="28"/>
    </row>
    <row r="2114" spans="2:11" x14ac:dyDescent="0.25">
      <c r="B2114" s="25"/>
      <c r="C2114" s="8"/>
      <c r="D2114" s="7"/>
      <c r="E2114" s="27"/>
      <c r="F2114" s="27"/>
      <c r="G2114" s="7"/>
      <c r="H2114" s="28"/>
      <c r="I2114" s="28"/>
      <c r="J2114" s="28"/>
      <c r="K2114" s="28"/>
    </row>
    <row r="2115" spans="2:11" x14ac:dyDescent="0.25">
      <c r="B2115" s="25"/>
      <c r="C2115" s="8"/>
      <c r="D2115" s="7"/>
      <c r="E2115" s="27"/>
      <c r="F2115" s="27"/>
      <c r="G2115" s="7"/>
      <c r="H2115" s="28"/>
      <c r="I2115" s="28"/>
      <c r="J2115" s="28"/>
      <c r="K2115" s="28"/>
    </row>
    <row r="2116" spans="2:11" x14ac:dyDescent="0.25">
      <c r="B2116" s="25"/>
      <c r="C2116" s="8"/>
      <c r="D2116" s="7"/>
      <c r="E2116" s="27"/>
      <c r="F2116" s="27"/>
      <c r="G2116" s="7"/>
      <c r="H2116" s="28"/>
      <c r="I2116" s="28"/>
      <c r="J2116" s="28"/>
      <c r="K2116" s="28"/>
    </row>
    <row r="2117" spans="2:11" x14ac:dyDescent="0.25">
      <c r="B2117" s="25"/>
      <c r="C2117" s="8"/>
      <c r="D2117" s="7"/>
      <c r="E2117" s="27"/>
      <c r="F2117" s="27"/>
      <c r="G2117" s="7"/>
      <c r="H2117" s="28"/>
      <c r="I2117" s="28"/>
      <c r="J2117" s="28"/>
      <c r="K2117" s="28"/>
    </row>
    <row r="2118" spans="2:11" x14ac:dyDescent="0.25">
      <c r="B2118" s="25"/>
      <c r="C2118" s="8"/>
      <c r="D2118" s="7"/>
      <c r="E2118" s="27"/>
      <c r="F2118" s="27"/>
      <c r="G2118" s="7"/>
      <c r="H2118" s="28"/>
      <c r="I2118" s="28"/>
      <c r="J2118" s="28"/>
      <c r="K2118" s="28"/>
    </row>
    <row r="2119" spans="2:11" x14ac:dyDescent="0.25">
      <c r="B2119" s="25"/>
      <c r="C2119" s="8"/>
      <c r="D2119" s="7"/>
      <c r="E2119" s="27"/>
      <c r="F2119" s="27"/>
      <c r="G2119" s="7"/>
      <c r="H2119" s="28"/>
      <c r="I2119" s="28"/>
      <c r="J2119" s="28"/>
      <c r="K2119" s="28"/>
    </row>
    <row r="2120" spans="2:11" x14ac:dyDescent="0.25">
      <c r="B2120" s="25"/>
      <c r="C2120" s="8"/>
      <c r="D2120" s="7"/>
      <c r="E2120" s="27"/>
      <c r="F2120" s="27"/>
      <c r="G2120" s="7"/>
      <c r="H2120" s="28"/>
      <c r="I2120" s="28"/>
      <c r="J2120" s="28"/>
      <c r="K2120" s="28"/>
    </row>
    <row r="2121" spans="2:11" x14ac:dyDescent="0.25">
      <c r="B2121" s="25"/>
      <c r="C2121" s="8"/>
      <c r="D2121" s="7"/>
      <c r="E2121" s="27"/>
      <c r="F2121" s="27"/>
      <c r="G2121" s="7"/>
      <c r="H2121" s="28"/>
      <c r="I2121" s="28"/>
      <c r="J2121" s="28"/>
      <c r="K2121" s="28"/>
    </row>
    <row r="2122" spans="2:11" x14ac:dyDescent="0.25">
      <c r="B2122" s="25"/>
      <c r="C2122" s="8"/>
      <c r="D2122" s="7"/>
      <c r="E2122" s="27"/>
      <c r="F2122" s="27"/>
      <c r="G2122" s="7"/>
      <c r="H2122" s="28"/>
      <c r="I2122" s="28"/>
      <c r="J2122" s="28"/>
      <c r="K2122" s="28"/>
    </row>
    <row r="2123" spans="2:11" x14ac:dyDescent="0.25">
      <c r="B2123" s="25"/>
      <c r="C2123" s="8"/>
      <c r="D2123" s="7"/>
      <c r="E2123" s="27"/>
      <c r="F2123" s="27"/>
      <c r="G2123" s="7"/>
      <c r="H2123" s="28"/>
      <c r="I2123" s="28"/>
      <c r="J2123" s="28"/>
      <c r="K2123" s="28"/>
    </row>
    <row r="2124" spans="2:11" x14ac:dyDescent="0.25">
      <c r="B2124" s="25"/>
      <c r="C2124" s="8"/>
      <c r="D2124" s="7"/>
      <c r="E2124" s="27"/>
      <c r="F2124" s="27"/>
      <c r="G2124" s="7"/>
      <c r="H2124" s="28"/>
      <c r="I2124" s="28"/>
      <c r="J2124" s="28"/>
      <c r="K2124" s="28"/>
    </row>
    <row r="2125" spans="2:11" x14ac:dyDescent="0.25">
      <c r="B2125" s="25"/>
      <c r="C2125" s="8"/>
      <c r="D2125" s="7"/>
      <c r="E2125" s="27"/>
      <c r="F2125" s="27"/>
      <c r="G2125" s="7"/>
      <c r="H2125" s="28"/>
      <c r="I2125" s="28"/>
      <c r="J2125" s="28"/>
      <c r="K2125" s="28"/>
    </row>
    <row r="2126" spans="2:11" x14ac:dyDescent="0.25">
      <c r="B2126" s="25"/>
      <c r="C2126" s="8"/>
      <c r="D2126" s="7"/>
      <c r="E2126" s="27"/>
      <c r="F2126" s="27"/>
      <c r="G2126" s="7"/>
      <c r="H2126" s="28"/>
      <c r="I2126" s="28"/>
      <c r="J2126" s="28"/>
      <c r="K2126" s="28"/>
    </row>
    <row r="2127" spans="2:11" x14ac:dyDescent="0.25">
      <c r="B2127" s="25"/>
      <c r="C2127" s="8"/>
      <c r="D2127" s="7"/>
      <c r="E2127" s="27"/>
      <c r="F2127" s="27"/>
      <c r="G2127" s="7"/>
      <c r="H2127" s="28"/>
      <c r="I2127" s="28"/>
      <c r="J2127" s="28"/>
      <c r="K2127" s="28"/>
    </row>
    <row r="2128" spans="2:11" x14ac:dyDescent="0.25">
      <c r="B2128" s="25"/>
      <c r="C2128" s="8"/>
      <c r="D2128" s="7"/>
      <c r="E2128" s="27"/>
      <c r="F2128" s="27"/>
      <c r="G2128" s="7"/>
      <c r="H2128" s="28"/>
      <c r="I2128" s="28"/>
      <c r="J2128" s="28"/>
      <c r="K2128" s="28"/>
    </row>
    <row r="2129" spans="2:11" x14ac:dyDescent="0.25">
      <c r="B2129" s="25"/>
      <c r="C2129" s="8"/>
      <c r="D2129" s="7"/>
      <c r="E2129" s="27"/>
      <c r="F2129" s="27"/>
      <c r="G2129" s="7"/>
      <c r="H2129" s="28"/>
      <c r="I2129" s="28"/>
      <c r="J2129" s="28"/>
      <c r="K2129" s="28"/>
    </row>
    <row r="2130" spans="2:11" x14ac:dyDescent="0.25">
      <c r="B2130" s="25"/>
      <c r="C2130" s="8"/>
      <c r="D2130" s="7"/>
      <c r="E2130" s="27"/>
      <c r="F2130" s="27"/>
      <c r="G2130" s="7"/>
      <c r="H2130" s="28"/>
      <c r="I2130" s="28"/>
      <c r="J2130" s="28"/>
      <c r="K2130" s="28"/>
    </row>
    <row r="2131" spans="2:11" x14ac:dyDescent="0.25">
      <c r="B2131" s="25"/>
      <c r="C2131" s="8"/>
      <c r="D2131" s="7"/>
      <c r="E2131" s="27"/>
      <c r="F2131" s="27"/>
      <c r="G2131" s="7"/>
      <c r="H2131" s="28"/>
      <c r="I2131" s="28"/>
      <c r="J2131" s="28"/>
      <c r="K2131" s="28"/>
    </row>
    <row r="2132" spans="2:11" x14ac:dyDescent="0.25">
      <c r="B2132" s="25"/>
      <c r="C2132" s="8"/>
      <c r="D2132" s="7"/>
      <c r="E2132" s="27"/>
      <c r="F2132" s="27"/>
      <c r="G2132" s="7"/>
      <c r="H2132" s="28"/>
      <c r="I2132" s="28"/>
      <c r="J2132" s="28"/>
      <c r="K2132" s="28"/>
    </row>
    <row r="2133" spans="2:11" x14ac:dyDescent="0.25">
      <c r="B2133" s="25"/>
      <c r="C2133" s="8"/>
      <c r="D2133" s="7"/>
      <c r="E2133" s="27"/>
      <c r="F2133" s="27"/>
      <c r="G2133" s="7"/>
      <c r="H2133" s="28"/>
      <c r="I2133" s="28"/>
      <c r="J2133" s="28"/>
      <c r="K2133" s="28"/>
    </row>
    <row r="2134" spans="2:11" x14ac:dyDescent="0.25">
      <c r="B2134" s="25"/>
      <c r="C2134" s="8"/>
      <c r="D2134" s="7"/>
      <c r="E2134" s="27"/>
      <c r="F2134" s="27"/>
      <c r="G2134" s="7"/>
      <c r="H2134" s="28"/>
      <c r="I2134" s="28"/>
      <c r="J2134" s="28"/>
      <c r="K2134" s="28"/>
    </row>
    <row r="2135" spans="2:11" x14ac:dyDescent="0.25">
      <c r="B2135" s="25"/>
      <c r="C2135" s="8"/>
      <c r="D2135" s="7"/>
      <c r="E2135" s="27"/>
      <c r="F2135" s="27"/>
      <c r="G2135" s="7"/>
      <c r="H2135" s="28"/>
      <c r="I2135" s="28"/>
      <c r="J2135" s="28"/>
      <c r="K2135" s="28"/>
    </row>
    <row r="2136" spans="2:11" x14ac:dyDescent="0.25">
      <c r="B2136" s="25"/>
      <c r="C2136" s="8"/>
      <c r="D2136" s="7"/>
      <c r="E2136" s="27"/>
      <c r="F2136" s="27"/>
      <c r="G2136" s="7"/>
      <c r="H2136" s="28"/>
      <c r="I2136" s="28"/>
      <c r="J2136" s="28"/>
      <c r="K2136" s="28"/>
    </row>
    <row r="2137" spans="2:11" x14ac:dyDescent="0.25">
      <c r="B2137" s="25"/>
      <c r="C2137" s="8"/>
      <c r="D2137" s="7"/>
      <c r="E2137" s="27"/>
      <c r="F2137" s="27"/>
      <c r="G2137" s="7"/>
      <c r="H2137" s="28"/>
      <c r="I2137" s="28"/>
      <c r="J2137" s="28"/>
      <c r="K2137" s="28"/>
    </row>
    <row r="2138" spans="2:11" x14ac:dyDescent="0.25">
      <c r="B2138" s="25"/>
      <c r="C2138" s="8"/>
      <c r="D2138" s="7"/>
      <c r="E2138" s="27"/>
      <c r="F2138" s="27"/>
      <c r="G2138" s="7"/>
      <c r="H2138" s="28"/>
      <c r="I2138" s="28"/>
      <c r="J2138" s="28"/>
      <c r="K2138" s="28"/>
    </row>
    <row r="2139" spans="2:11" x14ac:dyDescent="0.25">
      <c r="B2139" s="25"/>
      <c r="C2139" s="8"/>
      <c r="D2139" s="7"/>
      <c r="E2139" s="27"/>
      <c r="F2139" s="27"/>
      <c r="G2139" s="7"/>
      <c r="H2139" s="28"/>
      <c r="I2139" s="28"/>
      <c r="J2139" s="28"/>
      <c r="K2139" s="28"/>
    </row>
    <row r="2140" spans="2:11" x14ac:dyDescent="0.25">
      <c r="B2140" s="25"/>
      <c r="C2140" s="8"/>
      <c r="D2140" s="7"/>
      <c r="E2140" s="27"/>
      <c r="F2140" s="27"/>
      <c r="G2140" s="7"/>
      <c r="H2140" s="28"/>
      <c r="I2140" s="28"/>
      <c r="J2140" s="28"/>
      <c r="K2140" s="28"/>
    </row>
    <row r="2141" spans="2:11" x14ac:dyDescent="0.25">
      <c r="B2141" s="25"/>
      <c r="C2141" s="8"/>
      <c r="D2141" s="7"/>
      <c r="E2141" s="27"/>
      <c r="F2141" s="27"/>
      <c r="G2141" s="7"/>
      <c r="H2141" s="28"/>
      <c r="I2141" s="28"/>
      <c r="J2141" s="28"/>
      <c r="K2141" s="28"/>
    </row>
    <row r="2142" spans="2:11" x14ac:dyDescent="0.25">
      <c r="B2142" s="25"/>
      <c r="C2142" s="8"/>
      <c r="D2142" s="7"/>
      <c r="E2142" s="27"/>
      <c r="F2142" s="27"/>
      <c r="G2142" s="7"/>
      <c r="H2142" s="28"/>
      <c r="I2142" s="28"/>
      <c r="J2142" s="28"/>
      <c r="K2142" s="28"/>
    </row>
    <row r="2143" spans="2:11" x14ac:dyDescent="0.25">
      <c r="B2143" s="25"/>
      <c r="C2143" s="8"/>
      <c r="D2143" s="7"/>
      <c r="E2143" s="27"/>
      <c r="F2143" s="27"/>
      <c r="G2143" s="7"/>
      <c r="H2143" s="28"/>
      <c r="I2143" s="28"/>
      <c r="J2143" s="28"/>
      <c r="K2143" s="28"/>
    </row>
    <row r="2144" spans="2:11" x14ac:dyDescent="0.25">
      <c r="B2144" s="25"/>
      <c r="C2144" s="8"/>
      <c r="D2144" s="7"/>
      <c r="E2144" s="27"/>
      <c r="F2144" s="27"/>
      <c r="G2144" s="7"/>
      <c r="H2144" s="28"/>
      <c r="I2144" s="28"/>
      <c r="J2144" s="28"/>
      <c r="K2144" s="28"/>
    </row>
    <row r="2145" spans="2:11" x14ac:dyDescent="0.25">
      <c r="B2145" s="25"/>
      <c r="C2145" s="8"/>
      <c r="D2145" s="7"/>
      <c r="E2145" s="27"/>
      <c r="F2145" s="27"/>
      <c r="G2145" s="7"/>
      <c r="H2145" s="28"/>
      <c r="I2145" s="28"/>
      <c r="J2145" s="28"/>
      <c r="K2145" s="28"/>
    </row>
    <row r="2146" spans="2:11" x14ac:dyDescent="0.25">
      <c r="B2146" s="25"/>
      <c r="C2146" s="8"/>
      <c r="D2146" s="7"/>
      <c r="E2146" s="27"/>
      <c r="F2146" s="27"/>
      <c r="G2146" s="7"/>
      <c r="H2146" s="28"/>
      <c r="I2146" s="28"/>
      <c r="J2146" s="28"/>
      <c r="K2146" s="28"/>
    </row>
    <row r="2147" spans="2:11" x14ac:dyDescent="0.25">
      <c r="B2147" s="25"/>
      <c r="C2147" s="8"/>
      <c r="D2147" s="7"/>
      <c r="E2147" s="27"/>
      <c r="F2147" s="27"/>
      <c r="G2147" s="7"/>
      <c r="H2147" s="28"/>
      <c r="I2147" s="28"/>
      <c r="J2147" s="28"/>
      <c r="K2147" s="28"/>
    </row>
    <row r="2148" spans="2:11" x14ac:dyDescent="0.25">
      <c r="B2148" s="25"/>
      <c r="C2148" s="8"/>
      <c r="D2148" s="7"/>
      <c r="E2148" s="27"/>
      <c r="F2148" s="27"/>
      <c r="G2148" s="7"/>
      <c r="H2148" s="28"/>
      <c r="I2148" s="28"/>
      <c r="J2148" s="28"/>
      <c r="K2148" s="28"/>
    </row>
    <row r="2149" spans="2:11" x14ac:dyDescent="0.25">
      <c r="B2149" s="25"/>
      <c r="C2149" s="8"/>
      <c r="D2149" s="7"/>
      <c r="E2149" s="27"/>
      <c r="F2149" s="27"/>
      <c r="G2149" s="7"/>
      <c r="H2149" s="28"/>
      <c r="I2149" s="28"/>
      <c r="J2149" s="28"/>
      <c r="K2149" s="28"/>
    </row>
    <row r="2150" spans="2:11" x14ac:dyDescent="0.25">
      <c r="B2150" s="25"/>
      <c r="C2150" s="8"/>
      <c r="D2150" s="7"/>
      <c r="E2150" s="27"/>
      <c r="F2150" s="27"/>
      <c r="G2150" s="7"/>
      <c r="H2150" s="28"/>
      <c r="I2150" s="28"/>
      <c r="J2150" s="28"/>
      <c r="K2150" s="28"/>
    </row>
    <row r="2151" spans="2:11" x14ac:dyDescent="0.25">
      <c r="B2151" s="25"/>
      <c r="C2151" s="8"/>
      <c r="D2151" s="7"/>
      <c r="E2151" s="27"/>
      <c r="F2151" s="27"/>
      <c r="G2151" s="7"/>
      <c r="H2151" s="28"/>
      <c r="I2151" s="28"/>
      <c r="J2151" s="28"/>
      <c r="K2151" s="28"/>
    </row>
    <row r="2152" spans="2:11" x14ac:dyDescent="0.25">
      <c r="B2152" s="25"/>
      <c r="C2152" s="8"/>
      <c r="D2152" s="7"/>
      <c r="E2152" s="27"/>
      <c r="F2152" s="27"/>
      <c r="G2152" s="7"/>
      <c r="H2152" s="28"/>
      <c r="I2152" s="28"/>
      <c r="J2152" s="28"/>
      <c r="K2152" s="28"/>
    </row>
    <row r="2153" spans="2:11" x14ac:dyDescent="0.25">
      <c r="B2153" s="25"/>
      <c r="C2153" s="8"/>
      <c r="D2153" s="7"/>
      <c r="E2153" s="27"/>
      <c r="F2153" s="27"/>
      <c r="G2153" s="7"/>
      <c r="H2153" s="28"/>
      <c r="I2153" s="28"/>
      <c r="J2153" s="28"/>
      <c r="K2153" s="28"/>
    </row>
    <row r="2154" spans="2:11" x14ac:dyDescent="0.25">
      <c r="B2154" s="25"/>
      <c r="C2154" s="8"/>
      <c r="D2154" s="7"/>
      <c r="E2154" s="27"/>
      <c r="F2154" s="27"/>
      <c r="G2154" s="7"/>
      <c r="H2154" s="28"/>
      <c r="I2154" s="28"/>
      <c r="J2154" s="28"/>
      <c r="K2154" s="28"/>
    </row>
    <row r="2155" spans="2:11" x14ac:dyDescent="0.25">
      <c r="B2155" s="25"/>
      <c r="C2155" s="8"/>
      <c r="D2155" s="7"/>
      <c r="E2155" s="27"/>
      <c r="F2155" s="27"/>
      <c r="G2155" s="7"/>
      <c r="H2155" s="28"/>
      <c r="I2155" s="28"/>
      <c r="J2155" s="28"/>
      <c r="K2155" s="28"/>
    </row>
    <row r="2156" spans="2:11" x14ac:dyDescent="0.25">
      <c r="B2156" s="25"/>
      <c r="C2156" s="8"/>
      <c r="D2156" s="7"/>
      <c r="E2156" s="27"/>
      <c r="F2156" s="27"/>
      <c r="G2156" s="7"/>
      <c r="H2156" s="28"/>
      <c r="I2156" s="28"/>
      <c r="J2156" s="28"/>
      <c r="K2156" s="28"/>
    </row>
    <row r="2157" spans="2:11" x14ac:dyDescent="0.25">
      <c r="B2157" s="25"/>
      <c r="C2157" s="8"/>
      <c r="D2157" s="7"/>
      <c r="E2157" s="27"/>
      <c r="F2157" s="27"/>
      <c r="G2157" s="7"/>
      <c r="H2157" s="28"/>
      <c r="I2157" s="28"/>
      <c r="J2157" s="28"/>
      <c r="K2157" s="28"/>
    </row>
    <row r="2158" spans="2:11" x14ac:dyDescent="0.25">
      <c r="B2158" s="25"/>
      <c r="C2158" s="8"/>
      <c r="D2158" s="7"/>
      <c r="E2158" s="27"/>
      <c r="F2158" s="27"/>
      <c r="G2158" s="7"/>
      <c r="H2158" s="28"/>
      <c r="I2158" s="28"/>
      <c r="J2158" s="28"/>
      <c r="K2158" s="28"/>
    </row>
    <row r="2159" spans="2:11" x14ac:dyDescent="0.25">
      <c r="B2159" s="25"/>
      <c r="C2159" s="8"/>
      <c r="D2159" s="7"/>
      <c r="E2159" s="27"/>
      <c r="F2159" s="27"/>
      <c r="G2159" s="7"/>
      <c r="H2159" s="28"/>
      <c r="I2159" s="28"/>
      <c r="J2159" s="28"/>
      <c r="K2159" s="28"/>
    </row>
    <row r="2160" spans="2:11" x14ac:dyDescent="0.25">
      <c r="B2160" s="25"/>
      <c r="C2160" s="8"/>
      <c r="D2160" s="7"/>
      <c r="E2160" s="27"/>
      <c r="F2160" s="27"/>
      <c r="G2160" s="7"/>
      <c r="H2160" s="28"/>
      <c r="I2160" s="28"/>
      <c r="J2160" s="28"/>
      <c r="K2160" s="28"/>
    </row>
    <row r="2161" spans="2:11" x14ac:dyDescent="0.25">
      <c r="B2161" s="25"/>
      <c r="C2161" s="8"/>
      <c r="D2161" s="7"/>
      <c r="E2161" s="27"/>
      <c r="F2161" s="27"/>
      <c r="G2161" s="7"/>
      <c r="H2161" s="28"/>
      <c r="I2161" s="28"/>
      <c r="J2161" s="28"/>
      <c r="K2161" s="28"/>
    </row>
    <row r="2162" spans="2:11" x14ac:dyDescent="0.25">
      <c r="B2162" s="25"/>
      <c r="C2162" s="8"/>
      <c r="D2162" s="7"/>
      <c r="E2162" s="27"/>
      <c r="F2162" s="27"/>
      <c r="G2162" s="7"/>
      <c r="H2162" s="28"/>
      <c r="I2162" s="28"/>
      <c r="J2162" s="28"/>
      <c r="K2162" s="28"/>
    </row>
    <row r="2163" spans="2:11" x14ac:dyDescent="0.25">
      <c r="B2163" s="25"/>
      <c r="C2163" s="8"/>
      <c r="D2163" s="7"/>
      <c r="E2163" s="27"/>
      <c r="F2163" s="27"/>
      <c r="G2163" s="7"/>
      <c r="H2163" s="28"/>
      <c r="I2163" s="28"/>
      <c r="J2163" s="28"/>
      <c r="K2163" s="28"/>
    </row>
    <row r="2164" spans="2:11" x14ac:dyDescent="0.25">
      <c r="B2164" s="25"/>
      <c r="C2164" s="8"/>
      <c r="D2164" s="7"/>
      <c r="E2164" s="27"/>
      <c r="F2164" s="27"/>
      <c r="G2164" s="7"/>
      <c r="H2164" s="28"/>
      <c r="I2164" s="28"/>
      <c r="J2164" s="28"/>
      <c r="K2164" s="28"/>
    </row>
    <row r="2165" spans="2:11" x14ac:dyDescent="0.25">
      <c r="B2165" s="25"/>
      <c r="C2165" s="8"/>
      <c r="D2165" s="7"/>
      <c r="E2165" s="27"/>
      <c r="F2165" s="27"/>
      <c r="G2165" s="7"/>
      <c r="H2165" s="28"/>
      <c r="I2165" s="28"/>
      <c r="J2165" s="28"/>
      <c r="K2165" s="28"/>
    </row>
    <row r="2166" spans="2:11" x14ac:dyDescent="0.25">
      <c r="B2166" s="25"/>
      <c r="C2166" s="8"/>
      <c r="D2166" s="7"/>
      <c r="E2166" s="27"/>
      <c r="F2166" s="27"/>
      <c r="G2166" s="7"/>
      <c r="H2166" s="28"/>
      <c r="I2166" s="28"/>
      <c r="J2166" s="28"/>
      <c r="K2166" s="28"/>
    </row>
    <row r="2167" spans="2:11" x14ac:dyDescent="0.25">
      <c r="B2167" s="25"/>
      <c r="C2167" s="8"/>
      <c r="D2167" s="7"/>
      <c r="E2167" s="27"/>
      <c r="F2167" s="27"/>
      <c r="G2167" s="7"/>
      <c r="H2167" s="28"/>
      <c r="I2167" s="28"/>
      <c r="J2167" s="28"/>
      <c r="K2167" s="28"/>
    </row>
    <row r="2168" spans="2:11" x14ac:dyDescent="0.25">
      <c r="B2168" s="25"/>
      <c r="C2168" s="8"/>
      <c r="D2168" s="7"/>
      <c r="E2168" s="27"/>
      <c r="F2168" s="27"/>
      <c r="G2168" s="7"/>
      <c r="H2168" s="28"/>
      <c r="I2168" s="28"/>
      <c r="J2168" s="28"/>
      <c r="K2168" s="28"/>
    </row>
    <row r="2169" spans="2:11" x14ac:dyDescent="0.25">
      <c r="B2169" s="25"/>
      <c r="C2169" s="8"/>
      <c r="D2169" s="7"/>
      <c r="E2169" s="27"/>
      <c r="F2169" s="27"/>
      <c r="G2169" s="7"/>
      <c r="H2169" s="28"/>
      <c r="I2169" s="28"/>
      <c r="J2169" s="28"/>
      <c r="K2169" s="28"/>
    </row>
    <row r="2170" spans="2:11" x14ac:dyDescent="0.25">
      <c r="B2170" s="25"/>
      <c r="C2170" s="8"/>
      <c r="D2170" s="7"/>
      <c r="E2170" s="27"/>
      <c r="F2170" s="27"/>
      <c r="G2170" s="7"/>
      <c r="H2170" s="28"/>
      <c r="I2170" s="28"/>
      <c r="J2170" s="28"/>
      <c r="K2170" s="28"/>
    </row>
    <row r="2171" spans="2:11" x14ac:dyDescent="0.25">
      <c r="B2171" s="25"/>
      <c r="C2171" s="8"/>
      <c r="D2171" s="7"/>
      <c r="E2171" s="27"/>
      <c r="F2171" s="27"/>
      <c r="G2171" s="7"/>
      <c r="H2171" s="28"/>
      <c r="I2171" s="28"/>
      <c r="J2171" s="28"/>
      <c r="K2171" s="28"/>
    </row>
    <row r="2172" spans="2:11" x14ac:dyDescent="0.25">
      <c r="B2172" s="25"/>
      <c r="C2172" s="8"/>
      <c r="D2172" s="7"/>
      <c r="E2172" s="27"/>
      <c r="F2172" s="27"/>
      <c r="G2172" s="7"/>
      <c r="H2172" s="28"/>
      <c r="I2172" s="28"/>
      <c r="J2172" s="28"/>
      <c r="K2172" s="28"/>
    </row>
    <row r="2173" spans="2:11" x14ac:dyDescent="0.25">
      <c r="B2173" s="25"/>
      <c r="C2173" s="8"/>
      <c r="D2173" s="7"/>
      <c r="E2173" s="27"/>
      <c r="F2173" s="27"/>
      <c r="G2173" s="7"/>
      <c r="H2173" s="28"/>
      <c r="I2173" s="28"/>
      <c r="J2173" s="28"/>
      <c r="K2173" s="28"/>
    </row>
    <row r="2174" spans="2:11" x14ac:dyDescent="0.25">
      <c r="B2174" s="25"/>
      <c r="C2174" s="8"/>
      <c r="D2174" s="7"/>
      <c r="E2174" s="27"/>
      <c r="F2174" s="27"/>
      <c r="G2174" s="7"/>
      <c r="H2174" s="28"/>
      <c r="I2174" s="28"/>
      <c r="J2174" s="28"/>
      <c r="K2174" s="28"/>
    </row>
    <row r="2175" spans="2:11" x14ac:dyDescent="0.25">
      <c r="B2175" s="25"/>
      <c r="C2175" s="8"/>
      <c r="D2175" s="7"/>
      <c r="E2175" s="27"/>
      <c r="F2175" s="27"/>
      <c r="G2175" s="7"/>
      <c r="H2175" s="28"/>
      <c r="I2175" s="28"/>
      <c r="J2175" s="28"/>
      <c r="K2175" s="28"/>
    </row>
    <row r="2176" spans="2:11" x14ac:dyDescent="0.25">
      <c r="B2176" s="25"/>
      <c r="C2176" s="8"/>
      <c r="D2176" s="7"/>
      <c r="E2176" s="27"/>
      <c r="F2176" s="27"/>
      <c r="G2176" s="7"/>
      <c r="H2176" s="28"/>
      <c r="I2176" s="28"/>
      <c r="J2176" s="28"/>
      <c r="K2176" s="28"/>
    </row>
    <row r="2177" spans="2:11" x14ac:dyDescent="0.25">
      <c r="B2177" s="25"/>
      <c r="C2177" s="8"/>
      <c r="D2177" s="7"/>
      <c r="E2177" s="27"/>
      <c r="F2177" s="27"/>
      <c r="G2177" s="7"/>
      <c r="H2177" s="28"/>
      <c r="I2177" s="28"/>
      <c r="J2177" s="28"/>
      <c r="K2177" s="28"/>
    </row>
    <row r="2178" spans="2:11" x14ac:dyDescent="0.25">
      <c r="B2178" s="25"/>
      <c r="C2178" s="8"/>
      <c r="D2178" s="7"/>
      <c r="E2178" s="27"/>
      <c r="F2178" s="27"/>
      <c r="G2178" s="7"/>
      <c r="H2178" s="28"/>
      <c r="I2178" s="28"/>
      <c r="J2178" s="28"/>
      <c r="K2178" s="28"/>
    </row>
    <row r="2179" spans="2:11" x14ac:dyDescent="0.25">
      <c r="B2179" s="25"/>
      <c r="C2179" s="8"/>
      <c r="D2179" s="7"/>
      <c r="E2179" s="27"/>
      <c r="F2179" s="27"/>
      <c r="G2179" s="7"/>
      <c r="H2179" s="28"/>
      <c r="I2179" s="28"/>
      <c r="J2179" s="28"/>
      <c r="K2179" s="28"/>
    </row>
    <row r="2180" spans="2:11" x14ac:dyDescent="0.25">
      <c r="B2180" s="25"/>
      <c r="C2180" s="8"/>
      <c r="D2180" s="7"/>
      <c r="E2180" s="27"/>
      <c r="F2180" s="27"/>
      <c r="G2180" s="7"/>
      <c r="H2180" s="28"/>
      <c r="I2180" s="28"/>
      <c r="J2180" s="28"/>
      <c r="K2180" s="28"/>
    </row>
    <row r="2181" spans="2:11" x14ac:dyDescent="0.25">
      <c r="B2181" s="25"/>
      <c r="C2181" s="8"/>
      <c r="D2181" s="7"/>
      <c r="E2181" s="27"/>
      <c r="F2181" s="27"/>
      <c r="G2181" s="7"/>
      <c r="H2181" s="28"/>
      <c r="I2181" s="28"/>
      <c r="J2181" s="28"/>
      <c r="K2181" s="28"/>
    </row>
    <row r="2182" spans="2:11" x14ac:dyDescent="0.25">
      <c r="B2182" s="25"/>
      <c r="C2182" s="8"/>
      <c r="D2182" s="7"/>
      <c r="E2182" s="27"/>
      <c r="F2182" s="27"/>
      <c r="G2182" s="7"/>
      <c r="H2182" s="28"/>
      <c r="I2182" s="28"/>
      <c r="J2182" s="28"/>
      <c r="K2182" s="28"/>
    </row>
    <row r="2183" spans="2:11" x14ac:dyDescent="0.25">
      <c r="B2183" s="25"/>
      <c r="C2183" s="8"/>
      <c r="D2183" s="7"/>
      <c r="E2183" s="27"/>
      <c r="F2183" s="27"/>
      <c r="G2183" s="7"/>
      <c r="H2183" s="28"/>
      <c r="I2183" s="28"/>
      <c r="J2183" s="28"/>
      <c r="K2183" s="28"/>
    </row>
    <row r="2184" spans="2:11" x14ac:dyDescent="0.25">
      <c r="B2184" s="25"/>
      <c r="C2184" s="8"/>
      <c r="D2184" s="7"/>
      <c r="E2184" s="27"/>
      <c r="F2184" s="27"/>
      <c r="G2184" s="7"/>
      <c r="H2184" s="28"/>
      <c r="I2184" s="28"/>
      <c r="J2184" s="28"/>
      <c r="K2184" s="28"/>
    </row>
    <row r="2185" spans="2:11" x14ac:dyDescent="0.25">
      <c r="B2185" s="25"/>
      <c r="C2185" s="8"/>
      <c r="D2185" s="7"/>
      <c r="E2185" s="27"/>
      <c r="F2185" s="27"/>
      <c r="G2185" s="7"/>
      <c r="H2185" s="28"/>
      <c r="I2185" s="28"/>
      <c r="J2185" s="28"/>
      <c r="K2185" s="28"/>
    </row>
    <row r="2186" spans="2:11" x14ac:dyDescent="0.25">
      <c r="B2186" s="25"/>
      <c r="C2186" s="8"/>
      <c r="D2186" s="7"/>
      <c r="E2186" s="27"/>
      <c r="F2186" s="27"/>
      <c r="G2186" s="7"/>
      <c r="H2186" s="28"/>
      <c r="I2186" s="28"/>
      <c r="J2186" s="28"/>
      <c r="K2186" s="28"/>
    </row>
    <row r="2187" spans="2:11" x14ac:dyDescent="0.25">
      <c r="B2187" s="25"/>
      <c r="C2187" s="8"/>
      <c r="D2187" s="7"/>
      <c r="E2187" s="27"/>
      <c r="F2187" s="27"/>
      <c r="G2187" s="7"/>
      <c r="H2187" s="28"/>
      <c r="I2187" s="28"/>
      <c r="J2187" s="28"/>
      <c r="K2187" s="28"/>
    </row>
    <row r="2188" spans="2:11" x14ac:dyDescent="0.25">
      <c r="B2188" s="25"/>
      <c r="C2188" s="8"/>
      <c r="D2188" s="7"/>
      <c r="E2188" s="27"/>
      <c r="F2188" s="27"/>
      <c r="G2188" s="7"/>
      <c r="H2188" s="28"/>
      <c r="I2188" s="28"/>
      <c r="J2188" s="28"/>
      <c r="K2188" s="28"/>
    </row>
    <row r="2189" spans="2:11" x14ac:dyDescent="0.25">
      <c r="B2189" s="25"/>
      <c r="C2189" s="8"/>
      <c r="D2189" s="7"/>
      <c r="E2189" s="27"/>
      <c r="F2189" s="27"/>
      <c r="G2189" s="7"/>
      <c r="H2189" s="28"/>
      <c r="I2189" s="28"/>
      <c r="J2189" s="28"/>
      <c r="K2189" s="28"/>
    </row>
    <row r="2190" spans="2:11" x14ac:dyDescent="0.25">
      <c r="B2190" s="25"/>
      <c r="C2190" s="8"/>
      <c r="D2190" s="7"/>
      <c r="E2190" s="27"/>
      <c r="F2190" s="27"/>
      <c r="G2190" s="7"/>
      <c r="H2190" s="28"/>
      <c r="I2190" s="28"/>
      <c r="J2190" s="28"/>
      <c r="K2190" s="28"/>
    </row>
    <row r="2191" spans="2:11" x14ac:dyDescent="0.25">
      <c r="B2191" s="25"/>
      <c r="C2191" s="8"/>
      <c r="D2191" s="7"/>
      <c r="E2191" s="27"/>
      <c r="F2191" s="27"/>
      <c r="G2191" s="7"/>
      <c r="H2191" s="28"/>
      <c r="I2191" s="28"/>
      <c r="J2191" s="28"/>
      <c r="K2191" s="28"/>
    </row>
    <row r="2192" spans="2:11" x14ac:dyDescent="0.25">
      <c r="B2192" s="25"/>
      <c r="C2192" s="8"/>
      <c r="D2192" s="7"/>
      <c r="E2192" s="27"/>
      <c r="F2192" s="27"/>
      <c r="G2192" s="7"/>
      <c r="H2192" s="28"/>
      <c r="I2192" s="28"/>
      <c r="J2192" s="28"/>
      <c r="K2192" s="28"/>
    </row>
    <row r="2193" spans="2:11" x14ac:dyDescent="0.25">
      <c r="B2193" s="25"/>
      <c r="C2193" s="8"/>
      <c r="D2193" s="7"/>
      <c r="E2193" s="27"/>
      <c r="F2193" s="27"/>
      <c r="G2193" s="7"/>
      <c r="H2193" s="28"/>
      <c r="I2193" s="28"/>
      <c r="J2193" s="28"/>
      <c r="K2193" s="28"/>
    </row>
    <row r="2194" spans="2:11" x14ac:dyDescent="0.25">
      <c r="B2194" s="25"/>
      <c r="C2194" s="8"/>
      <c r="D2194" s="7"/>
      <c r="E2194" s="27"/>
      <c r="F2194" s="27"/>
      <c r="G2194" s="7"/>
      <c r="H2194" s="28"/>
      <c r="I2194" s="28"/>
      <c r="J2194" s="28"/>
      <c r="K2194" s="28"/>
    </row>
    <row r="2195" spans="2:11" x14ac:dyDescent="0.25">
      <c r="B2195" s="25"/>
      <c r="C2195" s="8"/>
      <c r="D2195" s="7"/>
      <c r="E2195" s="27"/>
      <c r="F2195" s="27"/>
      <c r="G2195" s="7"/>
      <c r="H2195" s="28"/>
      <c r="I2195" s="28"/>
      <c r="J2195" s="28"/>
      <c r="K2195" s="28"/>
    </row>
    <row r="2196" spans="2:11" x14ac:dyDescent="0.25">
      <c r="B2196" s="25"/>
      <c r="C2196" s="8"/>
      <c r="D2196" s="7"/>
      <c r="E2196" s="27"/>
      <c r="F2196" s="27"/>
      <c r="G2196" s="7"/>
      <c r="H2196" s="28"/>
      <c r="I2196" s="28"/>
      <c r="J2196" s="28"/>
      <c r="K2196" s="28"/>
    </row>
    <row r="2197" spans="2:11" x14ac:dyDescent="0.25">
      <c r="B2197" s="25"/>
      <c r="C2197" s="8"/>
      <c r="D2197" s="7"/>
      <c r="E2197" s="27"/>
      <c r="F2197" s="27"/>
      <c r="G2197" s="7"/>
      <c r="H2197" s="28"/>
      <c r="I2197" s="28"/>
      <c r="J2197" s="28"/>
      <c r="K2197" s="28"/>
    </row>
    <row r="2198" spans="2:11" x14ac:dyDescent="0.25">
      <c r="B2198" s="25"/>
      <c r="C2198" s="8"/>
      <c r="D2198" s="7"/>
      <c r="E2198" s="27"/>
      <c r="F2198" s="27"/>
      <c r="G2198" s="7"/>
      <c r="H2198" s="28"/>
      <c r="I2198" s="28"/>
      <c r="J2198" s="28"/>
      <c r="K2198" s="28"/>
    </row>
    <row r="2199" spans="2:11" x14ac:dyDescent="0.25">
      <c r="B2199" s="25"/>
      <c r="C2199" s="8"/>
      <c r="D2199" s="7"/>
      <c r="E2199" s="27"/>
      <c r="F2199" s="27"/>
      <c r="G2199" s="7"/>
      <c r="H2199" s="28"/>
      <c r="I2199" s="28"/>
      <c r="J2199" s="28"/>
      <c r="K2199" s="28"/>
    </row>
    <row r="2200" spans="2:11" x14ac:dyDescent="0.25">
      <c r="B2200" s="25"/>
      <c r="C2200" s="8"/>
      <c r="D2200" s="7"/>
      <c r="E2200" s="27"/>
      <c r="F2200" s="27"/>
      <c r="G2200" s="7"/>
      <c r="H2200" s="28"/>
      <c r="I2200" s="28"/>
      <c r="J2200" s="28"/>
      <c r="K2200" s="28"/>
    </row>
    <row r="2201" spans="2:11" x14ac:dyDescent="0.25">
      <c r="B2201" s="25"/>
      <c r="C2201" s="8"/>
      <c r="D2201" s="7"/>
      <c r="E2201" s="27"/>
      <c r="F2201" s="27"/>
      <c r="G2201" s="7"/>
      <c r="H2201" s="28"/>
      <c r="I2201" s="28"/>
      <c r="J2201" s="28"/>
      <c r="K2201" s="28"/>
    </row>
    <row r="2202" spans="2:11" x14ac:dyDescent="0.25">
      <c r="B2202" s="25"/>
      <c r="C2202" s="8"/>
      <c r="D2202" s="7"/>
      <c r="E2202" s="27"/>
      <c r="F2202" s="27"/>
      <c r="G2202" s="7"/>
      <c r="H2202" s="28"/>
      <c r="I2202" s="28"/>
      <c r="J2202" s="28"/>
      <c r="K2202" s="28"/>
    </row>
    <row r="2203" spans="2:11" x14ac:dyDescent="0.25">
      <c r="B2203" s="25"/>
      <c r="C2203" s="8"/>
      <c r="D2203" s="7"/>
      <c r="E2203" s="27"/>
      <c r="F2203" s="27"/>
      <c r="G2203" s="7"/>
      <c r="H2203" s="28"/>
      <c r="I2203" s="28"/>
      <c r="J2203" s="28"/>
      <c r="K2203" s="28"/>
    </row>
    <row r="2204" spans="2:11" x14ac:dyDescent="0.25">
      <c r="B2204" s="25"/>
      <c r="C2204" s="8"/>
      <c r="D2204" s="7"/>
      <c r="E2204" s="27"/>
      <c r="F2204" s="27"/>
      <c r="G2204" s="7"/>
      <c r="H2204" s="28"/>
      <c r="I2204" s="28"/>
      <c r="J2204" s="28"/>
      <c r="K2204" s="28"/>
    </row>
    <row r="2205" spans="2:11" x14ac:dyDescent="0.25">
      <c r="B2205" s="25"/>
      <c r="C2205" s="8"/>
      <c r="D2205" s="7"/>
      <c r="E2205" s="27"/>
      <c r="F2205" s="27"/>
      <c r="G2205" s="7"/>
      <c r="H2205" s="28"/>
      <c r="I2205" s="28"/>
      <c r="J2205" s="28"/>
      <c r="K2205" s="28"/>
    </row>
    <row r="2206" spans="2:11" x14ac:dyDescent="0.25">
      <c r="B2206" s="25"/>
      <c r="C2206" s="8"/>
      <c r="D2206" s="7"/>
      <c r="E2206" s="27"/>
      <c r="F2206" s="27"/>
      <c r="G2206" s="7"/>
      <c r="H2206" s="28"/>
      <c r="I2206" s="28"/>
      <c r="J2206" s="28"/>
      <c r="K2206" s="28"/>
    </row>
    <row r="2207" spans="2:11" x14ac:dyDescent="0.25">
      <c r="B2207" s="25"/>
      <c r="C2207" s="8"/>
      <c r="D2207" s="7"/>
      <c r="E2207" s="27"/>
      <c r="F2207" s="27"/>
      <c r="G2207" s="7"/>
      <c r="H2207" s="28"/>
      <c r="I2207" s="28"/>
      <c r="J2207" s="28"/>
      <c r="K2207" s="28"/>
    </row>
    <row r="2208" spans="2:11" x14ac:dyDescent="0.25">
      <c r="B2208" s="25"/>
      <c r="C2208" s="8"/>
      <c r="D2208" s="7"/>
      <c r="E2208" s="27"/>
      <c r="F2208" s="27"/>
      <c r="G2208" s="7"/>
      <c r="H2208" s="28"/>
      <c r="I2208" s="28"/>
      <c r="J2208" s="28"/>
      <c r="K2208" s="28"/>
    </row>
    <row r="2209" spans="2:11" x14ac:dyDescent="0.25">
      <c r="B2209" s="25"/>
      <c r="C2209" s="8"/>
      <c r="D2209" s="7"/>
      <c r="E2209" s="27"/>
      <c r="F2209" s="27"/>
      <c r="G2209" s="7"/>
      <c r="H2209" s="28"/>
      <c r="I2209" s="28"/>
      <c r="J2209" s="28"/>
      <c r="K2209" s="28"/>
    </row>
    <row r="2210" spans="2:11" x14ac:dyDescent="0.25">
      <c r="B2210" s="25"/>
      <c r="C2210" s="8"/>
      <c r="D2210" s="7"/>
      <c r="E2210" s="27"/>
      <c r="F2210" s="27"/>
      <c r="G2210" s="7"/>
      <c r="H2210" s="28"/>
      <c r="I2210" s="28"/>
      <c r="J2210" s="28"/>
      <c r="K2210" s="28"/>
    </row>
    <row r="2211" spans="2:11" x14ac:dyDescent="0.25">
      <c r="B2211" s="25"/>
      <c r="C2211" s="8"/>
      <c r="D2211" s="7"/>
      <c r="E2211" s="27"/>
      <c r="F2211" s="27"/>
      <c r="G2211" s="7"/>
      <c r="H2211" s="28"/>
      <c r="I2211" s="28"/>
      <c r="J2211" s="28"/>
      <c r="K2211" s="28"/>
    </row>
    <row r="2212" spans="2:11" x14ac:dyDescent="0.25">
      <c r="B2212" s="25"/>
      <c r="C2212" s="8"/>
      <c r="D2212" s="7"/>
      <c r="E2212" s="27"/>
      <c r="F2212" s="27"/>
      <c r="G2212" s="7"/>
      <c r="H2212" s="28"/>
      <c r="I2212" s="28"/>
      <c r="J2212" s="28"/>
      <c r="K2212" s="28"/>
    </row>
    <row r="2213" spans="2:11" x14ac:dyDescent="0.25">
      <c r="B2213" s="25"/>
      <c r="C2213" s="8"/>
      <c r="D2213" s="7"/>
      <c r="E2213" s="27"/>
      <c r="F2213" s="27"/>
      <c r="G2213" s="7"/>
      <c r="H2213" s="28"/>
      <c r="I2213" s="28"/>
      <c r="J2213" s="28"/>
      <c r="K2213" s="28"/>
    </row>
    <row r="2214" spans="2:11" x14ac:dyDescent="0.25">
      <c r="B2214" s="25"/>
      <c r="C2214" s="8"/>
      <c r="D2214" s="7"/>
      <c r="E2214" s="27"/>
      <c r="F2214" s="27"/>
      <c r="G2214" s="7"/>
      <c r="H2214" s="28"/>
      <c r="I2214" s="28"/>
      <c r="J2214" s="28"/>
      <c r="K2214" s="28"/>
    </row>
    <row r="2215" spans="2:11" x14ac:dyDescent="0.25">
      <c r="B2215" s="25"/>
      <c r="C2215" s="8"/>
      <c r="D2215" s="7"/>
      <c r="E2215" s="27"/>
      <c r="F2215" s="27"/>
      <c r="G2215" s="7"/>
      <c r="H2215" s="28"/>
      <c r="I2215" s="28"/>
      <c r="J2215" s="28"/>
      <c r="K2215" s="28"/>
    </row>
    <row r="2216" spans="2:11" x14ac:dyDescent="0.25">
      <c r="B2216" s="25"/>
      <c r="C2216" s="8"/>
      <c r="D2216" s="7"/>
      <c r="E2216" s="27"/>
      <c r="F2216" s="27"/>
      <c r="G2216" s="7"/>
      <c r="H2216" s="28"/>
      <c r="I2216" s="28"/>
      <c r="J2216" s="28"/>
      <c r="K2216" s="28"/>
    </row>
    <row r="2217" spans="2:11" x14ac:dyDescent="0.25">
      <c r="B2217" s="25"/>
      <c r="C2217" s="8"/>
      <c r="D2217" s="7"/>
      <c r="E2217" s="27"/>
      <c r="F2217" s="27"/>
      <c r="G2217" s="7"/>
      <c r="H2217" s="28"/>
      <c r="I2217" s="28"/>
      <c r="J2217" s="28"/>
      <c r="K2217" s="28"/>
    </row>
    <row r="2218" spans="2:11" x14ac:dyDescent="0.25">
      <c r="B2218" s="25"/>
      <c r="C2218" s="8"/>
      <c r="D2218" s="7"/>
      <c r="E2218" s="27"/>
      <c r="F2218" s="27"/>
      <c r="G2218" s="7"/>
      <c r="H2218" s="28"/>
      <c r="I2218" s="28"/>
      <c r="J2218" s="28"/>
      <c r="K2218" s="28"/>
    </row>
    <row r="2219" spans="2:11" x14ac:dyDescent="0.25">
      <c r="B2219" s="25"/>
      <c r="C2219" s="8"/>
      <c r="D2219" s="7"/>
      <c r="E2219" s="27"/>
      <c r="F2219" s="27"/>
      <c r="G2219" s="7"/>
      <c r="H2219" s="28"/>
      <c r="I2219" s="28"/>
      <c r="J2219" s="28"/>
      <c r="K2219" s="28"/>
    </row>
    <row r="2220" spans="2:11" x14ac:dyDescent="0.25">
      <c r="B2220" s="25"/>
      <c r="C2220" s="8"/>
      <c r="D2220" s="7"/>
      <c r="E2220" s="27"/>
      <c r="F2220" s="27"/>
      <c r="G2220" s="7"/>
      <c r="H2220" s="28"/>
      <c r="I2220" s="28"/>
      <c r="J2220" s="28"/>
      <c r="K2220" s="28"/>
    </row>
    <row r="2221" spans="2:11" x14ac:dyDescent="0.25">
      <c r="B2221" s="25"/>
      <c r="C2221" s="8"/>
      <c r="D2221" s="7"/>
      <c r="E2221" s="27"/>
      <c r="F2221" s="27"/>
      <c r="G2221" s="7"/>
      <c r="H2221" s="28"/>
      <c r="I2221" s="28"/>
      <c r="J2221" s="28"/>
      <c r="K2221" s="28"/>
    </row>
    <row r="2222" spans="2:11" x14ac:dyDescent="0.25">
      <c r="B2222" s="25"/>
      <c r="C2222" s="8"/>
      <c r="D2222" s="7"/>
      <c r="E2222" s="27"/>
      <c r="F2222" s="27"/>
      <c r="G2222" s="7"/>
      <c r="H2222" s="28"/>
      <c r="I2222" s="28"/>
      <c r="J2222" s="28"/>
      <c r="K2222" s="28"/>
    </row>
    <row r="2223" spans="2:11" x14ac:dyDescent="0.25">
      <c r="B2223" s="25"/>
      <c r="C2223" s="8"/>
      <c r="D2223" s="7"/>
      <c r="E2223" s="27"/>
      <c r="F2223" s="27"/>
      <c r="G2223" s="7"/>
      <c r="H2223" s="28"/>
      <c r="I2223" s="28"/>
      <c r="J2223" s="28"/>
      <c r="K2223" s="28"/>
    </row>
    <row r="2224" spans="2:11" x14ac:dyDescent="0.25">
      <c r="B2224" s="25"/>
      <c r="C2224" s="8"/>
      <c r="D2224" s="7"/>
      <c r="E2224" s="27"/>
      <c r="F2224" s="27"/>
      <c r="G2224" s="7"/>
      <c r="H2224" s="28"/>
      <c r="I2224" s="28"/>
      <c r="J2224" s="28"/>
      <c r="K2224" s="28"/>
    </row>
    <row r="2225" spans="2:11" x14ac:dyDescent="0.25">
      <c r="B2225" s="25"/>
      <c r="C2225" s="8"/>
      <c r="D2225" s="7"/>
      <c r="E2225" s="27"/>
      <c r="F2225" s="27"/>
      <c r="G2225" s="7"/>
      <c r="H2225" s="28"/>
      <c r="I2225" s="28"/>
      <c r="J2225" s="28"/>
      <c r="K2225" s="28"/>
    </row>
    <row r="2226" spans="2:11" x14ac:dyDescent="0.25">
      <c r="B2226" s="25"/>
      <c r="C2226" s="8"/>
      <c r="D2226" s="7"/>
      <c r="E2226" s="27"/>
      <c r="F2226" s="27"/>
      <c r="G2226" s="7"/>
      <c r="H2226" s="28"/>
      <c r="I2226" s="28"/>
      <c r="J2226" s="28"/>
      <c r="K2226" s="28"/>
    </row>
    <row r="2227" spans="2:11" x14ac:dyDescent="0.25">
      <c r="B2227" s="25"/>
      <c r="C2227" s="8"/>
      <c r="D2227" s="7"/>
      <c r="E2227" s="27"/>
      <c r="F2227" s="27"/>
      <c r="G2227" s="7"/>
      <c r="H2227" s="28"/>
      <c r="I2227" s="28"/>
      <c r="J2227" s="28"/>
      <c r="K2227" s="28"/>
    </row>
    <row r="2228" spans="2:11" x14ac:dyDescent="0.25">
      <c r="B2228" s="25"/>
      <c r="C2228" s="8"/>
      <c r="D2228" s="7"/>
      <c r="E2228" s="27"/>
      <c r="F2228" s="27"/>
      <c r="G2228" s="7"/>
      <c r="H2228" s="28"/>
      <c r="I2228" s="28"/>
      <c r="J2228" s="28"/>
      <c r="K2228" s="28"/>
    </row>
    <row r="2229" spans="2:11" x14ac:dyDescent="0.25">
      <c r="B2229" s="25"/>
      <c r="C2229" s="8"/>
      <c r="D2229" s="7"/>
      <c r="E2229" s="27"/>
      <c r="F2229" s="27"/>
      <c r="G2229" s="7"/>
      <c r="H2229" s="28"/>
      <c r="I2229" s="28"/>
      <c r="J2229" s="28"/>
      <c r="K2229" s="28"/>
    </row>
    <row r="2230" spans="2:11" x14ac:dyDescent="0.25">
      <c r="B2230" s="25"/>
      <c r="C2230" s="8"/>
      <c r="D2230" s="7"/>
      <c r="E2230" s="27"/>
      <c r="F2230" s="27"/>
      <c r="G2230" s="7"/>
      <c r="H2230" s="28"/>
      <c r="I2230" s="28"/>
      <c r="J2230" s="28"/>
      <c r="K2230" s="28"/>
    </row>
    <row r="2231" spans="2:11" x14ac:dyDescent="0.25">
      <c r="B2231" s="25"/>
      <c r="C2231" s="8"/>
      <c r="D2231" s="7"/>
      <c r="E2231" s="27"/>
      <c r="F2231" s="27"/>
      <c r="G2231" s="7"/>
      <c r="H2231" s="28"/>
      <c r="I2231" s="28"/>
      <c r="J2231" s="28"/>
      <c r="K2231" s="28"/>
    </row>
    <row r="2232" spans="2:11" x14ac:dyDescent="0.25">
      <c r="B2232" s="25"/>
      <c r="C2232" s="8"/>
      <c r="D2232" s="7"/>
      <c r="E2232" s="27"/>
      <c r="F2232" s="27"/>
      <c r="G2232" s="7"/>
      <c r="H2232" s="28"/>
      <c r="I2232" s="28"/>
      <c r="J2232" s="28"/>
      <c r="K2232" s="28"/>
    </row>
    <row r="2233" spans="2:11" x14ac:dyDescent="0.25">
      <c r="B2233" s="25"/>
      <c r="C2233" s="8"/>
      <c r="D2233" s="7"/>
      <c r="E2233" s="27"/>
      <c r="F2233" s="27"/>
      <c r="G2233" s="7"/>
      <c r="H2233" s="28"/>
      <c r="I2233" s="28"/>
      <c r="J2233" s="28"/>
      <c r="K2233" s="28"/>
    </row>
    <row r="2234" spans="2:11" x14ac:dyDescent="0.25">
      <c r="B2234" s="25"/>
      <c r="C2234" s="8"/>
      <c r="D2234" s="7"/>
      <c r="E2234" s="27"/>
      <c r="F2234" s="27"/>
      <c r="G2234" s="7"/>
      <c r="H2234" s="28"/>
      <c r="I2234" s="28"/>
      <c r="J2234" s="28"/>
      <c r="K2234" s="28"/>
    </row>
    <row r="2235" spans="2:11" x14ac:dyDescent="0.25">
      <c r="B2235" s="25"/>
      <c r="C2235" s="8"/>
      <c r="D2235" s="7"/>
      <c r="E2235" s="27"/>
      <c r="F2235" s="27"/>
      <c r="G2235" s="7"/>
      <c r="H2235" s="28"/>
      <c r="I2235" s="28"/>
      <c r="J2235" s="28"/>
      <c r="K2235" s="28"/>
    </row>
    <row r="2236" spans="2:11" x14ac:dyDescent="0.25">
      <c r="B2236" s="25"/>
      <c r="C2236" s="8"/>
      <c r="D2236" s="7"/>
      <c r="E2236" s="27"/>
      <c r="F2236" s="27"/>
      <c r="G2236" s="7"/>
      <c r="H2236" s="28"/>
      <c r="I2236" s="28"/>
      <c r="J2236" s="28"/>
      <c r="K2236" s="28"/>
    </row>
    <row r="2237" spans="2:11" x14ac:dyDescent="0.25">
      <c r="B2237" s="25"/>
      <c r="C2237" s="8"/>
      <c r="D2237" s="7"/>
      <c r="E2237" s="27"/>
      <c r="F2237" s="27"/>
      <c r="G2237" s="7"/>
      <c r="H2237" s="28"/>
      <c r="I2237" s="28"/>
      <c r="J2237" s="28"/>
      <c r="K2237" s="28"/>
    </row>
    <row r="2238" spans="2:11" x14ac:dyDescent="0.25">
      <c r="B2238" s="25"/>
      <c r="C2238" s="8"/>
      <c r="D2238" s="7"/>
      <c r="E2238" s="27"/>
      <c r="F2238" s="27"/>
      <c r="G2238" s="7"/>
      <c r="H2238" s="28"/>
      <c r="I2238" s="28"/>
      <c r="J2238" s="28"/>
      <c r="K2238" s="28"/>
    </row>
    <row r="2239" spans="2:11" x14ac:dyDescent="0.25">
      <c r="B2239" s="25"/>
      <c r="C2239" s="8"/>
      <c r="D2239" s="7"/>
      <c r="E2239" s="27"/>
      <c r="F2239" s="27"/>
      <c r="G2239" s="7"/>
      <c r="H2239" s="28"/>
      <c r="I2239" s="28"/>
      <c r="J2239" s="28"/>
      <c r="K2239" s="28"/>
    </row>
    <row r="2240" spans="2:11" x14ac:dyDescent="0.25">
      <c r="B2240" s="25"/>
      <c r="C2240" s="8"/>
      <c r="D2240" s="7"/>
      <c r="E2240" s="27"/>
      <c r="F2240" s="27"/>
      <c r="G2240" s="7"/>
      <c r="H2240" s="28"/>
      <c r="I2240" s="28"/>
      <c r="J2240" s="28"/>
      <c r="K2240" s="28"/>
    </row>
    <row r="2241" spans="2:11" x14ac:dyDescent="0.25">
      <c r="B2241" s="25"/>
      <c r="C2241" s="8"/>
      <c r="D2241" s="7"/>
      <c r="E2241" s="27"/>
      <c r="F2241" s="27"/>
      <c r="G2241" s="7"/>
      <c r="H2241" s="28"/>
      <c r="I2241" s="28"/>
      <c r="J2241" s="28"/>
      <c r="K2241" s="28"/>
    </row>
    <row r="2242" spans="2:11" x14ac:dyDescent="0.25">
      <c r="B2242" s="25"/>
      <c r="C2242" s="8"/>
      <c r="D2242" s="7"/>
      <c r="E2242" s="27"/>
      <c r="F2242" s="27"/>
      <c r="G2242" s="7"/>
      <c r="H2242" s="28"/>
      <c r="I2242" s="28"/>
      <c r="J2242" s="28"/>
      <c r="K2242" s="28"/>
    </row>
    <row r="2243" spans="2:11" x14ac:dyDescent="0.25">
      <c r="B2243" s="25"/>
      <c r="C2243" s="8"/>
      <c r="D2243" s="7"/>
      <c r="E2243" s="27"/>
      <c r="F2243" s="27"/>
      <c r="G2243" s="7"/>
      <c r="H2243" s="28"/>
      <c r="I2243" s="28"/>
      <c r="J2243" s="28"/>
      <c r="K2243" s="28"/>
    </row>
    <row r="2244" spans="2:11" x14ac:dyDescent="0.25">
      <c r="B2244" s="25"/>
      <c r="C2244" s="8"/>
      <c r="D2244" s="7"/>
      <c r="E2244" s="27"/>
      <c r="F2244" s="27"/>
      <c r="G2244" s="7"/>
      <c r="H2244" s="28"/>
      <c r="I2244" s="28"/>
      <c r="J2244" s="28"/>
      <c r="K2244" s="28"/>
    </row>
    <row r="2245" spans="2:11" x14ac:dyDescent="0.25">
      <c r="B2245" s="25"/>
      <c r="C2245" s="8"/>
      <c r="D2245" s="7"/>
      <c r="E2245" s="27"/>
      <c r="F2245" s="27"/>
      <c r="G2245" s="7"/>
      <c r="H2245" s="28"/>
      <c r="I2245" s="28"/>
      <c r="J2245" s="28"/>
      <c r="K2245" s="28"/>
    </row>
    <row r="2246" spans="2:11" x14ac:dyDescent="0.25">
      <c r="B2246" s="25"/>
      <c r="C2246" s="8"/>
      <c r="D2246" s="7"/>
      <c r="E2246" s="27"/>
      <c r="F2246" s="27"/>
      <c r="G2246" s="7"/>
      <c r="H2246" s="28"/>
      <c r="I2246" s="28"/>
      <c r="J2246" s="28"/>
      <c r="K2246" s="28"/>
    </row>
    <row r="2247" spans="2:11" x14ac:dyDescent="0.25">
      <c r="B2247" s="25"/>
      <c r="C2247" s="8"/>
      <c r="D2247" s="7"/>
      <c r="E2247" s="27"/>
      <c r="F2247" s="27"/>
      <c r="G2247" s="7"/>
      <c r="H2247" s="28"/>
      <c r="I2247" s="28"/>
      <c r="J2247" s="28"/>
      <c r="K2247" s="28"/>
    </row>
    <row r="2248" spans="2:11" x14ac:dyDescent="0.25">
      <c r="B2248" s="25"/>
      <c r="C2248" s="8"/>
      <c r="D2248" s="7"/>
      <c r="E2248" s="27"/>
      <c r="F2248" s="27"/>
      <c r="G2248" s="7"/>
      <c r="H2248" s="28"/>
      <c r="I2248" s="28"/>
      <c r="J2248" s="28"/>
      <c r="K2248" s="28"/>
    </row>
    <row r="2249" spans="2:11" x14ac:dyDescent="0.25">
      <c r="B2249" s="25"/>
      <c r="C2249" s="8"/>
      <c r="D2249" s="7"/>
      <c r="E2249" s="27"/>
      <c r="F2249" s="27"/>
      <c r="G2249" s="7"/>
      <c r="H2249" s="28"/>
      <c r="I2249" s="28"/>
      <c r="J2249" s="28"/>
      <c r="K2249" s="28"/>
    </row>
    <row r="2250" spans="2:11" x14ac:dyDescent="0.25">
      <c r="B2250" s="25"/>
      <c r="C2250" s="8"/>
      <c r="D2250" s="7"/>
      <c r="E2250" s="27"/>
      <c r="F2250" s="27"/>
      <c r="G2250" s="7"/>
      <c r="H2250" s="28"/>
      <c r="I2250" s="28"/>
      <c r="J2250" s="28"/>
      <c r="K2250" s="28"/>
    </row>
    <row r="2251" spans="2:11" x14ac:dyDescent="0.25">
      <c r="B2251" s="25"/>
      <c r="C2251" s="8"/>
      <c r="D2251" s="7"/>
      <c r="E2251" s="27"/>
      <c r="F2251" s="27"/>
      <c r="G2251" s="7"/>
      <c r="H2251" s="28"/>
      <c r="I2251" s="28"/>
      <c r="J2251" s="28"/>
      <c r="K2251" s="28"/>
    </row>
    <row r="2252" spans="2:11" x14ac:dyDescent="0.25">
      <c r="B2252" s="25"/>
      <c r="C2252" s="8"/>
      <c r="D2252" s="7"/>
      <c r="E2252" s="27"/>
      <c r="F2252" s="27"/>
      <c r="G2252" s="7"/>
      <c r="H2252" s="28"/>
      <c r="I2252" s="28"/>
      <c r="J2252" s="28"/>
      <c r="K2252" s="28"/>
    </row>
    <row r="2253" spans="2:11" x14ac:dyDescent="0.25">
      <c r="B2253" s="25"/>
      <c r="C2253" s="8"/>
      <c r="D2253" s="7"/>
      <c r="E2253" s="27"/>
      <c r="F2253" s="27"/>
      <c r="G2253" s="7"/>
      <c r="H2253" s="28"/>
      <c r="I2253" s="28"/>
      <c r="J2253" s="28"/>
      <c r="K2253" s="28"/>
    </row>
    <row r="2254" spans="2:11" x14ac:dyDescent="0.25">
      <c r="B2254" s="25"/>
      <c r="C2254" s="8"/>
      <c r="D2254" s="7"/>
      <c r="E2254" s="27"/>
      <c r="F2254" s="27"/>
      <c r="G2254" s="7"/>
      <c r="H2254" s="28"/>
      <c r="I2254" s="28"/>
      <c r="J2254" s="28"/>
      <c r="K2254" s="28"/>
    </row>
    <row r="2255" spans="2:11" x14ac:dyDescent="0.25">
      <c r="B2255" s="25"/>
      <c r="C2255" s="8"/>
      <c r="D2255" s="7"/>
      <c r="E2255" s="27"/>
      <c r="F2255" s="27"/>
      <c r="G2255" s="7"/>
      <c r="H2255" s="28"/>
      <c r="I2255" s="28"/>
      <c r="J2255" s="28"/>
      <c r="K2255" s="28"/>
    </row>
    <row r="2256" spans="2:11" x14ac:dyDescent="0.25">
      <c r="B2256" s="25"/>
      <c r="C2256" s="8"/>
      <c r="D2256" s="7"/>
      <c r="E2256" s="27"/>
      <c r="F2256" s="27"/>
      <c r="G2256" s="7"/>
      <c r="H2256" s="28"/>
      <c r="I2256" s="28"/>
      <c r="J2256" s="28"/>
      <c r="K2256" s="28"/>
    </row>
    <row r="2257" spans="2:11" x14ac:dyDescent="0.25">
      <c r="B2257" s="25"/>
      <c r="C2257" s="8"/>
      <c r="D2257" s="7"/>
      <c r="E2257" s="27"/>
      <c r="F2257" s="27"/>
      <c r="G2257" s="7"/>
      <c r="H2257" s="28"/>
      <c r="I2257" s="28"/>
      <c r="J2257" s="28"/>
      <c r="K2257" s="28"/>
    </row>
    <row r="2258" spans="2:11" x14ac:dyDescent="0.25">
      <c r="B2258" s="25"/>
      <c r="C2258" s="8"/>
      <c r="D2258" s="7"/>
      <c r="E2258" s="27"/>
      <c r="F2258" s="27"/>
      <c r="G2258" s="7"/>
      <c r="H2258" s="28"/>
      <c r="I2258" s="28"/>
      <c r="J2258" s="28"/>
      <c r="K2258" s="28"/>
    </row>
    <row r="2259" spans="2:11" x14ac:dyDescent="0.25">
      <c r="B2259" s="25"/>
      <c r="C2259" s="8"/>
      <c r="D2259" s="7"/>
      <c r="E2259" s="27"/>
      <c r="F2259" s="27"/>
      <c r="G2259" s="7"/>
      <c r="H2259" s="28"/>
      <c r="I2259" s="28"/>
      <c r="J2259" s="28"/>
      <c r="K2259" s="28"/>
    </row>
    <row r="2260" spans="2:11" x14ac:dyDescent="0.25">
      <c r="B2260" s="25"/>
      <c r="C2260" s="8"/>
      <c r="D2260" s="7"/>
      <c r="E2260" s="27"/>
      <c r="F2260" s="27"/>
      <c r="G2260" s="7"/>
      <c r="H2260" s="28"/>
      <c r="I2260" s="28"/>
      <c r="J2260" s="28"/>
      <c r="K2260" s="28"/>
    </row>
    <row r="2261" spans="2:11" x14ac:dyDescent="0.25">
      <c r="B2261" s="25"/>
      <c r="C2261" s="8"/>
      <c r="D2261" s="7"/>
      <c r="E2261" s="27"/>
      <c r="F2261" s="27"/>
      <c r="G2261" s="7"/>
      <c r="H2261" s="28"/>
      <c r="I2261" s="28"/>
      <c r="J2261" s="28"/>
      <c r="K2261" s="28"/>
    </row>
    <row r="2262" spans="2:11" x14ac:dyDescent="0.25">
      <c r="B2262" s="25"/>
      <c r="C2262" s="8"/>
      <c r="D2262" s="7"/>
      <c r="E2262" s="27"/>
      <c r="F2262" s="27"/>
      <c r="G2262" s="7"/>
      <c r="H2262" s="28"/>
      <c r="I2262" s="28"/>
      <c r="J2262" s="28"/>
      <c r="K2262" s="28"/>
    </row>
    <row r="2263" spans="2:11" x14ac:dyDescent="0.25">
      <c r="B2263" s="25"/>
      <c r="C2263" s="8"/>
      <c r="D2263" s="7"/>
      <c r="E2263" s="27"/>
      <c r="F2263" s="27"/>
      <c r="G2263" s="7"/>
      <c r="H2263" s="28"/>
      <c r="I2263" s="28"/>
      <c r="J2263" s="28"/>
      <c r="K2263" s="28"/>
    </row>
    <row r="2264" spans="2:11" x14ac:dyDescent="0.25">
      <c r="B2264" s="25"/>
      <c r="C2264" s="8"/>
      <c r="D2264" s="7"/>
      <c r="E2264" s="27"/>
      <c r="F2264" s="27"/>
      <c r="G2264" s="7"/>
      <c r="H2264" s="28"/>
      <c r="I2264" s="28"/>
      <c r="J2264" s="28"/>
      <c r="K2264" s="28"/>
    </row>
    <row r="2265" spans="2:11" x14ac:dyDescent="0.25">
      <c r="B2265" s="25"/>
      <c r="C2265" s="8"/>
      <c r="D2265" s="7"/>
      <c r="E2265" s="27"/>
      <c r="F2265" s="27"/>
      <c r="G2265" s="7"/>
      <c r="H2265" s="28"/>
      <c r="I2265" s="28"/>
      <c r="J2265" s="28"/>
      <c r="K2265" s="28"/>
    </row>
    <row r="2266" spans="2:11" x14ac:dyDescent="0.25">
      <c r="B2266" s="25"/>
      <c r="C2266" s="8"/>
      <c r="D2266" s="7"/>
      <c r="E2266" s="27"/>
      <c r="F2266" s="27"/>
      <c r="G2266" s="7"/>
      <c r="H2266" s="28"/>
      <c r="I2266" s="28"/>
      <c r="J2266" s="28"/>
      <c r="K2266" s="28"/>
    </row>
    <row r="2267" spans="2:11" x14ac:dyDescent="0.25">
      <c r="B2267" s="25"/>
      <c r="C2267" s="8"/>
      <c r="D2267" s="7"/>
      <c r="E2267" s="27"/>
      <c r="F2267" s="27"/>
      <c r="G2267" s="7"/>
      <c r="H2267" s="28"/>
      <c r="I2267" s="28"/>
      <c r="J2267" s="28"/>
      <c r="K2267" s="28"/>
    </row>
    <row r="2268" spans="2:11" x14ac:dyDescent="0.25">
      <c r="B2268" s="25"/>
      <c r="C2268" s="8"/>
      <c r="D2268" s="7"/>
      <c r="E2268" s="27"/>
      <c r="F2268" s="27"/>
      <c r="G2268" s="7"/>
      <c r="H2268" s="28"/>
      <c r="I2268" s="28"/>
      <c r="J2268" s="28"/>
      <c r="K2268" s="28"/>
    </row>
    <row r="2269" spans="2:11" x14ac:dyDescent="0.25">
      <c r="B2269" s="25"/>
      <c r="C2269" s="8"/>
      <c r="D2269" s="7"/>
      <c r="E2269" s="27"/>
      <c r="F2269" s="27"/>
      <c r="G2269" s="7"/>
      <c r="H2269" s="28"/>
      <c r="I2269" s="28"/>
      <c r="J2269" s="28"/>
      <c r="K2269" s="28"/>
    </row>
    <row r="2270" spans="2:11" x14ac:dyDescent="0.25">
      <c r="B2270" s="25"/>
      <c r="C2270" s="8"/>
      <c r="D2270" s="7"/>
      <c r="E2270" s="27"/>
      <c r="F2270" s="27"/>
      <c r="G2270" s="7"/>
      <c r="H2270" s="28"/>
      <c r="I2270" s="28"/>
      <c r="J2270" s="28"/>
      <c r="K2270" s="28"/>
    </row>
    <row r="2271" spans="2:11" x14ac:dyDescent="0.25">
      <c r="B2271" s="25"/>
      <c r="C2271" s="8"/>
      <c r="D2271" s="7"/>
      <c r="E2271" s="27"/>
      <c r="F2271" s="27"/>
      <c r="G2271" s="7"/>
      <c r="H2271" s="28"/>
      <c r="I2271" s="28"/>
      <c r="J2271" s="28"/>
      <c r="K2271" s="28"/>
    </row>
    <row r="2272" spans="2:11" x14ac:dyDescent="0.25">
      <c r="B2272" s="25"/>
      <c r="C2272" s="8"/>
      <c r="D2272" s="7"/>
      <c r="E2272" s="27"/>
      <c r="F2272" s="27"/>
      <c r="G2272" s="7"/>
      <c r="H2272" s="28"/>
      <c r="I2272" s="28"/>
      <c r="J2272" s="28"/>
      <c r="K2272" s="28"/>
    </row>
    <row r="2273" spans="2:11" x14ac:dyDescent="0.25">
      <c r="B2273" s="25"/>
      <c r="C2273" s="8"/>
      <c r="D2273" s="7"/>
      <c r="E2273" s="27"/>
      <c r="F2273" s="27"/>
      <c r="G2273" s="7"/>
      <c r="H2273" s="28"/>
      <c r="I2273" s="28"/>
      <c r="J2273" s="28"/>
      <c r="K2273" s="28"/>
    </row>
    <row r="2274" spans="2:11" x14ac:dyDescent="0.25">
      <c r="B2274" s="25"/>
      <c r="C2274" s="8"/>
      <c r="D2274" s="7"/>
      <c r="E2274" s="27"/>
      <c r="F2274" s="27"/>
      <c r="G2274" s="7"/>
      <c r="H2274" s="28"/>
      <c r="I2274" s="28"/>
      <c r="J2274" s="28"/>
      <c r="K2274" s="28"/>
    </row>
    <row r="2275" spans="2:11" x14ac:dyDescent="0.25">
      <c r="B2275" s="25"/>
      <c r="C2275" s="8"/>
      <c r="D2275" s="7"/>
      <c r="E2275" s="27"/>
      <c r="F2275" s="27"/>
      <c r="G2275" s="7"/>
      <c r="H2275" s="28"/>
      <c r="I2275" s="28"/>
      <c r="J2275" s="28"/>
      <c r="K2275" s="28"/>
    </row>
    <row r="2276" spans="2:11" x14ac:dyDescent="0.25">
      <c r="B2276" s="25"/>
      <c r="C2276" s="8"/>
      <c r="D2276" s="7"/>
      <c r="E2276" s="27"/>
      <c r="F2276" s="27"/>
      <c r="G2276" s="7"/>
      <c r="H2276" s="28"/>
      <c r="I2276" s="28"/>
      <c r="J2276" s="28"/>
      <c r="K2276" s="28"/>
    </row>
    <row r="2277" spans="2:11" x14ac:dyDescent="0.25">
      <c r="B2277" s="25"/>
      <c r="C2277" s="8"/>
      <c r="D2277" s="7"/>
      <c r="E2277" s="27"/>
      <c r="F2277" s="27"/>
      <c r="G2277" s="7"/>
      <c r="H2277" s="28"/>
      <c r="I2277" s="28"/>
      <c r="J2277" s="28"/>
      <c r="K2277" s="28"/>
    </row>
    <row r="2278" spans="2:11" x14ac:dyDescent="0.25">
      <c r="B2278" s="25"/>
      <c r="C2278" s="8"/>
      <c r="D2278" s="7"/>
      <c r="E2278" s="27"/>
      <c r="F2278" s="27"/>
      <c r="G2278" s="7"/>
      <c r="H2278" s="28"/>
      <c r="I2278" s="28"/>
      <c r="J2278" s="28"/>
      <c r="K2278" s="28"/>
    </row>
    <row r="2279" spans="2:11" x14ac:dyDescent="0.25">
      <c r="B2279" s="25"/>
      <c r="C2279" s="8"/>
      <c r="D2279" s="7"/>
      <c r="E2279" s="27"/>
      <c r="F2279" s="27"/>
      <c r="G2279" s="7"/>
      <c r="H2279" s="28"/>
      <c r="I2279" s="28"/>
      <c r="J2279" s="28"/>
      <c r="K2279" s="28"/>
    </row>
    <row r="2280" spans="2:11" x14ac:dyDescent="0.25">
      <c r="B2280" s="25"/>
      <c r="C2280" s="8"/>
      <c r="D2280" s="7"/>
      <c r="E2280" s="27"/>
      <c r="F2280" s="27"/>
      <c r="G2280" s="7"/>
      <c r="H2280" s="28"/>
      <c r="I2280" s="28"/>
      <c r="J2280" s="28"/>
      <c r="K2280" s="28"/>
    </row>
    <row r="2281" spans="2:11" x14ac:dyDescent="0.25">
      <c r="B2281" s="25"/>
      <c r="C2281" s="8"/>
      <c r="D2281" s="7"/>
      <c r="E2281" s="27"/>
      <c r="F2281" s="27"/>
      <c r="G2281" s="7"/>
      <c r="H2281" s="28"/>
      <c r="I2281" s="28"/>
      <c r="J2281" s="28"/>
      <c r="K2281" s="28"/>
    </row>
    <row r="2282" spans="2:11" x14ac:dyDescent="0.25">
      <c r="B2282" s="25"/>
      <c r="C2282" s="8"/>
      <c r="D2282" s="7"/>
      <c r="E2282" s="27"/>
      <c r="F2282" s="27"/>
      <c r="G2282" s="7"/>
      <c r="H2282" s="28"/>
      <c r="I2282" s="28"/>
      <c r="J2282" s="28"/>
      <c r="K2282" s="28"/>
    </row>
    <row r="2283" spans="2:11" x14ac:dyDescent="0.25">
      <c r="B2283" s="25"/>
      <c r="C2283" s="8"/>
      <c r="D2283" s="7"/>
      <c r="E2283" s="27"/>
      <c r="F2283" s="27"/>
      <c r="G2283" s="7"/>
      <c r="H2283" s="28"/>
      <c r="I2283" s="28"/>
      <c r="J2283" s="28"/>
      <c r="K2283" s="28"/>
    </row>
    <row r="2284" spans="2:11" x14ac:dyDescent="0.25">
      <c r="B2284" s="25"/>
      <c r="C2284" s="8"/>
      <c r="D2284" s="7"/>
      <c r="E2284" s="27"/>
      <c r="F2284" s="27"/>
      <c r="G2284" s="7"/>
      <c r="H2284" s="28"/>
      <c r="I2284" s="28"/>
      <c r="J2284" s="28"/>
      <c r="K2284" s="28"/>
    </row>
    <row r="2285" spans="2:11" x14ac:dyDescent="0.25">
      <c r="B2285" s="25"/>
      <c r="C2285" s="8"/>
      <c r="D2285" s="7"/>
      <c r="E2285" s="27"/>
      <c r="F2285" s="27"/>
      <c r="G2285" s="7"/>
      <c r="H2285" s="28"/>
      <c r="I2285" s="28"/>
      <c r="J2285" s="28"/>
      <c r="K2285" s="28"/>
    </row>
    <row r="2286" spans="2:11" x14ac:dyDescent="0.25">
      <c r="B2286" s="25"/>
      <c r="C2286" s="8"/>
      <c r="D2286" s="7"/>
      <c r="E2286" s="27"/>
      <c r="F2286" s="27"/>
      <c r="G2286" s="7"/>
      <c r="H2286" s="28"/>
      <c r="I2286" s="28"/>
      <c r="J2286" s="28"/>
      <c r="K2286" s="28"/>
    </row>
    <row r="2287" spans="2:11" x14ac:dyDescent="0.25">
      <c r="B2287" s="25"/>
      <c r="C2287" s="8"/>
      <c r="D2287" s="7"/>
      <c r="E2287" s="27"/>
      <c r="F2287" s="27"/>
      <c r="G2287" s="7"/>
      <c r="H2287" s="28"/>
      <c r="I2287" s="28"/>
      <c r="J2287" s="28"/>
      <c r="K2287" s="28"/>
    </row>
    <row r="2288" spans="2:11" x14ac:dyDescent="0.25">
      <c r="B2288" s="25"/>
      <c r="C2288" s="8"/>
      <c r="D2288" s="7"/>
      <c r="E2288" s="27"/>
      <c r="F2288" s="27"/>
      <c r="G2288" s="7"/>
      <c r="H2288" s="28"/>
      <c r="I2288" s="28"/>
      <c r="J2288" s="28"/>
      <c r="K2288" s="28"/>
    </row>
    <row r="2289" spans="2:11" x14ac:dyDescent="0.25">
      <c r="B2289" s="25"/>
      <c r="C2289" s="8"/>
      <c r="D2289" s="7"/>
      <c r="E2289" s="27"/>
      <c r="F2289" s="27"/>
      <c r="G2289" s="7"/>
      <c r="H2289" s="28"/>
      <c r="I2289" s="28"/>
      <c r="J2289" s="28"/>
      <c r="K2289" s="28"/>
    </row>
    <row r="2290" spans="2:11" x14ac:dyDescent="0.25">
      <c r="B2290" s="25"/>
      <c r="C2290" s="8"/>
      <c r="D2290" s="7"/>
      <c r="E2290" s="27"/>
      <c r="F2290" s="27"/>
      <c r="G2290" s="7"/>
      <c r="H2290" s="28"/>
      <c r="I2290" s="28"/>
      <c r="J2290" s="28"/>
      <c r="K2290" s="28"/>
    </row>
    <row r="2291" spans="2:11" x14ac:dyDescent="0.25">
      <c r="B2291" s="25"/>
      <c r="C2291" s="8"/>
      <c r="D2291" s="7"/>
      <c r="E2291" s="27"/>
      <c r="F2291" s="27"/>
      <c r="G2291" s="7"/>
      <c r="H2291" s="28"/>
      <c r="I2291" s="28"/>
      <c r="J2291" s="28"/>
      <c r="K2291" s="28"/>
    </row>
    <row r="2292" spans="2:11" x14ac:dyDescent="0.25">
      <c r="B2292" s="25"/>
      <c r="C2292" s="8"/>
      <c r="D2292" s="7"/>
      <c r="E2292" s="27"/>
      <c r="F2292" s="27"/>
      <c r="G2292" s="7"/>
      <c r="H2292" s="28"/>
      <c r="I2292" s="28"/>
      <c r="J2292" s="28"/>
      <c r="K2292" s="28"/>
    </row>
    <row r="2293" spans="2:11" x14ac:dyDescent="0.25">
      <c r="B2293" s="25"/>
      <c r="C2293" s="8"/>
      <c r="D2293" s="7"/>
      <c r="E2293" s="27"/>
      <c r="F2293" s="27"/>
      <c r="G2293" s="7"/>
      <c r="H2293" s="28"/>
      <c r="I2293" s="28"/>
      <c r="J2293" s="28"/>
      <c r="K2293" s="28"/>
    </row>
    <row r="2294" spans="2:11" x14ac:dyDescent="0.25">
      <c r="B2294" s="25"/>
      <c r="C2294" s="8"/>
      <c r="D2294" s="7"/>
      <c r="E2294" s="27"/>
      <c r="F2294" s="27"/>
      <c r="G2294" s="7"/>
      <c r="H2294" s="28"/>
      <c r="I2294" s="28"/>
      <c r="J2294" s="28"/>
      <c r="K2294" s="28"/>
    </row>
    <row r="2295" spans="2:11" x14ac:dyDescent="0.25">
      <c r="B2295" s="25"/>
      <c r="C2295" s="8"/>
      <c r="D2295" s="7"/>
      <c r="E2295" s="27"/>
      <c r="F2295" s="27"/>
      <c r="G2295" s="7"/>
      <c r="H2295" s="28"/>
      <c r="I2295" s="28"/>
      <c r="J2295" s="28"/>
      <c r="K2295" s="28"/>
    </row>
    <row r="2296" spans="2:11" x14ac:dyDescent="0.25">
      <c r="B2296" s="25"/>
      <c r="C2296" s="8"/>
      <c r="D2296" s="7"/>
      <c r="E2296" s="27"/>
      <c r="F2296" s="27"/>
      <c r="G2296" s="7"/>
      <c r="H2296" s="28"/>
      <c r="I2296" s="28"/>
      <c r="J2296" s="28"/>
      <c r="K2296" s="28"/>
    </row>
    <row r="2297" spans="2:11" x14ac:dyDescent="0.25">
      <c r="B2297" s="25"/>
      <c r="C2297" s="8"/>
      <c r="D2297" s="7"/>
      <c r="E2297" s="27"/>
      <c r="F2297" s="27"/>
      <c r="G2297" s="7"/>
      <c r="H2297" s="28"/>
      <c r="I2297" s="28"/>
      <c r="J2297" s="28"/>
      <c r="K2297" s="28"/>
    </row>
    <row r="2298" spans="2:11" x14ac:dyDescent="0.25">
      <c r="B2298" s="25"/>
      <c r="C2298" s="8"/>
      <c r="D2298" s="7"/>
      <c r="E2298" s="27"/>
      <c r="F2298" s="27"/>
      <c r="G2298" s="7"/>
      <c r="H2298" s="28"/>
      <c r="I2298" s="28"/>
      <c r="J2298" s="28"/>
      <c r="K2298" s="28"/>
    </row>
    <row r="2299" spans="2:11" x14ac:dyDescent="0.25">
      <c r="B2299" s="25"/>
      <c r="C2299" s="8"/>
      <c r="D2299" s="7"/>
      <c r="E2299" s="27"/>
      <c r="F2299" s="27"/>
      <c r="G2299" s="7"/>
      <c r="H2299" s="28"/>
      <c r="I2299" s="28"/>
      <c r="J2299" s="28"/>
      <c r="K2299" s="28"/>
    </row>
    <row r="2300" spans="2:11" x14ac:dyDescent="0.25">
      <c r="B2300" s="25"/>
      <c r="C2300" s="8"/>
      <c r="D2300" s="7"/>
      <c r="E2300" s="27"/>
      <c r="F2300" s="27"/>
      <c r="G2300" s="7"/>
      <c r="H2300" s="28"/>
      <c r="I2300" s="28"/>
      <c r="J2300" s="28"/>
      <c r="K2300" s="28"/>
    </row>
    <row r="2301" spans="2:11" x14ac:dyDescent="0.25">
      <c r="B2301" s="25"/>
      <c r="C2301" s="8"/>
      <c r="D2301" s="7"/>
      <c r="E2301" s="27"/>
      <c r="F2301" s="27"/>
      <c r="G2301" s="7"/>
      <c r="H2301" s="28"/>
      <c r="I2301" s="28"/>
      <c r="J2301" s="28"/>
      <c r="K2301" s="28"/>
    </row>
    <row r="2302" spans="2:11" x14ac:dyDescent="0.25">
      <c r="B2302" s="25"/>
      <c r="C2302" s="8"/>
      <c r="D2302" s="7"/>
      <c r="E2302" s="27"/>
      <c r="F2302" s="27"/>
      <c r="G2302" s="7"/>
      <c r="H2302" s="28"/>
      <c r="I2302" s="28"/>
      <c r="J2302" s="28"/>
      <c r="K2302" s="28"/>
    </row>
    <row r="2303" spans="2:11" x14ac:dyDescent="0.25">
      <c r="B2303" s="25"/>
      <c r="C2303" s="8"/>
      <c r="D2303" s="7"/>
      <c r="E2303" s="27"/>
      <c r="F2303" s="27"/>
      <c r="G2303" s="7"/>
      <c r="H2303" s="28"/>
      <c r="I2303" s="28"/>
      <c r="J2303" s="28"/>
      <c r="K2303" s="28"/>
    </row>
    <row r="2304" spans="2:11" x14ac:dyDescent="0.25">
      <c r="B2304" s="25"/>
      <c r="C2304" s="8"/>
      <c r="D2304" s="7"/>
      <c r="E2304" s="27"/>
      <c r="F2304" s="27"/>
      <c r="G2304" s="7"/>
      <c r="H2304" s="28"/>
      <c r="I2304" s="28"/>
      <c r="J2304" s="28"/>
      <c r="K2304" s="28"/>
    </row>
    <row r="2305" spans="2:11" x14ac:dyDescent="0.25">
      <c r="B2305" s="25"/>
      <c r="C2305" s="8"/>
      <c r="D2305" s="7"/>
      <c r="E2305" s="27"/>
      <c r="F2305" s="27"/>
      <c r="G2305" s="7"/>
      <c r="H2305" s="28"/>
      <c r="I2305" s="28"/>
      <c r="J2305" s="28"/>
      <c r="K2305" s="28"/>
    </row>
    <row r="2306" spans="2:11" x14ac:dyDescent="0.25">
      <c r="B2306" s="25"/>
      <c r="C2306" s="8"/>
      <c r="D2306" s="7"/>
      <c r="E2306" s="27"/>
      <c r="F2306" s="27"/>
      <c r="G2306" s="7"/>
      <c r="H2306" s="28"/>
      <c r="I2306" s="28"/>
      <c r="J2306" s="28"/>
      <c r="K2306" s="28"/>
    </row>
    <row r="2307" spans="2:11" x14ac:dyDescent="0.25">
      <c r="B2307" s="25"/>
      <c r="C2307" s="8"/>
      <c r="D2307" s="7"/>
      <c r="E2307" s="27"/>
      <c r="F2307" s="27"/>
      <c r="G2307" s="7"/>
      <c r="H2307" s="28"/>
      <c r="I2307" s="28"/>
      <c r="J2307" s="28"/>
      <c r="K2307" s="28"/>
    </row>
    <row r="2308" spans="2:11" x14ac:dyDescent="0.25">
      <c r="B2308" s="25"/>
      <c r="C2308" s="8"/>
      <c r="D2308" s="7"/>
      <c r="E2308" s="27"/>
      <c r="F2308" s="27"/>
      <c r="G2308" s="7"/>
      <c r="H2308" s="28"/>
      <c r="I2308" s="28"/>
      <c r="J2308" s="28"/>
      <c r="K2308" s="28"/>
    </row>
    <row r="2309" spans="2:11" x14ac:dyDescent="0.25">
      <c r="B2309" s="25"/>
      <c r="C2309" s="8"/>
      <c r="D2309" s="7"/>
      <c r="E2309" s="27"/>
      <c r="F2309" s="27"/>
      <c r="G2309" s="7"/>
      <c r="H2309" s="28"/>
      <c r="I2309" s="28"/>
      <c r="J2309" s="28"/>
      <c r="K2309" s="28"/>
    </row>
    <row r="2310" spans="2:11" x14ac:dyDescent="0.25">
      <c r="B2310" s="25"/>
      <c r="C2310" s="8"/>
      <c r="D2310" s="7"/>
      <c r="E2310" s="27"/>
      <c r="F2310" s="27"/>
      <c r="G2310" s="7"/>
      <c r="H2310" s="28"/>
      <c r="I2310" s="28"/>
      <c r="J2310" s="28"/>
      <c r="K2310" s="28"/>
    </row>
    <row r="2311" spans="2:11" x14ac:dyDescent="0.25">
      <c r="B2311" s="25"/>
      <c r="C2311" s="8"/>
      <c r="D2311" s="7"/>
      <c r="E2311" s="27"/>
      <c r="F2311" s="27"/>
      <c r="G2311" s="7"/>
      <c r="H2311" s="28"/>
      <c r="I2311" s="28"/>
      <c r="J2311" s="28"/>
      <c r="K2311" s="28"/>
    </row>
    <row r="2312" spans="2:11" x14ac:dyDescent="0.25">
      <c r="B2312" s="25"/>
      <c r="C2312" s="8"/>
      <c r="D2312" s="7"/>
      <c r="E2312" s="27"/>
      <c r="F2312" s="27"/>
      <c r="G2312" s="7"/>
      <c r="H2312" s="28"/>
      <c r="I2312" s="28"/>
      <c r="J2312" s="28"/>
      <c r="K2312" s="28"/>
    </row>
    <row r="2313" spans="2:11" x14ac:dyDescent="0.25">
      <c r="B2313" s="25"/>
      <c r="C2313" s="8"/>
      <c r="D2313" s="7"/>
      <c r="E2313" s="27"/>
      <c r="F2313" s="27"/>
      <c r="G2313" s="7"/>
      <c r="H2313" s="28"/>
      <c r="I2313" s="28"/>
      <c r="J2313" s="28"/>
      <c r="K2313" s="28"/>
    </row>
    <row r="2314" spans="2:11" x14ac:dyDescent="0.25">
      <c r="B2314" s="25"/>
      <c r="C2314" s="8"/>
      <c r="D2314" s="7"/>
      <c r="E2314" s="27"/>
      <c r="F2314" s="27"/>
      <c r="G2314" s="7"/>
      <c r="H2314" s="28"/>
      <c r="I2314" s="28"/>
      <c r="J2314" s="28"/>
      <c r="K2314" s="28"/>
    </row>
    <row r="2315" spans="2:11" x14ac:dyDescent="0.25">
      <c r="B2315" s="25"/>
      <c r="C2315" s="8"/>
      <c r="D2315" s="7"/>
      <c r="E2315" s="27"/>
      <c r="F2315" s="27"/>
      <c r="G2315" s="7"/>
      <c r="H2315" s="28"/>
      <c r="I2315" s="28"/>
      <c r="J2315" s="28"/>
      <c r="K2315" s="28"/>
    </row>
    <row r="2316" spans="2:11" x14ac:dyDescent="0.25">
      <c r="B2316" s="25"/>
      <c r="C2316" s="8"/>
      <c r="D2316" s="7"/>
      <c r="E2316" s="27"/>
      <c r="F2316" s="27"/>
      <c r="G2316" s="7"/>
      <c r="H2316" s="28"/>
      <c r="I2316" s="28"/>
      <c r="J2316" s="28"/>
      <c r="K2316" s="28"/>
    </row>
    <row r="2317" spans="2:11" x14ac:dyDescent="0.25">
      <c r="B2317" s="25"/>
      <c r="C2317" s="8"/>
      <c r="D2317" s="7"/>
      <c r="E2317" s="27"/>
      <c r="F2317" s="27"/>
      <c r="G2317" s="7"/>
      <c r="H2317" s="28"/>
      <c r="I2317" s="28"/>
      <c r="J2317" s="28"/>
      <c r="K2317" s="28"/>
    </row>
    <row r="2318" spans="2:11" x14ac:dyDescent="0.25">
      <c r="B2318" s="25"/>
      <c r="C2318" s="8"/>
      <c r="D2318" s="7"/>
      <c r="E2318" s="27"/>
      <c r="F2318" s="27"/>
      <c r="G2318" s="7"/>
      <c r="H2318" s="28"/>
      <c r="I2318" s="28"/>
      <c r="J2318" s="28"/>
      <c r="K2318" s="28"/>
    </row>
    <row r="2319" spans="2:11" x14ac:dyDescent="0.25">
      <c r="B2319" s="25"/>
      <c r="C2319" s="8"/>
      <c r="D2319" s="7"/>
      <c r="E2319" s="27"/>
      <c r="F2319" s="27"/>
      <c r="G2319" s="7"/>
      <c r="H2319" s="28"/>
      <c r="I2319" s="28"/>
      <c r="J2319" s="28"/>
      <c r="K2319" s="28"/>
    </row>
    <row r="2320" spans="2:11" x14ac:dyDescent="0.25">
      <c r="B2320" s="25"/>
      <c r="C2320" s="8"/>
      <c r="D2320" s="7"/>
      <c r="E2320" s="27"/>
      <c r="F2320" s="27"/>
      <c r="G2320" s="7"/>
      <c r="H2320" s="28"/>
      <c r="I2320" s="28"/>
      <c r="J2320" s="28"/>
      <c r="K2320" s="28"/>
    </row>
    <row r="2321" spans="2:11" x14ac:dyDescent="0.25">
      <c r="B2321" s="25"/>
      <c r="C2321" s="8"/>
      <c r="D2321" s="7"/>
      <c r="E2321" s="27"/>
      <c r="F2321" s="27"/>
      <c r="G2321" s="7"/>
      <c r="H2321" s="28"/>
      <c r="I2321" s="28"/>
      <c r="J2321" s="28"/>
      <c r="K2321" s="28"/>
    </row>
    <row r="2322" spans="2:11" x14ac:dyDescent="0.25">
      <c r="B2322" s="25"/>
      <c r="C2322" s="8"/>
      <c r="D2322" s="7"/>
      <c r="E2322" s="27"/>
      <c r="F2322" s="27"/>
      <c r="G2322" s="7"/>
      <c r="H2322" s="28"/>
      <c r="I2322" s="28"/>
      <c r="J2322" s="28"/>
      <c r="K2322" s="28"/>
    </row>
    <row r="2323" spans="2:11" x14ac:dyDescent="0.25">
      <c r="B2323" s="25"/>
      <c r="C2323" s="8"/>
      <c r="D2323" s="7"/>
      <c r="E2323" s="27"/>
      <c r="F2323" s="27"/>
      <c r="G2323" s="7"/>
      <c r="H2323" s="28"/>
      <c r="I2323" s="28"/>
      <c r="J2323" s="28"/>
      <c r="K2323" s="28"/>
    </row>
    <row r="2324" spans="2:11" x14ac:dyDescent="0.25">
      <c r="B2324" s="25"/>
      <c r="C2324" s="8"/>
      <c r="D2324" s="7"/>
      <c r="E2324" s="27"/>
      <c r="F2324" s="27"/>
      <c r="G2324" s="7"/>
      <c r="H2324" s="28"/>
      <c r="I2324" s="28"/>
      <c r="J2324" s="28"/>
      <c r="K2324" s="28"/>
    </row>
    <row r="2325" spans="2:11" x14ac:dyDescent="0.25">
      <c r="B2325" s="25"/>
      <c r="C2325" s="8"/>
      <c r="D2325" s="7"/>
      <c r="E2325" s="27"/>
      <c r="F2325" s="27"/>
      <c r="G2325" s="7"/>
      <c r="H2325" s="28"/>
      <c r="I2325" s="28"/>
      <c r="J2325" s="28"/>
      <c r="K2325" s="28"/>
    </row>
    <row r="2326" spans="2:11" x14ac:dyDescent="0.25">
      <c r="B2326" s="25"/>
      <c r="C2326" s="8"/>
      <c r="D2326" s="7"/>
      <c r="E2326" s="27"/>
      <c r="F2326" s="27"/>
      <c r="G2326" s="7"/>
      <c r="H2326" s="28"/>
      <c r="I2326" s="28"/>
      <c r="J2326" s="28"/>
      <c r="K2326" s="28"/>
    </row>
    <row r="2327" spans="2:11" x14ac:dyDescent="0.25">
      <c r="B2327" s="25"/>
      <c r="C2327" s="8"/>
      <c r="D2327" s="7"/>
      <c r="E2327" s="27"/>
      <c r="F2327" s="27"/>
      <c r="G2327" s="7"/>
      <c r="H2327" s="28"/>
      <c r="I2327" s="28"/>
      <c r="J2327" s="28"/>
      <c r="K2327" s="28"/>
    </row>
    <row r="2328" spans="2:11" x14ac:dyDescent="0.25">
      <c r="B2328" s="25"/>
      <c r="C2328" s="8"/>
      <c r="D2328" s="7"/>
      <c r="E2328" s="27"/>
      <c r="F2328" s="27"/>
      <c r="G2328" s="7"/>
      <c r="H2328" s="28"/>
      <c r="I2328" s="28"/>
      <c r="J2328" s="28"/>
      <c r="K2328" s="28"/>
    </row>
    <row r="2329" spans="2:11" x14ac:dyDescent="0.25">
      <c r="B2329" s="25"/>
      <c r="C2329" s="8"/>
      <c r="D2329" s="7"/>
      <c r="E2329" s="27"/>
      <c r="F2329" s="27"/>
      <c r="G2329" s="7"/>
      <c r="H2329" s="28"/>
      <c r="I2329" s="28"/>
      <c r="J2329" s="28"/>
      <c r="K2329" s="28"/>
    </row>
    <row r="2330" spans="2:11" x14ac:dyDescent="0.25">
      <c r="B2330" s="25"/>
      <c r="C2330" s="8"/>
      <c r="D2330" s="7"/>
      <c r="E2330" s="27"/>
      <c r="F2330" s="27"/>
      <c r="G2330" s="7"/>
      <c r="H2330" s="28"/>
      <c r="I2330" s="28"/>
      <c r="J2330" s="28"/>
      <c r="K2330" s="28"/>
    </row>
    <row r="2331" spans="2:11" x14ac:dyDescent="0.25">
      <c r="B2331" s="25"/>
      <c r="C2331" s="8"/>
      <c r="D2331" s="7"/>
      <c r="E2331" s="27"/>
      <c r="F2331" s="27"/>
      <c r="G2331" s="7"/>
      <c r="H2331" s="28"/>
      <c r="I2331" s="28"/>
      <c r="J2331" s="28"/>
      <c r="K2331" s="28"/>
    </row>
    <row r="2332" spans="2:11" x14ac:dyDescent="0.25">
      <c r="B2332" s="25"/>
      <c r="C2332" s="8"/>
      <c r="D2332" s="7"/>
      <c r="E2332" s="27"/>
      <c r="F2332" s="27"/>
      <c r="G2332" s="7"/>
      <c r="H2332" s="28"/>
      <c r="I2332" s="28"/>
      <c r="J2332" s="28"/>
      <c r="K2332" s="28"/>
    </row>
    <row r="2333" spans="2:11" x14ac:dyDescent="0.25">
      <c r="B2333" s="25"/>
      <c r="C2333" s="8"/>
      <c r="D2333" s="7"/>
      <c r="E2333" s="27"/>
      <c r="F2333" s="27"/>
      <c r="G2333" s="7"/>
      <c r="H2333" s="28"/>
      <c r="I2333" s="28"/>
      <c r="J2333" s="28"/>
      <c r="K2333" s="28"/>
    </row>
    <row r="2334" spans="2:11" x14ac:dyDescent="0.25">
      <c r="B2334" s="25"/>
      <c r="C2334" s="8"/>
      <c r="D2334" s="7"/>
      <c r="E2334" s="27"/>
      <c r="F2334" s="27"/>
      <c r="G2334" s="7"/>
      <c r="H2334" s="28"/>
      <c r="I2334" s="28"/>
      <c r="J2334" s="28"/>
      <c r="K2334" s="28"/>
    </row>
    <row r="2335" spans="2:11" x14ac:dyDescent="0.25">
      <c r="B2335" s="25"/>
      <c r="C2335" s="8"/>
      <c r="D2335" s="7"/>
      <c r="E2335" s="27"/>
      <c r="F2335" s="27"/>
      <c r="G2335" s="7"/>
      <c r="H2335" s="28"/>
      <c r="I2335" s="28"/>
      <c r="J2335" s="28"/>
      <c r="K2335" s="28"/>
    </row>
    <row r="2336" spans="2:11" x14ac:dyDescent="0.25">
      <c r="B2336" s="25"/>
      <c r="C2336" s="8"/>
      <c r="D2336" s="7"/>
      <c r="E2336" s="27"/>
      <c r="F2336" s="27"/>
      <c r="G2336" s="7"/>
      <c r="H2336" s="28"/>
      <c r="I2336" s="28"/>
      <c r="J2336" s="28"/>
      <c r="K2336" s="28"/>
    </row>
    <row r="2337" spans="2:11" x14ac:dyDescent="0.25">
      <c r="B2337" s="25"/>
      <c r="C2337" s="8"/>
      <c r="D2337" s="7"/>
      <c r="E2337" s="27"/>
      <c r="F2337" s="27"/>
      <c r="G2337" s="7"/>
      <c r="H2337" s="28"/>
      <c r="I2337" s="28"/>
      <c r="J2337" s="28"/>
      <c r="K2337" s="28"/>
    </row>
    <row r="2338" spans="2:11" x14ac:dyDescent="0.25">
      <c r="B2338" s="25"/>
      <c r="C2338" s="8"/>
      <c r="D2338" s="7"/>
      <c r="E2338" s="27"/>
      <c r="F2338" s="27"/>
      <c r="G2338" s="7"/>
      <c r="H2338" s="28"/>
      <c r="I2338" s="28"/>
      <c r="J2338" s="28"/>
      <c r="K2338" s="28"/>
    </row>
    <row r="2339" spans="2:11" x14ac:dyDescent="0.25">
      <c r="B2339" s="25"/>
      <c r="C2339" s="8"/>
      <c r="D2339" s="7"/>
      <c r="E2339" s="27"/>
      <c r="F2339" s="27"/>
      <c r="G2339" s="7"/>
      <c r="H2339" s="28"/>
      <c r="I2339" s="28"/>
      <c r="J2339" s="28"/>
      <c r="K2339" s="28"/>
    </row>
    <row r="2340" spans="2:11" x14ac:dyDescent="0.25">
      <c r="B2340" s="25"/>
      <c r="C2340" s="8"/>
      <c r="D2340" s="7"/>
      <c r="E2340" s="27"/>
      <c r="F2340" s="27"/>
      <c r="G2340" s="7"/>
      <c r="H2340" s="28"/>
      <c r="I2340" s="28"/>
      <c r="J2340" s="28"/>
      <c r="K2340" s="28"/>
    </row>
    <row r="2341" spans="2:11" x14ac:dyDescent="0.25">
      <c r="B2341" s="25"/>
      <c r="C2341" s="8"/>
      <c r="D2341" s="7"/>
      <c r="E2341" s="27"/>
      <c r="F2341" s="27"/>
      <c r="G2341" s="7"/>
      <c r="H2341" s="28"/>
      <c r="I2341" s="28"/>
      <c r="J2341" s="28"/>
      <c r="K2341" s="28"/>
    </row>
    <row r="2342" spans="2:11" x14ac:dyDescent="0.25">
      <c r="B2342" s="25"/>
      <c r="C2342" s="8"/>
      <c r="D2342" s="7"/>
      <c r="E2342" s="27"/>
      <c r="F2342" s="27"/>
      <c r="G2342" s="7"/>
      <c r="H2342" s="28"/>
      <c r="I2342" s="28"/>
      <c r="J2342" s="28"/>
      <c r="K2342" s="28"/>
    </row>
    <row r="2343" spans="2:11" x14ac:dyDescent="0.25">
      <c r="B2343" s="25"/>
      <c r="C2343" s="8"/>
      <c r="D2343" s="7"/>
      <c r="E2343" s="27"/>
      <c r="F2343" s="27"/>
      <c r="G2343" s="7"/>
      <c r="H2343" s="28"/>
      <c r="I2343" s="28"/>
      <c r="J2343" s="28"/>
      <c r="K2343" s="28"/>
    </row>
    <row r="2344" spans="2:11" x14ac:dyDescent="0.25">
      <c r="B2344" s="25"/>
      <c r="C2344" s="8"/>
      <c r="D2344" s="7"/>
      <c r="E2344" s="27"/>
      <c r="F2344" s="27"/>
      <c r="G2344" s="7"/>
      <c r="H2344" s="28"/>
      <c r="I2344" s="28"/>
      <c r="J2344" s="28"/>
      <c r="K2344" s="28"/>
    </row>
    <row r="2345" spans="2:11" x14ac:dyDescent="0.25">
      <c r="B2345" s="25"/>
      <c r="C2345" s="8"/>
      <c r="D2345" s="7"/>
      <c r="E2345" s="27"/>
      <c r="F2345" s="27"/>
      <c r="G2345" s="7"/>
      <c r="H2345" s="28"/>
      <c r="I2345" s="28"/>
      <c r="J2345" s="28"/>
      <c r="K2345" s="28"/>
    </row>
    <row r="2346" spans="2:11" x14ac:dyDescent="0.25">
      <c r="B2346" s="25"/>
      <c r="C2346" s="8"/>
      <c r="D2346" s="7"/>
      <c r="E2346" s="27"/>
      <c r="F2346" s="27"/>
      <c r="G2346" s="7"/>
      <c r="H2346" s="28"/>
      <c r="I2346" s="28"/>
      <c r="J2346" s="28"/>
      <c r="K2346" s="28"/>
    </row>
    <row r="2347" spans="2:11" x14ac:dyDescent="0.25">
      <c r="B2347" s="25"/>
      <c r="C2347" s="8"/>
      <c r="D2347" s="7"/>
      <c r="E2347" s="27"/>
      <c r="F2347" s="27"/>
      <c r="G2347" s="7"/>
      <c r="H2347" s="28"/>
      <c r="I2347" s="28"/>
      <c r="J2347" s="28"/>
      <c r="K2347" s="28"/>
    </row>
    <row r="2348" spans="2:11" x14ac:dyDescent="0.25">
      <c r="B2348" s="25"/>
      <c r="C2348" s="8"/>
      <c r="D2348" s="7"/>
      <c r="E2348" s="27"/>
      <c r="F2348" s="27"/>
      <c r="G2348" s="7"/>
      <c r="H2348" s="28"/>
      <c r="I2348" s="28"/>
      <c r="J2348" s="28"/>
      <c r="K2348" s="28"/>
    </row>
    <row r="2349" spans="2:11" x14ac:dyDescent="0.25">
      <c r="B2349" s="25"/>
      <c r="C2349" s="8"/>
      <c r="D2349" s="7"/>
      <c r="E2349" s="27"/>
      <c r="F2349" s="27"/>
      <c r="G2349" s="7"/>
      <c r="H2349" s="28"/>
      <c r="I2349" s="28"/>
      <c r="J2349" s="28"/>
      <c r="K2349" s="28"/>
    </row>
    <row r="2350" spans="2:11" x14ac:dyDescent="0.25">
      <c r="B2350" s="25"/>
      <c r="C2350" s="8"/>
      <c r="D2350" s="7"/>
      <c r="E2350" s="27"/>
      <c r="F2350" s="27"/>
      <c r="G2350" s="7"/>
      <c r="H2350" s="28"/>
      <c r="I2350" s="28"/>
      <c r="J2350" s="28"/>
      <c r="K2350" s="28"/>
    </row>
    <row r="2351" spans="2:11" x14ac:dyDescent="0.25">
      <c r="B2351" s="25"/>
      <c r="C2351" s="8"/>
      <c r="D2351" s="7"/>
      <c r="E2351" s="27"/>
      <c r="F2351" s="27"/>
      <c r="G2351" s="7"/>
      <c r="H2351" s="28"/>
      <c r="I2351" s="28"/>
      <c r="J2351" s="28"/>
      <c r="K2351" s="28"/>
    </row>
    <row r="2352" spans="2:11" x14ac:dyDescent="0.25">
      <c r="B2352" s="25"/>
      <c r="C2352" s="8"/>
      <c r="D2352" s="7"/>
      <c r="E2352" s="27"/>
      <c r="F2352" s="27"/>
      <c r="G2352" s="7"/>
      <c r="H2352" s="28"/>
      <c r="I2352" s="28"/>
      <c r="J2352" s="28"/>
      <c r="K2352" s="28"/>
    </row>
    <row r="2353" spans="2:11" x14ac:dyDescent="0.25">
      <c r="B2353" s="25"/>
      <c r="C2353" s="8"/>
      <c r="D2353" s="7"/>
      <c r="E2353" s="27"/>
      <c r="F2353" s="27"/>
      <c r="G2353" s="7"/>
      <c r="H2353" s="28"/>
      <c r="I2353" s="28"/>
      <c r="J2353" s="28"/>
      <c r="K2353" s="28"/>
    </row>
    <row r="2354" spans="2:11" x14ac:dyDescent="0.25">
      <c r="B2354" s="25"/>
      <c r="C2354" s="8"/>
      <c r="D2354" s="7"/>
      <c r="E2354" s="27"/>
      <c r="F2354" s="27"/>
      <c r="G2354" s="7"/>
      <c r="H2354" s="28"/>
      <c r="I2354" s="28"/>
      <c r="J2354" s="28"/>
      <c r="K2354" s="28"/>
    </row>
    <row r="2355" spans="2:11" x14ac:dyDescent="0.25">
      <c r="B2355" s="25"/>
      <c r="C2355" s="8"/>
      <c r="D2355" s="7"/>
      <c r="E2355" s="27"/>
      <c r="F2355" s="27"/>
      <c r="G2355" s="7"/>
      <c r="H2355" s="28"/>
      <c r="I2355" s="28"/>
      <c r="J2355" s="28"/>
      <c r="K2355" s="28"/>
    </row>
    <row r="2356" spans="2:11" x14ac:dyDescent="0.25">
      <c r="B2356" s="25"/>
      <c r="C2356" s="8"/>
      <c r="D2356" s="7"/>
      <c r="E2356" s="27"/>
      <c r="F2356" s="27"/>
      <c r="G2356" s="7"/>
      <c r="H2356" s="28"/>
      <c r="I2356" s="28"/>
      <c r="J2356" s="28"/>
      <c r="K2356" s="28"/>
    </row>
    <row r="2357" spans="2:11" x14ac:dyDescent="0.25">
      <c r="B2357" s="25"/>
      <c r="C2357" s="8"/>
      <c r="D2357" s="7"/>
      <c r="E2357" s="27"/>
      <c r="F2357" s="27"/>
      <c r="G2357" s="7"/>
      <c r="H2357" s="28"/>
      <c r="I2357" s="28"/>
      <c r="J2357" s="28"/>
      <c r="K2357" s="28"/>
    </row>
    <row r="2358" spans="2:11" x14ac:dyDescent="0.25">
      <c r="B2358" s="25"/>
      <c r="C2358" s="8"/>
      <c r="D2358" s="7"/>
      <c r="E2358" s="27"/>
      <c r="F2358" s="27"/>
      <c r="G2358" s="7"/>
      <c r="H2358" s="28"/>
      <c r="I2358" s="28"/>
      <c r="J2358" s="28"/>
      <c r="K2358" s="28"/>
    </row>
    <row r="2359" spans="2:11" x14ac:dyDescent="0.25">
      <c r="B2359" s="25"/>
      <c r="C2359" s="8"/>
      <c r="D2359" s="7"/>
      <c r="E2359" s="27"/>
      <c r="F2359" s="27"/>
      <c r="G2359" s="7"/>
      <c r="H2359" s="28"/>
      <c r="I2359" s="28"/>
      <c r="J2359" s="28"/>
      <c r="K2359" s="28"/>
    </row>
    <row r="2360" spans="2:11" x14ac:dyDescent="0.25">
      <c r="B2360" s="25"/>
      <c r="C2360" s="8"/>
      <c r="D2360" s="7"/>
      <c r="E2360" s="27"/>
      <c r="F2360" s="27"/>
      <c r="G2360" s="7"/>
      <c r="H2360" s="28"/>
      <c r="I2360" s="28"/>
      <c r="J2360" s="28"/>
      <c r="K2360" s="28"/>
    </row>
    <row r="2361" spans="2:11" x14ac:dyDescent="0.25">
      <c r="B2361" s="25"/>
      <c r="C2361" s="8"/>
      <c r="D2361" s="7"/>
      <c r="E2361" s="27"/>
      <c r="F2361" s="27"/>
      <c r="G2361" s="7"/>
      <c r="H2361" s="28"/>
      <c r="I2361" s="28"/>
      <c r="J2361" s="28"/>
      <c r="K2361" s="28"/>
    </row>
    <row r="2362" spans="2:11" x14ac:dyDescent="0.25">
      <c r="B2362" s="25"/>
      <c r="C2362" s="8"/>
      <c r="D2362" s="7"/>
      <c r="E2362" s="27"/>
      <c r="F2362" s="27"/>
      <c r="G2362" s="7"/>
      <c r="H2362" s="28"/>
      <c r="I2362" s="28"/>
      <c r="J2362" s="28"/>
      <c r="K2362" s="28"/>
    </row>
    <row r="2363" spans="2:11" x14ac:dyDescent="0.25">
      <c r="B2363" s="25"/>
      <c r="C2363" s="8"/>
      <c r="D2363" s="7"/>
      <c r="E2363" s="27"/>
      <c r="F2363" s="27"/>
      <c r="G2363" s="7"/>
      <c r="H2363" s="28"/>
      <c r="I2363" s="28"/>
      <c r="J2363" s="28"/>
      <c r="K2363" s="28"/>
    </row>
    <row r="2364" spans="2:11" x14ac:dyDescent="0.25">
      <c r="B2364" s="25"/>
      <c r="C2364" s="8"/>
      <c r="D2364" s="7"/>
      <c r="E2364" s="27"/>
      <c r="F2364" s="27"/>
      <c r="G2364" s="7"/>
      <c r="H2364" s="28"/>
      <c r="I2364" s="28"/>
      <c r="J2364" s="28"/>
      <c r="K2364" s="28"/>
    </row>
    <row r="2365" spans="2:11" x14ac:dyDescent="0.25">
      <c r="B2365" s="25"/>
      <c r="C2365" s="8"/>
      <c r="D2365" s="7"/>
      <c r="E2365" s="27"/>
      <c r="F2365" s="27"/>
      <c r="G2365" s="7"/>
      <c r="H2365" s="28"/>
      <c r="I2365" s="28"/>
      <c r="J2365" s="28"/>
      <c r="K2365" s="28"/>
    </row>
    <row r="2366" spans="2:11" x14ac:dyDescent="0.25">
      <c r="B2366" s="25"/>
      <c r="C2366" s="8"/>
      <c r="D2366" s="7"/>
      <c r="E2366" s="27"/>
      <c r="F2366" s="27"/>
      <c r="G2366" s="7"/>
      <c r="H2366" s="28"/>
      <c r="I2366" s="28"/>
      <c r="J2366" s="28"/>
      <c r="K2366" s="28"/>
    </row>
    <row r="2367" spans="2:11" x14ac:dyDescent="0.25">
      <c r="B2367" s="25"/>
      <c r="C2367" s="8"/>
      <c r="D2367" s="7"/>
      <c r="E2367" s="27"/>
      <c r="F2367" s="27"/>
      <c r="G2367" s="7"/>
      <c r="H2367" s="28"/>
      <c r="I2367" s="28"/>
      <c r="J2367" s="28"/>
      <c r="K2367" s="28"/>
    </row>
    <row r="2368" spans="2:11" x14ac:dyDescent="0.25">
      <c r="B2368" s="25"/>
      <c r="C2368" s="8"/>
      <c r="D2368" s="7"/>
      <c r="E2368" s="27"/>
      <c r="F2368" s="27"/>
      <c r="G2368" s="7"/>
      <c r="H2368" s="28"/>
      <c r="I2368" s="28"/>
      <c r="J2368" s="28"/>
      <c r="K2368" s="28"/>
    </row>
    <row r="2369" spans="2:11" x14ac:dyDescent="0.25">
      <c r="B2369" s="25"/>
      <c r="C2369" s="8"/>
      <c r="D2369" s="7"/>
      <c r="E2369" s="27"/>
      <c r="F2369" s="27"/>
      <c r="G2369" s="7"/>
      <c r="H2369" s="28"/>
      <c r="I2369" s="28"/>
      <c r="J2369" s="28"/>
      <c r="K2369" s="28"/>
    </row>
    <row r="2370" spans="2:11" x14ac:dyDescent="0.25">
      <c r="B2370" s="25"/>
      <c r="C2370" s="8"/>
      <c r="D2370" s="7"/>
      <c r="E2370" s="27"/>
      <c r="F2370" s="27"/>
      <c r="G2370" s="7"/>
      <c r="H2370" s="28"/>
      <c r="I2370" s="28"/>
      <c r="J2370" s="28"/>
      <c r="K2370" s="28"/>
    </row>
    <row r="2371" spans="2:11" x14ac:dyDescent="0.25">
      <c r="B2371" s="25"/>
      <c r="C2371" s="8"/>
      <c r="D2371" s="7"/>
      <c r="E2371" s="27"/>
      <c r="F2371" s="27"/>
      <c r="G2371" s="7"/>
      <c r="H2371" s="28"/>
      <c r="I2371" s="28"/>
      <c r="J2371" s="28"/>
      <c r="K2371" s="28"/>
    </row>
    <row r="2372" spans="2:11" x14ac:dyDescent="0.25">
      <c r="B2372" s="25"/>
      <c r="C2372" s="8"/>
      <c r="D2372" s="7"/>
      <c r="E2372" s="27"/>
      <c r="F2372" s="27"/>
      <c r="G2372" s="7"/>
      <c r="H2372" s="28"/>
      <c r="I2372" s="28"/>
      <c r="J2372" s="28"/>
      <c r="K2372" s="28"/>
    </row>
    <row r="2373" spans="2:11" x14ac:dyDescent="0.25">
      <c r="B2373" s="25"/>
      <c r="C2373" s="8"/>
      <c r="D2373" s="7"/>
      <c r="E2373" s="27"/>
      <c r="F2373" s="27"/>
      <c r="G2373" s="7"/>
      <c r="H2373" s="28"/>
      <c r="I2373" s="28"/>
      <c r="J2373" s="28"/>
      <c r="K2373" s="28"/>
    </row>
    <row r="2374" spans="2:11" x14ac:dyDescent="0.25">
      <c r="B2374" s="25"/>
      <c r="C2374" s="8"/>
      <c r="D2374" s="7"/>
      <c r="E2374" s="27"/>
      <c r="F2374" s="27"/>
      <c r="G2374" s="7"/>
      <c r="H2374" s="28"/>
      <c r="I2374" s="28"/>
      <c r="J2374" s="28"/>
      <c r="K2374" s="28"/>
    </row>
    <row r="2375" spans="2:11" x14ac:dyDescent="0.25">
      <c r="B2375" s="25"/>
      <c r="C2375" s="8"/>
      <c r="D2375" s="7"/>
      <c r="E2375" s="27"/>
      <c r="F2375" s="27"/>
      <c r="G2375" s="7"/>
      <c r="H2375" s="28"/>
      <c r="I2375" s="28"/>
      <c r="J2375" s="28"/>
      <c r="K2375" s="28"/>
    </row>
    <row r="2376" spans="2:11" x14ac:dyDescent="0.25">
      <c r="B2376" s="25"/>
      <c r="C2376" s="8"/>
      <c r="D2376" s="7"/>
      <c r="E2376" s="27"/>
      <c r="F2376" s="27"/>
      <c r="G2376" s="7"/>
      <c r="H2376" s="28"/>
      <c r="I2376" s="28"/>
      <c r="J2376" s="28"/>
      <c r="K2376" s="28"/>
    </row>
    <row r="2377" spans="2:11" x14ac:dyDescent="0.25">
      <c r="B2377" s="25"/>
      <c r="C2377" s="8"/>
      <c r="D2377" s="7"/>
      <c r="E2377" s="27"/>
      <c r="F2377" s="27"/>
      <c r="G2377" s="7"/>
      <c r="H2377" s="28"/>
      <c r="I2377" s="28"/>
      <c r="J2377" s="28"/>
      <c r="K2377" s="28"/>
    </row>
    <row r="2378" spans="2:11" x14ac:dyDescent="0.25">
      <c r="B2378" s="25"/>
      <c r="C2378" s="8"/>
      <c r="D2378" s="7"/>
      <c r="E2378" s="27"/>
      <c r="F2378" s="27"/>
      <c r="G2378" s="7"/>
      <c r="H2378" s="28"/>
      <c r="I2378" s="28"/>
      <c r="J2378" s="28"/>
      <c r="K2378" s="28"/>
    </row>
    <row r="2379" spans="2:11" x14ac:dyDescent="0.25">
      <c r="B2379" s="25"/>
      <c r="C2379" s="8"/>
      <c r="D2379" s="7"/>
      <c r="E2379" s="27"/>
      <c r="F2379" s="27"/>
      <c r="G2379" s="7"/>
      <c r="H2379" s="28"/>
      <c r="I2379" s="28"/>
      <c r="J2379" s="28"/>
      <c r="K2379" s="28"/>
    </row>
    <row r="2380" spans="2:11" x14ac:dyDescent="0.25">
      <c r="B2380" s="25"/>
      <c r="C2380" s="8"/>
      <c r="D2380" s="7"/>
      <c r="E2380" s="27"/>
      <c r="F2380" s="27"/>
      <c r="G2380" s="7"/>
      <c r="H2380" s="28"/>
      <c r="I2380" s="28"/>
      <c r="J2380" s="28"/>
      <c r="K2380" s="28"/>
    </row>
    <row r="2381" spans="2:11" x14ac:dyDescent="0.25">
      <c r="B2381" s="25"/>
      <c r="C2381" s="8"/>
      <c r="D2381" s="7"/>
      <c r="E2381" s="27"/>
      <c r="F2381" s="27"/>
      <c r="G2381" s="7"/>
      <c r="H2381" s="28"/>
      <c r="I2381" s="28"/>
      <c r="J2381" s="28"/>
      <c r="K2381" s="28"/>
    </row>
    <row r="2382" spans="2:11" x14ac:dyDescent="0.25">
      <c r="B2382" s="25"/>
      <c r="C2382" s="8"/>
      <c r="D2382" s="7"/>
      <c r="E2382" s="27"/>
      <c r="F2382" s="27"/>
      <c r="G2382" s="7"/>
      <c r="H2382" s="28"/>
      <c r="I2382" s="28"/>
      <c r="J2382" s="28"/>
      <c r="K2382" s="28"/>
    </row>
    <row r="2383" spans="2:11" x14ac:dyDescent="0.25">
      <c r="B2383" s="25"/>
      <c r="C2383" s="8"/>
      <c r="D2383" s="7"/>
      <c r="E2383" s="27"/>
      <c r="F2383" s="27"/>
      <c r="G2383" s="7"/>
      <c r="H2383" s="28"/>
      <c r="I2383" s="28"/>
      <c r="J2383" s="28"/>
      <c r="K2383" s="28"/>
    </row>
    <row r="2384" spans="2:11" x14ac:dyDescent="0.25">
      <c r="B2384" s="25"/>
      <c r="C2384" s="8"/>
      <c r="D2384" s="7"/>
      <c r="E2384" s="27"/>
      <c r="F2384" s="27"/>
      <c r="G2384" s="7"/>
      <c r="H2384" s="28"/>
      <c r="I2384" s="28"/>
      <c r="J2384" s="28"/>
      <c r="K2384" s="28"/>
    </row>
    <row r="2385" spans="2:11" x14ac:dyDescent="0.25">
      <c r="B2385" s="25"/>
      <c r="C2385" s="8"/>
      <c r="D2385" s="7"/>
      <c r="E2385" s="27"/>
      <c r="F2385" s="27"/>
      <c r="G2385" s="7"/>
      <c r="H2385" s="28"/>
      <c r="I2385" s="28"/>
      <c r="J2385" s="28"/>
      <c r="K2385" s="28"/>
    </row>
    <row r="2386" spans="2:11" x14ac:dyDescent="0.25">
      <c r="B2386" s="25"/>
      <c r="C2386" s="8"/>
      <c r="D2386" s="7"/>
      <c r="E2386" s="27"/>
      <c r="F2386" s="27"/>
      <c r="G2386" s="7"/>
      <c r="H2386" s="28"/>
      <c r="I2386" s="28"/>
      <c r="J2386" s="28"/>
      <c r="K2386" s="28"/>
    </row>
    <row r="2387" spans="2:11" x14ac:dyDescent="0.25">
      <c r="B2387" s="25"/>
      <c r="C2387" s="8"/>
      <c r="D2387" s="7"/>
      <c r="E2387" s="27"/>
      <c r="F2387" s="27"/>
      <c r="G2387" s="7"/>
      <c r="H2387" s="28"/>
      <c r="I2387" s="28"/>
      <c r="J2387" s="28"/>
      <c r="K2387" s="28"/>
    </row>
    <row r="2388" spans="2:11" x14ac:dyDescent="0.25">
      <c r="B2388" s="25"/>
      <c r="C2388" s="8"/>
      <c r="D2388" s="7"/>
      <c r="E2388" s="27"/>
      <c r="F2388" s="27"/>
      <c r="G2388" s="7"/>
      <c r="H2388" s="28"/>
      <c r="I2388" s="28"/>
      <c r="J2388" s="28"/>
      <c r="K2388" s="28"/>
    </row>
    <row r="2389" spans="2:11" x14ac:dyDescent="0.25">
      <c r="B2389" s="25"/>
      <c r="C2389" s="8"/>
      <c r="D2389" s="7"/>
      <c r="E2389" s="27"/>
      <c r="F2389" s="27"/>
      <c r="G2389" s="7"/>
      <c r="H2389" s="28"/>
      <c r="I2389" s="28"/>
      <c r="J2389" s="28"/>
      <c r="K2389" s="28"/>
    </row>
    <row r="2390" spans="2:11" x14ac:dyDescent="0.25">
      <c r="B2390" s="25"/>
      <c r="C2390" s="8"/>
      <c r="D2390" s="7"/>
      <c r="E2390" s="27"/>
      <c r="F2390" s="27"/>
      <c r="G2390" s="7"/>
      <c r="H2390" s="28"/>
      <c r="I2390" s="28"/>
      <c r="J2390" s="28"/>
      <c r="K2390" s="28"/>
    </row>
    <row r="2391" spans="2:11" x14ac:dyDescent="0.25">
      <c r="B2391" s="25"/>
      <c r="C2391" s="8"/>
      <c r="D2391" s="7"/>
      <c r="E2391" s="27"/>
      <c r="F2391" s="27"/>
      <c r="G2391" s="7"/>
      <c r="H2391" s="28"/>
      <c r="I2391" s="28"/>
      <c r="J2391" s="28"/>
      <c r="K2391" s="28"/>
    </row>
    <row r="2392" spans="2:11" x14ac:dyDescent="0.25">
      <c r="B2392" s="25"/>
      <c r="C2392" s="8"/>
      <c r="D2392" s="7"/>
      <c r="E2392" s="27"/>
      <c r="F2392" s="27"/>
      <c r="G2392" s="7"/>
      <c r="H2392" s="28"/>
      <c r="I2392" s="28"/>
      <c r="J2392" s="28"/>
      <c r="K2392" s="28"/>
    </row>
    <row r="2393" spans="2:11" x14ac:dyDescent="0.25">
      <c r="B2393" s="25"/>
      <c r="C2393" s="8"/>
      <c r="D2393" s="7"/>
      <c r="E2393" s="27"/>
      <c r="F2393" s="27"/>
      <c r="G2393" s="7"/>
      <c r="H2393" s="28"/>
      <c r="I2393" s="28"/>
      <c r="J2393" s="28"/>
      <c r="K2393" s="28"/>
    </row>
    <row r="2394" spans="2:11" x14ac:dyDescent="0.25">
      <c r="B2394" s="25"/>
      <c r="C2394" s="8"/>
      <c r="D2394" s="7"/>
      <c r="E2394" s="27"/>
      <c r="F2394" s="27"/>
      <c r="G2394" s="7"/>
      <c r="H2394" s="28"/>
      <c r="I2394" s="28"/>
      <c r="J2394" s="28"/>
      <c r="K2394" s="28"/>
    </row>
    <row r="2395" spans="2:11" x14ac:dyDescent="0.25">
      <c r="B2395" s="25"/>
      <c r="C2395" s="8"/>
      <c r="D2395" s="7"/>
      <c r="E2395" s="27"/>
      <c r="F2395" s="27"/>
      <c r="G2395" s="7"/>
      <c r="H2395" s="28"/>
      <c r="I2395" s="28"/>
      <c r="J2395" s="28"/>
      <c r="K2395" s="28"/>
    </row>
    <row r="2396" spans="2:11" x14ac:dyDescent="0.25">
      <c r="B2396" s="25"/>
      <c r="C2396" s="8"/>
      <c r="D2396" s="7"/>
      <c r="E2396" s="27"/>
      <c r="F2396" s="27"/>
      <c r="G2396" s="7"/>
      <c r="H2396" s="28"/>
      <c r="I2396" s="28"/>
      <c r="J2396" s="28"/>
      <c r="K2396" s="28"/>
    </row>
    <row r="2397" spans="2:11" x14ac:dyDescent="0.25">
      <c r="B2397" s="25"/>
      <c r="C2397" s="8"/>
      <c r="D2397" s="7"/>
      <c r="E2397" s="27"/>
      <c r="F2397" s="27"/>
      <c r="G2397" s="7"/>
      <c r="H2397" s="28"/>
      <c r="I2397" s="28"/>
      <c r="J2397" s="28"/>
      <c r="K2397" s="28"/>
    </row>
    <row r="2398" spans="2:11" x14ac:dyDescent="0.25">
      <c r="B2398" s="25"/>
      <c r="C2398" s="8"/>
      <c r="D2398" s="7"/>
      <c r="E2398" s="27"/>
      <c r="F2398" s="27"/>
      <c r="G2398" s="7"/>
      <c r="H2398" s="28"/>
      <c r="I2398" s="28"/>
      <c r="J2398" s="28"/>
      <c r="K2398" s="28"/>
    </row>
    <row r="2399" spans="2:11" x14ac:dyDescent="0.25">
      <c r="B2399" s="25"/>
      <c r="C2399" s="8"/>
      <c r="D2399" s="7"/>
      <c r="E2399" s="27"/>
      <c r="F2399" s="27"/>
      <c r="G2399" s="7"/>
      <c r="H2399" s="28"/>
      <c r="I2399" s="28"/>
      <c r="J2399" s="28"/>
      <c r="K2399" s="28"/>
    </row>
    <row r="2400" spans="2:11" x14ac:dyDescent="0.25">
      <c r="B2400" s="25"/>
      <c r="C2400" s="8"/>
      <c r="D2400" s="7"/>
      <c r="E2400" s="27"/>
      <c r="F2400" s="27"/>
      <c r="G2400" s="7"/>
      <c r="H2400" s="28"/>
      <c r="I2400" s="28"/>
      <c r="J2400" s="28"/>
      <c r="K2400" s="28"/>
    </row>
    <row r="2401" spans="2:11" x14ac:dyDescent="0.25">
      <c r="B2401" s="25"/>
      <c r="C2401" s="8"/>
      <c r="D2401" s="7"/>
      <c r="E2401" s="27"/>
      <c r="F2401" s="27"/>
      <c r="G2401" s="7"/>
      <c r="H2401" s="28"/>
      <c r="I2401" s="28"/>
      <c r="J2401" s="28"/>
      <c r="K2401" s="28"/>
    </row>
    <row r="2402" spans="2:11" x14ac:dyDescent="0.25">
      <c r="B2402" s="25"/>
      <c r="C2402" s="8"/>
      <c r="D2402" s="7"/>
      <c r="E2402" s="27"/>
      <c r="F2402" s="27"/>
      <c r="G2402" s="7"/>
      <c r="H2402" s="28"/>
      <c r="I2402" s="28"/>
      <c r="J2402" s="28"/>
      <c r="K2402" s="28"/>
    </row>
    <row r="2403" spans="2:11" x14ac:dyDescent="0.25">
      <c r="B2403" s="25"/>
      <c r="C2403" s="8"/>
      <c r="D2403" s="7"/>
      <c r="E2403" s="27"/>
      <c r="F2403" s="27"/>
      <c r="G2403" s="7"/>
      <c r="H2403" s="28"/>
      <c r="I2403" s="28"/>
      <c r="J2403" s="28"/>
      <c r="K2403" s="28"/>
    </row>
    <row r="2404" spans="2:11" x14ac:dyDescent="0.25">
      <c r="B2404" s="25"/>
      <c r="C2404" s="8"/>
      <c r="D2404" s="7"/>
      <c r="E2404" s="27"/>
      <c r="F2404" s="27"/>
      <c r="G2404" s="7"/>
      <c r="H2404" s="28"/>
      <c r="I2404" s="28"/>
      <c r="J2404" s="28"/>
      <c r="K2404" s="28"/>
    </row>
    <row r="2405" spans="2:11" x14ac:dyDescent="0.25">
      <c r="B2405" s="25"/>
      <c r="C2405" s="8"/>
      <c r="D2405" s="7"/>
      <c r="E2405" s="27"/>
      <c r="F2405" s="27"/>
      <c r="G2405" s="7"/>
      <c r="H2405" s="28"/>
      <c r="I2405" s="28"/>
      <c r="J2405" s="28"/>
      <c r="K2405" s="28"/>
    </row>
    <row r="2406" spans="2:11" x14ac:dyDescent="0.25">
      <c r="B2406" s="25"/>
      <c r="C2406" s="8"/>
      <c r="D2406" s="7"/>
      <c r="E2406" s="27"/>
      <c r="F2406" s="27"/>
      <c r="G2406" s="7"/>
      <c r="H2406" s="28"/>
      <c r="I2406" s="28"/>
      <c r="J2406" s="28"/>
      <c r="K2406" s="28"/>
    </row>
    <row r="2407" spans="2:11" x14ac:dyDescent="0.25">
      <c r="B2407" s="25"/>
      <c r="C2407" s="8"/>
      <c r="D2407" s="7"/>
      <c r="E2407" s="27"/>
      <c r="F2407" s="27"/>
      <c r="G2407" s="7"/>
      <c r="H2407" s="28"/>
      <c r="I2407" s="28"/>
      <c r="J2407" s="28"/>
      <c r="K2407" s="28"/>
    </row>
    <row r="2408" spans="2:11" x14ac:dyDescent="0.25">
      <c r="B2408" s="25"/>
      <c r="C2408" s="8"/>
      <c r="D2408" s="7"/>
      <c r="E2408" s="27"/>
      <c r="F2408" s="27"/>
      <c r="G2408" s="7"/>
      <c r="H2408" s="28"/>
      <c r="I2408" s="28"/>
      <c r="J2408" s="28"/>
      <c r="K2408" s="28"/>
    </row>
    <row r="2409" spans="2:11" x14ac:dyDescent="0.25">
      <c r="B2409" s="25"/>
      <c r="C2409" s="8"/>
      <c r="D2409" s="7"/>
      <c r="E2409" s="27"/>
      <c r="F2409" s="27"/>
      <c r="G2409" s="7"/>
      <c r="H2409" s="28"/>
      <c r="I2409" s="28"/>
      <c r="J2409" s="28"/>
      <c r="K2409" s="28"/>
    </row>
    <row r="2410" spans="2:11" x14ac:dyDescent="0.25">
      <c r="B2410" s="25"/>
      <c r="C2410" s="8"/>
      <c r="D2410" s="7"/>
      <c r="E2410" s="27"/>
      <c r="F2410" s="27"/>
      <c r="G2410" s="7"/>
      <c r="H2410" s="28"/>
      <c r="I2410" s="28"/>
      <c r="J2410" s="28"/>
      <c r="K2410" s="28"/>
    </row>
    <row r="2411" spans="2:11" x14ac:dyDescent="0.25">
      <c r="B2411" s="25"/>
      <c r="C2411" s="8"/>
      <c r="D2411" s="7"/>
      <c r="E2411" s="27"/>
      <c r="F2411" s="27"/>
      <c r="G2411" s="7"/>
      <c r="H2411" s="28"/>
      <c r="I2411" s="28"/>
      <c r="J2411" s="28"/>
      <c r="K2411" s="28"/>
    </row>
    <row r="2412" spans="2:11" x14ac:dyDescent="0.25">
      <c r="B2412" s="25"/>
      <c r="C2412" s="8"/>
      <c r="D2412" s="7"/>
      <c r="E2412" s="27"/>
      <c r="F2412" s="27"/>
      <c r="G2412" s="7"/>
      <c r="H2412" s="28"/>
      <c r="I2412" s="28"/>
      <c r="J2412" s="28"/>
      <c r="K2412" s="28"/>
    </row>
    <row r="2413" spans="2:11" x14ac:dyDescent="0.25">
      <c r="B2413" s="25"/>
      <c r="C2413" s="8"/>
      <c r="D2413" s="7"/>
      <c r="E2413" s="27"/>
      <c r="F2413" s="27"/>
      <c r="G2413" s="7"/>
      <c r="H2413" s="28"/>
      <c r="I2413" s="28"/>
      <c r="J2413" s="28"/>
      <c r="K2413" s="28"/>
    </row>
    <row r="2414" spans="2:11" x14ac:dyDescent="0.25">
      <c r="B2414" s="25"/>
      <c r="C2414" s="8"/>
      <c r="D2414" s="7"/>
      <c r="E2414" s="27"/>
      <c r="F2414" s="27"/>
      <c r="G2414" s="7"/>
      <c r="H2414" s="28"/>
      <c r="I2414" s="28"/>
      <c r="J2414" s="28"/>
      <c r="K2414" s="28"/>
    </row>
    <row r="2415" spans="2:11" x14ac:dyDescent="0.25">
      <c r="B2415" s="25"/>
      <c r="C2415" s="8"/>
      <c r="D2415" s="7"/>
      <c r="E2415" s="27"/>
      <c r="F2415" s="27"/>
      <c r="G2415" s="7"/>
      <c r="H2415" s="28"/>
      <c r="I2415" s="28"/>
      <c r="J2415" s="28"/>
      <c r="K2415" s="28"/>
    </row>
    <row r="2416" spans="2:11" x14ac:dyDescent="0.25">
      <c r="B2416" s="25"/>
      <c r="C2416" s="8"/>
      <c r="D2416" s="7"/>
      <c r="E2416" s="27"/>
      <c r="F2416" s="27"/>
      <c r="G2416" s="7"/>
      <c r="H2416" s="28"/>
      <c r="I2416" s="28"/>
      <c r="J2416" s="28"/>
      <c r="K2416" s="28"/>
    </row>
    <row r="2417" spans="2:11" x14ac:dyDescent="0.25">
      <c r="B2417" s="25"/>
      <c r="C2417" s="8"/>
      <c r="D2417" s="7"/>
      <c r="E2417" s="27"/>
      <c r="F2417" s="27"/>
      <c r="G2417" s="7"/>
      <c r="H2417" s="28"/>
      <c r="I2417" s="28"/>
      <c r="J2417" s="28"/>
      <c r="K2417" s="28"/>
    </row>
    <row r="2418" spans="2:11" x14ac:dyDescent="0.25">
      <c r="B2418" s="25"/>
      <c r="C2418" s="8"/>
      <c r="D2418" s="7"/>
      <c r="E2418" s="27"/>
      <c r="F2418" s="27"/>
      <c r="G2418" s="7"/>
      <c r="H2418" s="28"/>
      <c r="I2418" s="28"/>
      <c r="J2418" s="28"/>
      <c r="K2418" s="28"/>
    </row>
    <row r="2419" spans="2:11" x14ac:dyDescent="0.25">
      <c r="B2419" s="25"/>
      <c r="C2419" s="8"/>
      <c r="D2419" s="7"/>
      <c r="E2419" s="27"/>
      <c r="F2419" s="27"/>
      <c r="G2419" s="7"/>
      <c r="H2419" s="28"/>
      <c r="I2419" s="28"/>
      <c r="J2419" s="28"/>
      <c r="K2419" s="28"/>
    </row>
    <row r="2420" spans="2:11" x14ac:dyDescent="0.25">
      <c r="B2420" s="25"/>
      <c r="C2420" s="8"/>
      <c r="D2420" s="7"/>
      <c r="E2420" s="27"/>
      <c r="F2420" s="27"/>
      <c r="G2420" s="7"/>
      <c r="H2420" s="28"/>
      <c r="I2420" s="28"/>
      <c r="J2420" s="28"/>
      <c r="K2420" s="28"/>
    </row>
    <row r="2421" spans="2:11" x14ac:dyDescent="0.25">
      <c r="B2421" s="25"/>
      <c r="C2421" s="8"/>
      <c r="D2421" s="7"/>
      <c r="E2421" s="27"/>
      <c r="F2421" s="27"/>
      <c r="G2421" s="7"/>
      <c r="H2421" s="28"/>
      <c r="I2421" s="28"/>
      <c r="J2421" s="28"/>
      <c r="K2421" s="28"/>
    </row>
    <row r="2422" spans="2:11" x14ac:dyDescent="0.25">
      <c r="B2422" s="25"/>
      <c r="C2422" s="8"/>
      <c r="D2422" s="7"/>
      <c r="E2422" s="27"/>
      <c r="F2422" s="27"/>
      <c r="G2422" s="7"/>
      <c r="H2422" s="28"/>
      <c r="I2422" s="28"/>
      <c r="J2422" s="28"/>
      <c r="K2422" s="28"/>
    </row>
    <row r="2423" spans="2:11" x14ac:dyDescent="0.25">
      <c r="B2423" s="25"/>
      <c r="C2423" s="8"/>
      <c r="D2423" s="7"/>
      <c r="E2423" s="27"/>
      <c r="F2423" s="27"/>
      <c r="G2423" s="7"/>
      <c r="H2423" s="28"/>
      <c r="I2423" s="28"/>
      <c r="J2423" s="28"/>
      <c r="K2423" s="28"/>
    </row>
    <row r="2424" spans="2:11" x14ac:dyDescent="0.25">
      <c r="B2424" s="25"/>
      <c r="C2424" s="8"/>
      <c r="D2424" s="7"/>
      <c r="E2424" s="27"/>
      <c r="F2424" s="27"/>
      <c r="G2424" s="7"/>
      <c r="H2424" s="28"/>
      <c r="I2424" s="28"/>
      <c r="J2424" s="28"/>
      <c r="K2424" s="28"/>
    </row>
    <row r="2425" spans="2:11" x14ac:dyDescent="0.25">
      <c r="B2425" s="25"/>
      <c r="C2425" s="8"/>
      <c r="D2425" s="7"/>
      <c r="E2425" s="27"/>
      <c r="F2425" s="27"/>
      <c r="G2425" s="7"/>
      <c r="H2425" s="28"/>
      <c r="I2425" s="28"/>
      <c r="J2425" s="28"/>
      <c r="K2425" s="28"/>
    </row>
    <row r="2426" spans="2:11" x14ac:dyDescent="0.25">
      <c r="B2426" s="25"/>
      <c r="C2426" s="8"/>
      <c r="D2426" s="7"/>
      <c r="E2426" s="27"/>
      <c r="F2426" s="27"/>
      <c r="G2426" s="7"/>
      <c r="H2426" s="28"/>
      <c r="I2426" s="28"/>
      <c r="J2426" s="28"/>
      <c r="K2426" s="28"/>
    </row>
    <row r="2427" spans="2:11" x14ac:dyDescent="0.25">
      <c r="B2427" s="25"/>
      <c r="C2427" s="8"/>
      <c r="D2427" s="7"/>
      <c r="E2427" s="27"/>
      <c r="F2427" s="27"/>
      <c r="G2427" s="7"/>
      <c r="H2427" s="28"/>
      <c r="I2427" s="28"/>
      <c r="J2427" s="28"/>
      <c r="K2427" s="28"/>
    </row>
    <row r="2428" spans="2:11" x14ac:dyDescent="0.25">
      <c r="B2428" s="25"/>
      <c r="C2428" s="8"/>
      <c r="D2428" s="7"/>
      <c r="E2428" s="27"/>
      <c r="F2428" s="27"/>
      <c r="G2428" s="7"/>
      <c r="H2428" s="28"/>
      <c r="I2428" s="28"/>
      <c r="J2428" s="28"/>
      <c r="K2428" s="28"/>
    </row>
    <row r="2429" spans="2:11" x14ac:dyDescent="0.25">
      <c r="B2429" s="25"/>
      <c r="C2429" s="8"/>
      <c r="D2429" s="7"/>
      <c r="E2429" s="27"/>
      <c r="F2429" s="27"/>
      <c r="G2429" s="7"/>
      <c r="H2429" s="28"/>
      <c r="I2429" s="28"/>
      <c r="J2429" s="28"/>
      <c r="K2429" s="28"/>
    </row>
    <row r="2430" spans="2:11" x14ac:dyDescent="0.25">
      <c r="B2430" s="25"/>
      <c r="C2430" s="8"/>
      <c r="D2430" s="7"/>
      <c r="E2430" s="27"/>
      <c r="F2430" s="27"/>
      <c r="G2430" s="7"/>
      <c r="H2430" s="28"/>
      <c r="I2430" s="28"/>
      <c r="J2430" s="28"/>
      <c r="K2430" s="28"/>
    </row>
    <row r="2431" spans="2:11" x14ac:dyDescent="0.25">
      <c r="B2431" s="25"/>
      <c r="C2431" s="8"/>
      <c r="D2431" s="7"/>
      <c r="E2431" s="27"/>
      <c r="F2431" s="27"/>
      <c r="G2431" s="7"/>
      <c r="H2431" s="28"/>
      <c r="I2431" s="28"/>
      <c r="J2431" s="28"/>
      <c r="K2431" s="28"/>
    </row>
    <row r="2432" spans="2:11" x14ac:dyDescent="0.25">
      <c r="B2432" s="25"/>
      <c r="C2432" s="8"/>
      <c r="D2432" s="7"/>
      <c r="E2432" s="27"/>
      <c r="F2432" s="27"/>
      <c r="G2432" s="7"/>
      <c r="H2432" s="28"/>
      <c r="I2432" s="28"/>
      <c r="J2432" s="28"/>
      <c r="K2432" s="28"/>
    </row>
    <row r="2433" spans="2:11" x14ac:dyDescent="0.25">
      <c r="B2433" s="25"/>
      <c r="C2433" s="8"/>
      <c r="D2433" s="7"/>
      <c r="E2433" s="27"/>
      <c r="F2433" s="27"/>
      <c r="G2433" s="7"/>
      <c r="H2433" s="28"/>
      <c r="I2433" s="28"/>
      <c r="J2433" s="28"/>
      <c r="K2433" s="28"/>
    </row>
    <row r="2434" spans="2:11" x14ac:dyDescent="0.25">
      <c r="B2434" s="25"/>
      <c r="C2434" s="8"/>
      <c r="D2434" s="7"/>
      <c r="E2434" s="27"/>
      <c r="F2434" s="27"/>
      <c r="G2434" s="7"/>
      <c r="H2434" s="28"/>
      <c r="I2434" s="28"/>
      <c r="J2434" s="28"/>
      <c r="K2434" s="28"/>
    </row>
    <row r="2435" spans="2:11" x14ac:dyDescent="0.25">
      <c r="B2435" s="25"/>
      <c r="C2435" s="8"/>
      <c r="D2435" s="7"/>
      <c r="E2435" s="27"/>
      <c r="F2435" s="27"/>
      <c r="G2435" s="7"/>
      <c r="H2435" s="28"/>
      <c r="I2435" s="28"/>
      <c r="J2435" s="28"/>
      <c r="K2435" s="28"/>
    </row>
    <row r="2436" spans="2:11" x14ac:dyDescent="0.25">
      <c r="B2436" s="25"/>
      <c r="C2436" s="8"/>
      <c r="D2436" s="7"/>
      <c r="E2436" s="27"/>
      <c r="F2436" s="27"/>
      <c r="G2436" s="7"/>
      <c r="H2436" s="28"/>
      <c r="I2436" s="28"/>
      <c r="J2436" s="28"/>
      <c r="K2436" s="28"/>
    </row>
    <row r="2437" spans="2:11" x14ac:dyDescent="0.25">
      <c r="B2437" s="25"/>
      <c r="C2437" s="8"/>
      <c r="D2437" s="7"/>
      <c r="E2437" s="27"/>
      <c r="F2437" s="27"/>
      <c r="G2437" s="7"/>
      <c r="H2437" s="28"/>
      <c r="I2437" s="28"/>
      <c r="J2437" s="28"/>
      <c r="K2437" s="28"/>
    </row>
    <row r="2438" spans="2:11" x14ac:dyDescent="0.25">
      <c r="B2438" s="25"/>
      <c r="C2438" s="8"/>
      <c r="D2438" s="7"/>
      <c r="E2438" s="27"/>
      <c r="F2438" s="27"/>
      <c r="G2438" s="7"/>
      <c r="H2438" s="28"/>
      <c r="I2438" s="28"/>
      <c r="J2438" s="28"/>
      <c r="K2438" s="28"/>
    </row>
    <row r="2439" spans="2:11" x14ac:dyDescent="0.25">
      <c r="B2439" s="25"/>
      <c r="C2439" s="8"/>
      <c r="D2439" s="7"/>
      <c r="E2439" s="27"/>
      <c r="F2439" s="27"/>
      <c r="G2439" s="7"/>
      <c r="H2439" s="28"/>
      <c r="I2439" s="28"/>
      <c r="J2439" s="28"/>
      <c r="K2439" s="28"/>
    </row>
    <row r="2440" spans="2:11" x14ac:dyDescent="0.25">
      <c r="B2440" s="25"/>
      <c r="C2440" s="8"/>
      <c r="D2440" s="7"/>
      <c r="E2440" s="27"/>
      <c r="F2440" s="27"/>
      <c r="G2440" s="7"/>
      <c r="H2440" s="28"/>
      <c r="I2440" s="28"/>
      <c r="J2440" s="28"/>
      <c r="K2440" s="28"/>
    </row>
    <row r="2441" spans="2:11" x14ac:dyDescent="0.25">
      <c r="B2441" s="25"/>
      <c r="C2441" s="8"/>
      <c r="D2441" s="7"/>
      <c r="E2441" s="27"/>
      <c r="F2441" s="27"/>
      <c r="G2441" s="7"/>
      <c r="H2441" s="28"/>
      <c r="I2441" s="28"/>
      <c r="J2441" s="28"/>
      <c r="K2441" s="28"/>
    </row>
    <row r="2442" spans="2:11" x14ac:dyDescent="0.25">
      <c r="B2442" s="25"/>
      <c r="C2442" s="8"/>
      <c r="D2442" s="7"/>
      <c r="E2442" s="27"/>
      <c r="F2442" s="27"/>
      <c r="G2442" s="7"/>
      <c r="H2442" s="28"/>
      <c r="I2442" s="28"/>
      <c r="J2442" s="28"/>
      <c r="K2442" s="28"/>
    </row>
    <row r="2443" spans="2:11" x14ac:dyDescent="0.25">
      <c r="B2443" s="25"/>
      <c r="C2443" s="8"/>
      <c r="D2443" s="7"/>
      <c r="E2443" s="27"/>
      <c r="F2443" s="27"/>
      <c r="G2443" s="7"/>
      <c r="H2443" s="28"/>
      <c r="I2443" s="28"/>
      <c r="J2443" s="28"/>
      <c r="K2443" s="28"/>
    </row>
    <row r="2444" spans="2:11" x14ac:dyDescent="0.25">
      <c r="B2444" s="25"/>
      <c r="C2444" s="8"/>
      <c r="D2444" s="7"/>
      <c r="E2444" s="27"/>
      <c r="F2444" s="27"/>
      <c r="G2444" s="7"/>
      <c r="H2444" s="28"/>
      <c r="I2444" s="28"/>
      <c r="J2444" s="28"/>
      <c r="K2444" s="28"/>
    </row>
    <row r="2445" spans="2:11" x14ac:dyDescent="0.25">
      <c r="B2445" s="25"/>
      <c r="C2445" s="8"/>
      <c r="D2445" s="7"/>
      <c r="E2445" s="27"/>
      <c r="F2445" s="27"/>
      <c r="G2445" s="7"/>
      <c r="H2445" s="28"/>
      <c r="I2445" s="28"/>
      <c r="J2445" s="28"/>
      <c r="K2445" s="28"/>
    </row>
    <row r="2446" spans="2:11" x14ac:dyDescent="0.25">
      <c r="B2446" s="25"/>
      <c r="C2446" s="8"/>
      <c r="D2446" s="7"/>
      <c r="E2446" s="27"/>
      <c r="F2446" s="27"/>
      <c r="G2446" s="7"/>
      <c r="H2446" s="28"/>
      <c r="I2446" s="28"/>
      <c r="J2446" s="28"/>
      <c r="K2446" s="28"/>
    </row>
    <row r="2447" spans="2:11" x14ac:dyDescent="0.25">
      <c r="B2447" s="25"/>
      <c r="C2447" s="8"/>
      <c r="D2447" s="7"/>
      <c r="E2447" s="27"/>
      <c r="F2447" s="27"/>
      <c r="G2447" s="7"/>
      <c r="H2447" s="28"/>
      <c r="I2447" s="28"/>
      <c r="J2447" s="28"/>
      <c r="K2447" s="28"/>
    </row>
    <row r="2448" spans="2:11" x14ac:dyDescent="0.25">
      <c r="B2448" s="25"/>
      <c r="C2448" s="8"/>
      <c r="D2448" s="7"/>
      <c r="E2448" s="27"/>
      <c r="F2448" s="27"/>
      <c r="G2448" s="7"/>
      <c r="H2448" s="28"/>
      <c r="I2448" s="28"/>
      <c r="J2448" s="28"/>
      <c r="K2448" s="28"/>
    </row>
    <row r="2449" spans="2:11" x14ac:dyDescent="0.25">
      <c r="B2449" s="25"/>
      <c r="C2449" s="8"/>
      <c r="D2449" s="7"/>
      <c r="E2449" s="27"/>
      <c r="F2449" s="27"/>
      <c r="G2449" s="7"/>
      <c r="H2449" s="28"/>
      <c r="I2449" s="28"/>
      <c r="J2449" s="28"/>
      <c r="K2449" s="28"/>
    </row>
    <row r="2450" spans="2:11" x14ac:dyDescent="0.25">
      <c r="B2450" s="25"/>
      <c r="C2450" s="8"/>
      <c r="D2450" s="7"/>
      <c r="E2450" s="27"/>
      <c r="F2450" s="27"/>
      <c r="G2450" s="7"/>
      <c r="H2450" s="28"/>
      <c r="I2450" s="28"/>
      <c r="J2450" s="28"/>
      <c r="K2450" s="28"/>
    </row>
    <row r="2451" spans="2:11" x14ac:dyDescent="0.25">
      <c r="B2451" s="25"/>
      <c r="C2451" s="8"/>
      <c r="D2451" s="7"/>
      <c r="E2451" s="27"/>
      <c r="F2451" s="27"/>
      <c r="G2451" s="7"/>
      <c r="H2451" s="28"/>
      <c r="I2451" s="28"/>
      <c r="J2451" s="28"/>
      <c r="K2451" s="28"/>
    </row>
    <row r="2452" spans="2:11" x14ac:dyDescent="0.25">
      <c r="B2452" s="25"/>
      <c r="C2452" s="8"/>
      <c r="D2452" s="7"/>
      <c r="E2452" s="27"/>
      <c r="F2452" s="27"/>
      <c r="G2452" s="7"/>
      <c r="H2452" s="28"/>
      <c r="I2452" s="28"/>
      <c r="J2452" s="28"/>
      <c r="K2452" s="28"/>
    </row>
    <row r="2453" spans="2:11" x14ac:dyDescent="0.25">
      <c r="B2453" s="25"/>
      <c r="C2453" s="8"/>
      <c r="D2453" s="7"/>
      <c r="E2453" s="27"/>
      <c r="F2453" s="27"/>
      <c r="G2453" s="7"/>
      <c r="H2453" s="28"/>
      <c r="I2453" s="28"/>
      <c r="J2453" s="28"/>
      <c r="K2453" s="28"/>
    </row>
    <row r="2454" spans="2:11" x14ac:dyDescent="0.25">
      <c r="B2454" s="25"/>
      <c r="C2454" s="8"/>
      <c r="D2454" s="7"/>
      <c r="E2454" s="27"/>
      <c r="F2454" s="27"/>
      <c r="G2454" s="7"/>
      <c r="H2454" s="28"/>
      <c r="I2454" s="28"/>
      <c r="J2454" s="28"/>
      <c r="K2454" s="28"/>
    </row>
    <row r="2455" spans="2:11" x14ac:dyDescent="0.25">
      <c r="B2455" s="25"/>
      <c r="C2455" s="8"/>
      <c r="D2455" s="7"/>
      <c r="E2455" s="27"/>
      <c r="F2455" s="27"/>
      <c r="G2455" s="7"/>
      <c r="H2455" s="28"/>
      <c r="I2455" s="28"/>
      <c r="J2455" s="28"/>
      <c r="K2455" s="28"/>
    </row>
    <row r="2456" spans="2:11" x14ac:dyDescent="0.25">
      <c r="B2456" s="25"/>
      <c r="C2456" s="8"/>
      <c r="D2456" s="7"/>
      <c r="E2456" s="27"/>
      <c r="F2456" s="27"/>
      <c r="G2456" s="7"/>
      <c r="H2456" s="28"/>
      <c r="I2456" s="28"/>
      <c r="J2456" s="28"/>
      <c r="K2456" s="28"/>
    </row>
    <row r="2457" spans="2:11" x14ac:dyDescent="0.25">
      <c r="B2457" s="25"/>
      <c r="C2457" s="8"/>
      <c r="D2457" s="7"/>
      <c r="E2457" s="27"/>
      <c r="F2457" s="27"/>
      <c r="G2457" s="7"/>
      <c r="H2457" s="28"/>
      <c r="I2457" s="28"/>
      <c r="J2457" s="28"/>
      <c r="K2457" s="28"/>
    </row>
    <row r="2458" spans="2:11" x14ac:dyDescent="0.25">
      <c r="B2458" s="25"/>
      <c r="C2458" s="8"/>
      <c r="D2458" s="7"/>
      <c r="E2458" s="27"/>
      <c r="F2458" s="27"/>
      <c r="G2458" s="7"/>
      <c r="H2458" s="28"/>
      <c r="I2458" s="28"/>
      <c r="J2458" s="28"/>
      <c r="K2458" s="28"/>
    </row>
    <row r="2459" spans="2:11" x14ac:dyDescent="0.25">
      <c r="B2459" s="25"/>
      <c r="C2459" s="8"/>
      <c r="D2459" s="7"/>
      <c r="E2459" s="27"/>
      <c r="F2459" s="27"/>
      <c r="G2459" s="7"/>
      <c r="H2459" s="28"/>
      <c r="I2459" s="28"/>
      <c r="J2459" s="28"/>
      <c r="K2459" s="28"/>
    </row>
    <row r="2460" spans="2:11" x14ac:dyDescent="0.25">
      <c r="B2460" s="25"/>
      <c r="C2460" s="8"/>
      <c r="D2460" s="7"/>
      <c r="E2460" s="27"/>
      <c r="F2460" s="27"/>
      <c r="G2460" s="7"/>
      <c r="H2460" s="28"/>
      <c r="I2460" s="28"/>
      <c r="J2460" s="28"/>
      <c r="K2460" s="28"/>
    </row>
    <row r="2461" spans="2:11" x14ac:dyDescent="0.25">
      <c r="B2461" s="25"/>
      <c r="C2461" s="8"/>
      <c r="D2461" s="7"/>
      <c r="E2461" s="27"/>
      <c r="F2461" s="27"/>
      <c r="G2461" s="7"/>
      <c r="H2461" s="28"/>
      <c r="I2461" s="28"/>
      <c r="J2461" s="28"/>
      <c r="K2461" s="28"/>
    </row>
    <row r="2462" spans="2:11" x14ac:dyDescent="0.25">
      <c r="B2462" s="25"/>
      <c r="C2462" s="8"/>
      <c r="D2462" s="7"/>
      <c r="E2462" s="27"/>
      <c r="F2462" s="27"/>
      <c r="G2462" s="7"/>
      <c r="H2462" s="28"/>
      <c r="I2462" s="28"/>
      <c r="J2462" s="28"/>
      <c r="K2462" s="28"/>
    </row>
    <row r="2463" spans="2:11" x14ac:dyDescent="0.25">
      <c r="B2463" s="25"/>
      <c r="C2463" s="8"/>
      <c r="D2463" s="7"/>
      <c r="E2463" s="27"/>
      <c r="F2463" s="27"/>
      <c r="G2463" s="7"/>
      <c r="H2463" s="28"/>
      <c r="I2463" s="28"/>
      <c r="J2463" s="28"/>
      <c r="K2463" s="28"/>
    </row>
    <row r="2464" spans="2:11" x14ac:dyDescent="0.25">
      <c r="B2464" s="25"/>
      <c r="C2464" s="8"/>
      <c r="D2464" s="7"/>
      <c r="E2464" s="27"/>
      <c r="F2464" s="27"/>
      <c r="G2464" s="7"/>
      <c r="H2464" s="28"/>
      <c r="I2464" s="28"/>
      <c r="J2464" s="28"/>
      <c r="K2464" s="28"/>
    </row>
    <row r="2465" spans="2:11" x14ac:dyDescent="0.25">
      <c r="B2465" s="25"/>
      <c r="C2465" s="8"/>
      <c r="D2465" s="7"/>
      <c r="E2465" s="27"/>
      <c r="F2465" s="27"/>
      <c r="G2465" s="7"/>
      <c r="H2465" s="28"/>
      <c r="I2465" s="28"/>
      <c r="J2465" s="28"/>
      <c r="K2465" s="28"/>
    </row>
    <row r="2466" spans="2:11" x14ac:dyDescent="0.25">
      <c r="B2466" s="25"/>
      <c r="C2466" s="8"/>
      <c r="D2466" s="7"/>
      <c r="E2466" s="27"/>
      <c r="F2466" s="27"/>
      <c r="G2466" s="7"/>
      <c r="H2466" s="28"/>
      <c r="I2466" s="28"/>
      <c r="J2466" s="28"/>
      <c r="K2466" s="28"/>
    </row>
    <row r="2467" spans="2:11" x14ac:dyDescent="0.25">
      <c r="B2467" s="25"/>
      <c r="C2467" s="8"/>
      <c r="D2467" s="7"/>
      <c r="E2467" s="27"/>
      <c r="F2467" s="27"/>
      <c r="G2467" s="7"/>
      <c r="H2467" s="28"/>
      <c r="I2467" s="28"/>
      <c r="J2467" s="28"/>
      <c r="K2467" s="28"/>
    </row>
    <row r="2468" spans="2:11" x14ac:dyDescent="0.25">
      <c r="B2468" s="25"/>
      <c r="C2468" s="8"/>
      <c r="D2468" s="7"/>
      <c r="E2468" s="27"/>
      <c r="F2468" s="27"/>
      <c r="G2468" s="7"/>
      <c r="H2468" s="28"/>
      <c r="I2468" s="28"/>
      <c r="J2468" s="28"/>
      <c r="K2468" s="28"/>
    </row>
    <row r="2469" spans="2:11" x14ac:dyDescent="0.25">
      <c r="B2469" s="25"/>
      <c r="C2469" s="8"/>
      <c r="D2469" s="7"/>
      <c r="E2469" s="27"/>
      <c r="F2469" s="27"/>
      <c r="G2469" s="7"/>
      <c r="H2469" s="28"/>
      <c r="I2469" s="28"/>
      <c r="J2469" s="28"/>
      <c r="K2469" s="28"/>
    </row>
    <row r="2470" spans="2:11" x14ac:dyDescent="0.25">
      <c r="B2470" s="25"/>
      <c r="C2470" s="8"/>
      <c r="D2470" s="7"/>
      <c r="E2470" s="27"/>
      <c r="F2470" s="27"/>
      <c r="G2470" s="7"/>
      <c r="H2470" s="28"/>
      <c r="I2470" s="28"/>
      <c r="J2470" s="28"/>
      <c r="K2470" s="28"/>
    </row>
    <row r="2471" spans="2:11" x14ac:dyDescent="0.25">
      <c r="B2471" s="25"/>
      <c r="C2471" s="8"/>
      <c r="D2471" s="7"/>
      <c r="E2471" s="27"/>
      <c r="F2471" s="27"/>
      <c r="G2471" s="7"/>
      <c r="H2471" s="28"/>
      <c r="I2471" s="28"/>
      <c r="J2471" s="28"/>
      <c r="K2471" s="28"/>
    </row>
    <row r="2472" spans="2:11" x14ac:dyDescent="0.25">
      <c r="B2472" s="25"/>
      <c r="C2472" s="8"/>
      <c r="D2472" s="7"/>
      <c r="E2472" s="27"/>
      <c r="F2472" s="27"/>
      <c r="G2472" s="7"/>
      <c r="H2472" s="28"/>
      <c r="I2472" s="28"/>
      <c r="J2472" s="28"/>
      <c r="K2472" s="28"/>
    </row>
    <row r="2473" spans="2:11" x14ac:dyDescent="0.25">
      <c r="B2473" s="25"/>
      <c r="C2473" s="8"/>
      <c r="D2473" s="7"/>
      <c r="E2473" s="27"/>
      <c r="F2473" s="27"/>
      <c r="G2473" s="7"/>
      <c r="H2473" s="28"/>
      <c r="I2473" s="28"/>
      <c r="J2473" s="28"/>
      <c r="K2473" s="28"/>
    </row>
    <row r="2474" spans="2:11" x14ac:dyDescent="0.25">
      <c r="B2474" s="25"/>
      <c r="C2474" s="8"/>
      <c r="D2474" s="7"/>
      <c r="E2474" s="27"/>
      <c r="F2474" s="27"/>
      <c r="G2474" s="7"/>
      <c r="H2474" s="28"/>
      <c r="I2474" s="28"/>
      <c r="J2474" s="28"/>
      <c r="K2474" s="28"/>
    </row>
    <row r="2475" spans="2:11" x14ac:dyDescent="0.25">
      <c r="B2475" s="25"/>
      <c r="C2475" s="8"/>
      <c r="D2475" s="7"/>
      <c r="E2475" s="27"/>
      <c r="F2475" s="27"/>
      <c r="G2475" s="7"/>
      <c r="H2475" s="28"/>
      <c r="I2475" s="28"/>
      <c r="J2475" s="28"/>
      <c r="K2475" s="28"/>
    </row>
    <row r="2476" spans="2:11" x14ac:dyDescent="0.25">
      <c r="B2476" s="25"/>
      <c r="C2476" s="8"/>
      <c r="D2476" s="7"/>
      <c r="E2476" s="27"/>
      <c r="F2476" s="27"/>
      <c r="G2476" s="7"/>
      <c r="H2476" s="28"/>
      <c r="I2476" s="28"/>
      <c r="J2476" s="28"/>
      <c r="K2476" s="28"/>
    </row>
    <row r="2477" spans="2:11" x14ac:dyDescent="0.25">
      <c r="B2477" s="25"/>
      <c r="C2477" s="8"/>
      <c r="D2477" s="7"/>
      <c r="E2477" s="27"/>
      <c r="F2477" s="27"/>
      <c r="G2477" s="7"/>
      <c r="H2477" s="28"/>
      <c r="I2477" s="28"/>
      <c r="J2477" s="28"/>
      <c r="K2477" s="28"/>
    </row>
    <row r="2478" spans="2:11" x14ac:dyDescent="0.25">
      <c r="B2478" s="25"/>
      <c r="C2478" s="8"/>
      <c r="D2478" s="7"/>
      <c r="E2478" s="27"/>
      <c r="F2478" s="27"/>
      <c r="G2478" s="7"/>
      <c r="H2478" s="28"/>
      <c r="I2478" s="28"/>
      <c r="J2478" s="28"/>
      <c r="K2478" s="28"/>
    </row>
    <row r="2479" spans="2:11" x14ac:dyDescent="0.25">
      <c r="B2479" s="25"/>
      <c r="C2479" s="8"/>
      <c r="D2479" s="7"/>
      <c r="E2479" s="27"/>
      <c r="F2479" s="27"/>
      <c r="G2479" s="7"/>
      <c r="H2479" s="28"/>
      <c r="I2479" s="28"/>
      <c r="J2479" s="28"/>
      <c r="K2479" s="28"/>
    </row>
    <row r="2480" spans="2:11" x14ac:dyDescent="0.25">
      <c r="B2480" s="25"/>
      <c r="C2480" s="8"/>
      <c r="D2480" s="7"/>
      <c r="E2480" s="27"/>
      <c r="F2480" s="27"/>
      <c r="G2480" s="7"/>
      <c r="H2480" s="28"/>
      <c r="I2480" s="28"/>
      <c r="J2480" s="28"/>
      <c r="K2480" s="28"/>
    </row>
    <row r="2481" spans="2:11" x14ac:dyDescent="0.25">
      <c r="B2481" s="25"/>
      <c r="C2481" s="8"/>
      <c r="D2481" s="7"/>
      <c r="E2481" s="27"/>
      <c r="F2481" s="27"/>
      <c r="G2481" s="7"/>
      <c r="H2481" s="28"/>
      <c r="I2481" s="28"/>
      <c r="J2481" s="28"/>
      <c r="K2481" s="28"/>
    </row>
    <row r="2482" spans="2:11" x14ac:dyDescent="0.25">
      <c r="B2482" s="25"/>
      <c r="C2482" s="8"/>
      <c r="D2482" s="7"/>
      <c r="E2482" s="27"/>
      <c r="F2482" s="27"/>
      <c r="G2482" s="7"/>
      <c r="H2482" s="28"/>
      <c r="I2482" s="28"/>
      <c r="J2482" s="28"/>
      <c r="K2482" s="28"/>
    </row>
    <row r="2483" spans="2:11" x14ac:dyDescent="0.25">
      <c r="B2483" s="25"/>
      <c r="C2483" s="8"/>
      <c r="D2483" s="7"/>
      <c r="E2483" s="27"/>
      <c r="F2483" s="27"/>
      <c r="G2483" s="7"/>
      <c r="H2483" s="28"/>
      <c r="I2483" s="28"/>
      <c r="J2483" s="28"/>
      <c r="K2483" s="28"/>
    </row>
    <row r="2484" spans="2:11" x14ac:dyDescent="0.25">
      <c r="B2484" s="25"/>
      <c r="C2484" s="8"/>
      <c r="D2484" s="7"/>
      <c r="E2484" s="27"/>
      <c r="F2484" s="27"/>
      <c r="G2484" s="7"/>
      <c r="H2484" s="28"/>
      <c r="I2484" s="28"/>
      <c r="J2484" s="28"/>
      <c r="K2484" s="28"/>
    </row>
    <row r="2485" spans="2:11" x14ac:dyDescent="0.25">
      <c r="B2485" s="25"/>
      <c r="C2485" s="8"/>
      <c r="D2485" s="7"/>
      <c r="E2485" s="27"/>
      <c r="F2485" s="27"/>
      <c r="G2485" s="7"/>
      <c r="H2485" s="28"/>
      <c r="I2485" s="28"/>
      <c r="J2485" s="28"/>
      <c r="K2485" s="28"/>
    </row>
    <row r="2486" spans="2:11" x14ac:dyDescent="0.25">
      <c r="B2486" s="25"/>
      <c r="C2486" s="8"/>
      <c r="D2486" s="7"/>
      <c r="E2486" s="27"/>
      <c r="F2486" s="27"/>
      <c r="G2486" s="7"/>
      <c r="H2486" s="28"/>
      <c r="I2486" s="28"/>
      <c r="J2486" s="28"/>
      <c r="K2486" s="28"/>
    </row>
    <row r="2487" spans="2:11" x14ac:dyDescent="0.25">
      <c r="B2487" s="25"/>
      <c r="C2487" s="8"/>
      <c r="D2487" s="7"/>
      <c r="E2487" s="27"/>
      <c r="F2487" s="27"/>
      <c r="G2487" s="7"/>
      <c r="H2487" s="28"/>
      <c r="I2487" s="28"/>
      <c r="J2487" s="28"/>
      <c r="K2487" s="28"/>
    </row>
    <row r="2488" spans="2:11" x14ac:dyDescent="0.25">
      <c r="B2488" s="25"/>
      <c r="C2488" s="8"/>
      <c r="D2488" s="7"/>
      <c r="E2488" s="27"/>
      <c r="F2488" s="27"/>
      <c r="G2488" s="7"/>
      <c r="H2488" s="28"/>
      <c r="I2488" s="28"/>
      <c r="J2488" s="28"/>
      <c r="K2488" s="28"/>
    </row>
    <row r="2489" spans="2:11" x14ac:dyDescent="0.25">
      <c r="B2489" s="25"/>
      <c r="C2489" s="8"/>
      <c r="D2489" s="7"/>
      <c r="E2489" s="27"/>
      <c r="F2489" s="27"/>
      <c r="G2489" s="7"/>
      <c r="H2489" s="28"/>
      <c r="I2489" s="28"/>
      <c r="J2489" s="28"/>
      <c r="K2489" s="28"/>
    </row>
    <row r="2490" spans="2:11" x14ac:dyDescent="0.25">
      <c r="B2490" s="25"/>
      <c r="C2490" s="8"/>
      <c r="D2490" s="7"/>
      <c r="E2490" s="27"/>
      <c r="F2490" s="27"/>
      <c r="G2490" s="7"/>
      <c r="H2490" s="28"/>
      <c r="I2490" s="28"/>
      <c r="J2490" s="28"/>
      <c r="K2490" s="28"/>
    </row>
    <row r="2491" spans="2:11" x14ac:dyDescent="0.25">
      <c r="B2491" s="25"/>
      <c r="C2491" s="8"/>
      <c r="D2491" s="7"/>
      <c r="E2491" s="27"/>
      <c r="F2491" s="27"/>
      <c r="G2491" s="7"/>
      <c r="H2491" s="28"/>
      <c r="I2491" s="28"/>
      <c r="J2491" s="28"/>
      <c r="K2491" s="28"/>
    </row>
    <row r="2492" spans="2:11" x14ac:dyDescent="0.25">
      <c r="B2492" s="25"/>
      <c r="C2492" s="8"/>
      <c r="D2492" s="7"/>
      <c r="E2492" s="27"/>
      <c r="F2492" s="27"/>
      <c r="G2492" s="7"/>
      <c r="H2492" s="28"/>
      <c r="I2492" s="28"/>
      <c r="J2492" s="28"/>
      <c r="K2492" s="28"/>
    </row>
    <row r="2493" spans="2:11" x14ac:dyDescent="0.25">
      <c r="B2493" s="25"/>
      <c r="C2493" s="8"/>
      <c r="D2493" s="7"/>
      <c r="E2493" s="27"/>
      <c r="F2493" s="27"/>
      <c r="G2493" s="7"/>
      <c r="H2493" s="28"/>
      <c r="I2493" s="28"/>
      <c r="J2493" s="28"/>
      <c r="K2493" s="28"/>
    </row>
    <row r="2494" spans="2:11" x14ac:dyDescent="0.25">
      <c r="B2494" s="25"/>
      <c r="C2494" s="8"/>
      <c r="D2494" s="7"/>
      <c r="E2494" s="27"/>
      <c r="F2494" s="27"/>
      <c r="G2494" s="7"/>
      <c r="H2494" s="28"/>
      <c r="I2494" s="28"/>
      <c r="J2494" s="28"/>
      <c r="K2494" s="28"/>
    </row>
    <row r="2495" spans="2:11" x14ac:dyDescent="0.25">
      <c r="B2495" s="25"/>
      <c r="C2495" s="8"/>
      <c r="D2495" s="7"/>
      <c r="E2495" s="27"/>
      <c r="F2495" s="27"/>
      <c r="G2495" s="7"/>
      <c r="H2495" s="28"/>
      <c r="I2495" s="28"/>
      <c r="J2495" s="28"/>
      <c r="K2495" s="28"/>
    </row>
    <row r="2496" spans="2:11" x14ac:dyDescent="0.25">
      <c r="B2496" s="25"/>
      <c r="C2496" s="8"/>
      <c r="D2496" s="7"/>
      <c r="E2496" s="27"/>
      <c r="F2496" s="27"/>
      <c r="G2496" s="7"/>
      <c r="H2496" s="28"/>
      <c r="I2496" s="28"/>
      <c r="J2496" s="28"/>
      <c r="K2496" s="28"/>
    </row>
    <row r="2497" spans="2:11" x14ac:dyDescent="0.25">
      <c r="B2497" s="25"/>
      <c r="C2497" s="8"/>
      <c r="D2497" s="7"/>
      <c r="E2497" s="27"/>
      <c r="F2497" s="27"/>
      <c r="G2497" s="7"/>
      <c r="H2497" s="28"/>
      <c r="I2497" s="28"/>
      <c r="J2497" s="28"/>
      <c r="K2497" s="28"/>
    </row>
    <row r="2498" spans="2:11" x14ac:dyDescent="0.25">
      <c r="B2498" s="25"/>
      <c r="C2498" s="8"/>
      <c r="D2498" s="7"/>
      <c r="E2498" s="27"/>
      <c r="F2498" s="27"/>
      <c r="G2498" s="7"/>
      <c r="H2498" s="28"/>
      <c r="I2498" s="28"/>
      <c r="J2498" s="28"/>
      <c r="K2498" s="28"/>
    </row>
    <row r="2499" spans="2:11" x14ac:dyDescent="0.25">
      <c r="B2499" s="25"/>
      <c r="C2499" s="8"/>
      <c r="D2499" s="7"/>
      <c r="E2499" s="27"/>
      <c r="F2499" s="27"/>
      <c r="G2499" s="7"/>
      <c r="H2499" s="28"/>
      <c r="I2499" s="28"/>
      <c r="J2499" s="28"/>
      <c r="K2499" s="28"/>
    </row>
    <row r="2500" spans="2:11" x14ac:dyDescent="0.25">
      <c r="B2500" s="25"/>
      <c r="C2500" s="8"/>
      <c r="D2500" s="7"/>
      <c r="E2500" s="27"/>
      <c r="F2500" s="27"/>
      <c r="G2500" s="7"/>
      <c r="H2500" s="28"/>
      <c r="I2500" s="28"/>
      <c r="J2500" s="28"/>
      <c r="K2500" s="28"/>
    </row>
    <row r="2501" spans="2:11" x14ac:dyDescent="0.25">
      <c r="B2501" s="25"/>
      <c r="C2501" s="8"/>
      <c r="D2501" s="7"/>
      <c r="E2501" s="27"/>
      <c r="F2501" s="27"/>
      <c r="G2501" s="7"/>
      <c r="H2501" s="28"/>
      <c r="I2501" s="28"/>
      <c r="J2501" s="28"/>
      <c r="K2501" s="28"/>
    </row>
    <row r="2502" spans="2:11" x14ac:dyDescent="0.25">
      <c r="B2502" s="25"/>
      <c r="C2502" s="8"/>
      <c r="D2502" s="7"/>
      <c r="E2502" s="27"/>
      <c r="F2502" s="27"/>
      <c r="G2502" s="7"/>
      <c r="H2502" s="28"/>
      <c r="I2502" s="28"/>
      <c r="J2502" s="28"/>
      <c r="K2502" s="28"/>
    </row>
    <row r="2503" spans="2:11" x14ac:dyDescent="0.25">
      <c r="B2503" s="25"/>
      <c r="C2503" s="8"/>
      <c r="D2503" s="7"/>
      <c r="E2503" s="27"/>
      <c r="F2503" s="27"/>
      <c r="G2503" s="7"/>
      <c r="H2503" s="28"/>
      <c r="I2503" s="28"/>
      <c r="J2503" s="28"/>
      <c r="K2503" s="28"/>
    </row>
    <row r="2504" spans="2:11" x14ac:dyDescent="0.25">
      <c r="B2504" s="25"/>
      <c r="C2504" s="8"/>
      <c r="D2504" s="7"/>
      <c r="E2504" s="27"/>
      <c r="F2504" s="27"/>
      <c r="G2504" s="7"/>
      <c r="H2504" s="28"/>
      <c r="I2504" s="28"/>
      <c r="J2504" s="28"/>
      <c r="K2504" s="28"/>
    </row>
    <row r="2505" spans="2:11" x14ac:dyDescent="0.25">
      <c r="B2505" s="25"/>
      <c r="C2505" s="8"/>
      <c r="D2505" s="7"/>
      <c r="E2505" s="27"/>
      <c r="F2505" s="27"/>
      <c r="G2505" s="7"/>
      <c r="H2505" s="28"/>
      <c r="I2505" s="28"/>
      <c r="J2505" s="28"/>
      <c r="K2505" s="28"/>
    </row>
    <row r="2506" spans="2:11" x14ac:dyDescent="0.25">
      <c r="B2506" s="25"/>
      <c r="C2506" s="8"/>
      <c r="D2506" s="7"/>
      <c r="E2506" s="27"/>
      <c r="F2506" s="27"/>
      <c r="G2506" s="7"/>
      <c r="H2506" s="28"/>
      <c r="I2506" s="28"/>
      <c r="J2506" s="28"/>
      <c r="K2506" s="28"/>
    </row>
    <row r="2507" spans="2:11" x14ac:dyDescent="0.25">
      <c r="B2507" s="25"/>
      <c r="C2507" s="8"/>
      <c r="D2507" s="7"/>
      <c r="E2507" s="27"/>
      <c r="F2507" s="27"/>
      <c r="G2507" s="7"/>
      <c r="H2507" s="28"/>
      <c r="I2507" s="28"/>
      <c r="J2507" s="28"/>
      <c r="K2507" s="28"/>
    </row>
    <row r="2508" spans="2:11" x14ac:dyDescent="0.25">
      <c r="B2508" s="25"/>
      <c r="C2508" s="8"/>
      <c r="D2508" s="7"/>
      <c r="E2508" s="27"/>
      <c r="F2508" s="27"/>
      <c r="G2508" s="7"/>
      <c r="H2508" s="28"/>
      <c r="I2508" s="28"/>
      <c r="J2508" s="28"/>
      <c r="K2508" s="28"/>
    </row>
    <row r="2509" spans="2:11" x14ac:dyDescent="0.25">
      <c r="B2509" s="25"/>
      <c r="C2509" s="8"/>
      <c r="D2509" s="7"/>
      <c r="E2509" s="27"/>
      <c r="F2509" s="27"/>
      <c r="G2509" s="7"/>
      <c r="H2509" s="28"/>
      <c r="I2509" s="28"/>
      <c r="J2509" s="28"/>
      <c r="K2509" s="28"/>
    </row>
    <row r="2510" spans="2:11" x14ac:dyDescent="0.25">
      <c r="B2510" s="25"/>
      <c r="C2510" s="8"/>
      <c r="D2510" s="7"/>
      <c r="E2510" s="27"/>
      <c r="F2510" s="27"/>
      <c r="G2510" s="7"/>
      <c r="H2510" s="28"/>
      <c r="I2510" s="28"/>
      <c r="J2510" s="28"/>
      <c r="K2510" s="28"/>
    </row>
    <row r="2511" spans="2:11" x14ac:dyDescent="0.25">
      <c r="B2511" s="25"/>
      <c r="C2511" s="8"/>
      <c r="D2511" s="7"/>
      <c r="E2511" s="27"/>
      <c r="F2511" s="27"/>
      <c r="G2511" s="7"/>
      <c r="H2511" s="28"/>
      <c r="I2511" s="28"/>
      <c r="J2511" s="28"/>
      <c r="K2511" s="28"/>
    </row>
    <row r="2512" spans="2:11" x14ac:dyDescent="0.25">
      <c r="B2512" s="25"/>
      <c r="C2512" s="8"/>
      <c r="D2512" s="7"/>
      <c r="E2512" s="27"/>
      <c r="F2512" s="27"/>
      <c r="G2512" s="7"/>
      <c r="H2512" s="28"/>
      <c r="I2512" s="28"/>
      <c r="J2512" s="28"/>
      <c r="K2512" s="28"/>
    </row>
    <row r="2513" spans="2:11" x14ac:dyDescent="0.25">
      <c r="B2513" s="25"/>
      <c r="C2513" s="8"/>
      <c r="D2513" s="7"/>
      <c r="E2513" s="27"/>
      <c r="F2513" s="27"/>
      <c r="G2513" s="7"/>
      <c r="H2513" s="28"/>
      <c r="I2513" s="28"/>
      <c r="J2513" s="28"/>
      <c r="K2513" s="28"/>
    </row>
    <row r="2514" spans="2:11" x14ac:dyDescent="0.25">
      <c r="B2514" s="25"/>
      <c r="C2514" s="8"/>
      <c r="D2514" s="7"/>
      <c r="E2514" s="27"/>
      <c r="F2514" s="27"/>
      <c r="G2514" s="7"/>
      <c r="H2514" s="28"/>
      <c r="I2514" s="28"/>
      <c r="J2514" s="28"/>
      <c r="K2514" s="28"/>
    </row>
    <row r="2515" spans="2:11" x14ac:dyDescent="0.25">
      <c r="B2515" s="25"/>
      <c r="C2515" s="8"/>
      <c r="D2515" s="7"/>
      <c r="E2515" s="27"/>
      <c r="F2515" s="27"/>
      <c r="G2515" s="7"/>
      <c r="H2515" s="28"/>
      <c r="I2515" s="28"/>
      <c r="J2515" s="28"/>
      <c r="K2515" s="28"/>
    </row>
    <row r="2516" spans="2:11" x14ac:dyDescent="0.25">
      <c r="B2516" s="25"/>
      <c r="C2516" s="8"/>
      <c r="D2516" s="7"/>
      <c r="E2516" s="27"/>
      <c r="F2516" s="27"/>
      <c r="G2516" s="7"/>
      <c r="H2516" s="28"/>
      <c r="I2516" s="28"/>
      <c r="J2516" s="28"/>
      <c r="K2516" s="28"/>
    </row>
    <row r="2517" spans="2:11" x14ac:dyDescent="0.25">
      <c r="B2517" s="25"/>
      <c r="C2517" s="8"/>
      <c r="D2517" s="7"/>
      <c r="E2517" s="27"/>
      <c r="F2517" s="27"/>
      <c r="G2517" s="7"/>
      <c r="H2517" s="28"/>
      <c r="I2517" s="28"/>
      <c r="J2517" s="28"/>
      <c r="K2517" s="28"/>
    </row>
    <row r="2518" spans="2:11" x14ac:dyDescent="0.25">
      <c r="B2518" s="25"/>
      <c r="C2518" s="8"/>
      <c r="D2518" s="7"/>
      <c r="E2518" s="27"/>
      <c r="F2518" s="27"/>
      <c r="G2518" s="7"/>
      <c r="H2518" s="28"/>
      <c r="I2518" s="28"/>
      <c r="J2518" s="28"/>
      <c r="K2518" s="28"/>
    </row>
    <row r="2519" spans="2:11" x14ac:dyDescent="0.25">
      <c r="B2519" s="25"/>
      <c r="C2519" s="8"/>
      <c r="D2519" s="7"/>
      <c r="E2519" s="27"/>
      <c r="F2519" s="27"/>
      <c r="G2519" s="7"/>
      <c r="H2519" s="28"/>
      <c r="I2519" s="28"/>
      <c r="J2519" s="28"/>
      <c r="K2519" s="28"/>
    </row>
    <row r="2520" spans="2:11" x14ac:dyDescent="0.25">
      <c r="B2520" s="25"/>
      <c r="C2520" s="8"/>
      <c r="D2520" s="7"/>
      <c r="E2520" s="27"/>
      <c r="F2520" s="27"/>
      <c r="G2520" s="7"/>
      <c r="H2520" s="28"/>
      <c r="I2520" s="28"/>
      <c r="J2520" s="28"/>
      <c r="K2520" s="28"/>
    </row>
    <row r="2521" spans="2:11" x14ac:dyDescent="0.25">
      <c r="B2521" s="25"/>
      <c r="C2521" s="8"/>
      <c r="D2521" s="7"/>
      <c r="E2521" s="27"/>
      <c r="F2521" s="27"/>
      <c r="G2521" s="7"/>
      <c r="H2521" s="28"/>
      <c r="I2521" s="28"/>
      <c r="J2521" s="28"/>
      <c r="K2521" s="28"/>
    </row>
    <row r="2522" spans="2:11" x14ac:dyDescent="0.25">
      <c r="B2522" s="25"/>
      <c r="C2522" s="8"/>
      <c r="D2522" s="7"/>
      <c r="E2522" s="27"/>
      <c r="F2522" s="27"/>
      <c r="G2522" s="7"/>
      <c r="H2522" s="28"/>
      <c r="I2522" s="28"/>
      <c r="J2522" s="28"/>
      <c r="K2522" s="28"/>
    </row>
    <row r="2523" spans="2:11" x14ac:dyDescent="0.25">
      <c r="B2523" s="25"/>
      <c r="C2523" s="8"/>
      <c r="D2523" s="7"/>
      <c r="E2523" s="27"/>
      <c r="F2523" s="27"/>
      <c r="G2523" s="7"/>
      <c r="H2523" s="28"/>
      <c r="I2523" s="28"/>
      <c r="J2523" s="28"/>
      <c r="K2523" s="28"/>
    </row>
    <row r="2524" spans="2:11" x14ac:dyDescent="0.25">
      <c r="B2524" s="25"/>
      <c r="C2524" s="8"/>
      <c r="D2524" s="7"/>
      <c r="E2524" s="27"/>
      <c r="F2524" s="27"/>
      <c r="G2524" s="7"/>
      <c r="H2524" s="28"/>
      <c r="I2524" s="28"/>
      <c r="J2524" s="28"/>
      <c r="K2524" s="28"/>
    </row>
    <row r="2525" spans="2:11" x14ac:dyDescent="0.25">
      <c r="B2525" s="25"/>
      <c r="C2525" s="8"/>
      <c r="D2525" s="7"/>
      <c r="E2525" s="27"/>
      <c r="F2525" s="27"/>
      <c r="G2525" s="7"/>
      <c r="H2525" s="28"/>
      <c r="I2525" s="28"/>
      <c r="J2525" s="28"/>
      <c r="K2525" s="28"/>
    </row>
    <row r="2526" spans="2:11" x14ac:dyDescent="0.25">
      <c r="B2526" s="25"/>
      <c r="C2526" s="8"/>
      <c r="D2526" s="7"/>
      <c r="E2526" s="27"/>
      <c r="F2526" s="27"/>
      <c r="G2526" s="7"/>
      <c r="H2526" s="28"/>
      <c r="I2526" s="28"/>
      <c r="J2526" s="28"/>
      <c r="K2526" s="28"/>
    </row>
    <row r="2527" spans="2:11" x14ac:dyDescent="0.25">
      <c r="B2527" s="25"/>
      <c r="C2527" s="8"/>
      <c r="D2527" s="7"/>
      <c r="E2527" s="27"/>
      <c r="F2527" s="27"/>
      <c r="G2527" s="7"/>
      <c r="H2527" s="28"/>
      <c r="I2527" s="28"/>
      <c r="J2527" s="28"/>
      <c r="K2527" s="28"/>
    </row>
    <row r="2528" spans="2:11" x14ac:dyDescent="0.25">
      <c r="B2528" s="25"/>
      <c r="C2528" s="8"/>
      <c r="D2528" s="7"/>
      <c r="E2528" s="27"/>
      <c r="F2528" s="27"/>
      <c r="G2528" s="7"/>
      <c r="H2528" s="28"/>
      <c r="I2528" s="28"/>
      <c r="J2528" s="28"/>
      <c r="K2528" s="28"/>
    </row>
    <row r="2529" spans="2:11" x14ac:dyDescent="0.25">
      <c r="B2529" s="25"/>
      <c r="C2529" s="8"/>
      <c r="D2529" s="7"/>
      <c r="E2529" s="27"/>
      <c r="F2529" s="27"/>
      <c r="G2529" s="7"/>
      <c r="H2529" s="28"/>
      <c r="I2529" s="28"/>
      <c r="J2529" s="28"/>
      <c r="K2529" s="28"/>
    </row>
    <row r="2530" spans="2:11" x14ac:dyDescent="0.25">
      <c r="B2530" s="25"/>
      <c r="C2530" s="8"/>
      <c r="D2530" s="7"/>
      <c r="E2530" s="27"/>
      <c r="F2530" s="27"/>
      <c r="G2530" s="7"/>
      <c r="H2530" s="28"/>
      <c r="I2530" s="28"/>
      <c r="J2530" s="28"/>
      <c r="K2530" s="28"/>
    </row>
    <row r="2531" spans="2:11" x14ac:dyDescent="0.25">
      <c r="B2531" s="25"/>
      <c r="C2531" s="8"/>
      <c r="D2531" s="7"/>
      <c r="E2531" s="27"/>
      <c r="F2531" s="27"/>
      <c r="G2531" s="7"/>
      <c r="H2531" s="28"/>
      <c r="I2531" s="28"/>
      <c r="J2531" s="28"/>
      <c r="K2531" s="28"/>
    </row>
    <row r="2532" spans="2:11" x14ac:dyDescent="0.25">
      <c r="B2532" s="25"/>
      <c r="C2532" s="8"/>
      <c r="D2532" s="7"/>
      <c r="E2532" s="27"/>
      <c r="F2532" s="27"/>
      <c r="G2532" s="7"/>
      <c r="H2532" s="28"/>
      <c r="I2532" s="28"/>
      <c r="J2532" s="28"/>
      <c r="K2532" s="28"/>
    </row>
    <row r="2533" spans="2:11" x14ac:dyDescent="0.25">
      <c r="B2533" s="25"/>
      <c r="C2533" s="8"/>
      <c r="D2533" s="7"/>
      <c r="E2533" s="27"/>
      <c r="F2533" s="27"/>
      <c r="G2533" s="7"/>
      <c r="H2533" s="28"/>
      <c r="I2533" s="28"/>
      <c r="J2533" s="28"/>
      <c r="K2533" s="28"/>
    </row>
    <row r="2534" spans="2:11" x14ac:dyDescent="0.25">
      <c r="B2534" s="25"/>
      <c r="C2534" s="8"/>
      <c r="D2534" s="7"/>
      <c r="E2534" s="27"/>
      <c r="F2534" s="27"/>
      <c r="G2534" s="7"/>
      <c r="H2534" s="28"/>
      <c r="I2534" s="28"/>
      <c r="J2534" s="28"/>
      <c r="K2534" s="28"/>
    </row>
    <row r="2535" spans="2:11" x14ac:dyDescent="0.25">
      <c r="B2535" s="25"/>
      <c r="C2535" s="8"/>
      <c r="D2535" s="7"/>
      <c r="E2535" s="27"/>
      <c r="F2535" s="27"/>
      <c r="G2535" s="7"/>
      <c r="H2535" s="28"/>
      <c r="I2535" s="28"/>
      <c r="J2535" s="28"/>
      <c r="K2535" s="28"/>
    </row>
    <row r="2536" spans="2:11" x14ac:dyDescent="0.25">
      <c r="B2536" s="25"/>
      <c r="C2536" s="8"/>
      <c r="D2536" s="7"/>
      <c r="E2536" s="27"/>
      <c r="F2536" s="27"/>
      <c r="G2536" s="7"/>
      <c r="H2536" s="28"/>
      <c r="I2536" s="28"/>
      <c r="J2536" s="28"/>
      <c r="K2536" s="28"/>
    </row>
    <row r="2537" spans="2:11" x14ac:dyDescent="0.25">
      <c r="B2537" s="25"/>
      <c r="C2537" s="8"/>
      <c r="D2537" s="7"/>
      <c r="E2537" s="27"/>
      <c r="F2537" s="27"/>
      <c r="G2537" s="7"/>
      <c r="H2537" s="28"/>
      <c r="I2537" s="28"/>
      <c r="J2537" s="28"/>
      <c r="K2537" s="28"/>
    </row>
    <row r="2538" spans="2:11" x14ac:dyDescent="0.25">
      <c r="B2538" s="25"/>
      <c r="C2538" s="8"/>
      <c r="D2538" s="7"/>
      <c r="E2538" s="27"/>
      <c r="F2538" s="27"/>
      <c r="G2538" s="7"/>
      <c r="H2538" s="28"/>
      <c r="I2538" s="28"/>
      <c r="J2538" s="28"/>
      <c r="K2538" s="28"/>
    </row>
    <row r="2539" spans="2:11" x14ac:dyDescent="0.25">
      <c r="B2539" s="25"/>
      <c r="C2539" s="8"/>
      <c r="D2539" s="7"/>
      <c r="E2539" s="27"/>
      <c r="F2539" s="27"/>
      <c r="G2539" s="7"/>
      <c r="H2539" s="28"/>
      <c r="I2539" s="28"/>
      <c r="J2539" s="28"/>
      <c r="K2539" s="28"/>
    </row>
    <row r="2540" spans="2:11" x14ac:dyDescent="0.25">
      <c r="B2540" s="25"/>
      <c r="C2540" s="8"/>
      <c r="D2540" s="7"/>
      <c r="E2540" s="27"/>
      <c r="F2540" s="27"/>
      <c r="G2540" s="7"/>
      <c r="H2540" s="28"/>
      <c r="I2540" s="28"/>
      <c r="J2540" s="28"/>
      <c r="K2540" s="28"/>
    </row>
    <row r="2541" spans="2:11" x14ac:dyDescent="0.25">
      <c r="B2541" s="25"/>
      <c r="C2541" s="8"/>
      <c r="D2541" s="7"/>
      <c r="E2541" s="27"/>
      <c r="F2541" s="27"/>
      <c r="G2541" s="7"/>
      <c r="H2541" s="28"/>
      <c r="I2541" s="28"/>
      <c r="J2541" s="28"/>
      <c r="K2541" s="28"/>
    </row>
    <row r="2542" spans="2:11" x14ac:dyDescent="0.25">
      <c r="B2542" s="25"/>
      <c r="C2542" s="8"/>
      <c r="D2542" s="7"/>
      <c r="E2542" s="27"/>
      <c r="F2542" s="27"/>
      <c r="G2542" s="7"/>
      <c r="H2542" s="28"/>
      <c r="I2542" s="28"/>
      <c r="J2542" s="28"/>
      <c r="K2542" s="28"/>
    </row>
    <row r="2543" spans="2:11" x14ac:dyDescent="0.25">
      <c r="B2543" s="25"/>
      <c r="C2543" s="8"/>
      <c r="D2543" s="7"/>
      <c r="E2543" s="27"/>
      <c r="F2543" s="27"/>
      <c r="G2543" s="7"/>
      <c r="H2543" s="28"/>
      <c r="I2543" s="28"/>
      <c r="J2543" s="28"/>
      <c r="K2543" s="28"/>
    </row>
    <row r="2544" spans="2:11" x14ac:dyDescent="0.25">
      <c r="B2544" s="25"/>
      <c r="C2544" s="8"/>
      <c r="D2544" s="7"/>
      <c r="E2544" s="27"/>
      <c r="F2544" s="27"/>
      <c r="G2544" s="7"/>
      <c r="H2544" s="28"/>
      <c r="I2544" s="28"/>
      <c r="J2544" s="28"/>
      <c r="K2544" s="28"/>
    </row>
    <row r="2545" spans="2:11" x14ac:dyDescent="0.25">
      <c r="B2545" s="25"/>
      <c r="C2545" s="8"/>
      <c r="D2545" s="7"/>
      <c r="E2545" s="27"/>
      <c r="F2545" s="27"/>
      <c r="G2545" s="7"/>
      <c r="H2545" s="28"/>
      <c r="I2545" s="28"/>
      <c r="J2545" s="28"/>
      <c r="K2545" s="28"/>
    </row>
    <row r="2546" spans="2:11" x14ac:dyDescent="0.25">
      <c r="B2546" s="25"/>
      <c r="C2546" s="8"/>
      <c r="D2546" s="7"/>
      <c r="E2546" s="27"/>
      <c r="F2546" s="27"/>
      <c r="G2546" s="7"/>
      <c r="H2546" s="28"/>
      <c r="I2546" s="28"/>
      <c r="J2546" s="28"/>
      <c r="K2546" s="28"/>
    </row>
    <row r="2547" spans="2:11" x14ac:dyDescent="0.25">
      <c r="B2547" s="25"/>
      <c r="C2547" s="8"/>
      <c r="D2547" s="7"/>
      <c r="E2547" s="27"/>
      <c r="F2547" s="27"/>
      <c r="G2547" s="7"/>
      <c r="H2547" s="28"/>
      <c r="I2547" s="28"/>
      <c r="J2547" s="28"/>
      <c r="K2547" s="28"/>
    </row>
    <row r="2548" spans="2:11" x14ac:dyDescent="0.25">
      <c r="B2548" s="25"/>
      <c r="C2548" s="8"/>
      <c r="D2548" s="7"/>
      <c r="E2548" s="27"/>
      <c r="F2548" s="27"/>
      <c r="G2548" s="7"/>
      <c r="H2548" s="28"/>
      <c r="I2548" s="28"/>
      <c r="J2548" s="28"/>
      <c r="K2548" s="28"/>
    </row>
    <row r="2549" spans="2:11" x14ac:dyDescent="0.25">
      <c r="B2549" s="25"/>
      <c r="C2549" s="8"/>
      <c r="D2549" s="7"/>
      <c r="E2549" s="27"/>
      <c r="F2549" s="27"/>
      <c r="G2549" s="7"/>
      <c r="H2549" s="28"/>
      <c r="I2549" s="28"/>
      <c r="J2549" s="28"/>
      <c r="K2549" s="28"/>
    </row>
    <row r="2550" spans="2:11" x14ac:dyDescent="0.25">
      <c r="B2550" s="25"/>
      <c r="C2550" s="8"/>
      <c r="D2550" s="7"/>
      <c r="E2550" s="27"/>
      <c r="F2550" s="27"/>
      <c r="G2550" s="7"/>
      <c r="H2550" s="28"/>
      <c r="I2550" s="28"/>
      <c r="J2550" s="28"/>
      <c r="K2550" s="28"/>
    </row>
    <row r="2551" spans="2:11" x14ac:dyDescent="0.25">
      <c r="B2551" s="25"/>
      <c r="C2551" s="8"/>
      <c r="D2551" s="7"/>
      <c r="E2551" s="27"/>
      <c r="F2551" s="27"/>
      <c r="G2551" s="7"/>
      <c r="H2551" s="28"/>
      <c r="I2551" s="28"/>
      <c r="J2551" s="28"/>
      <c r="K2551" s="28"/>
    </row>
    <row r="2552" spans="2:11" x14ac:dyDescent="0.25">
      <c r="B2552" s="25"/>
      <c r="C2552" s="8"/>
      <c r="D2552" s="7"/>
      <c r="E2552" s="27"/>
      <c r="F2552" s="27"/>
      <c r="G2552" s="7"/>
      <c r="H2552" s="28"/>
      <c r="I2552" s="28"/>
      <c r="J2552" s="28"/>
      <c r="K2552" s="28"/>
    </row>
    <row r="2553" spans="2:11" x14ac:dyDescent="0.25">
      <c r="B2553" s="25"/>
      <c r="C2553" s="8"/>
      <c r="D2553" s="7"/>
      <c r="E2553" s="27"/>
      <c r="F2553" s="27"/>
      <c r="G2553" s="7"/>
      <c r="H2553" s="28"/>
      <c r="I2553" s="28"/>
      <c r="J2553" s="28"/>
      <c r="K2553" s="28"/>
    </row>
    <row r="2554" spans="2:11" x14ac:dyDescent="0.25">
      <c r="B2554" s="25"/>
      <c r="C2554" s="8"/>
      <c r="D2554" s="7"/>
      <c r="E2554" s="27"/>
      <c r="F2554" s="27"/>
      <c r="G2554" s="7"/>
      <c r="H2554" s="28"/>
      <c r="I2554" s="28"/>
      <c r="J2554" s="28"/>
      <c r="K2554" s="28"/>
    </row>
    <row r="2555" spans="2:11" x14ac:dyDescent="0.25">
      <c r="B2555" s="25"/>
      <c r="C2555" s="8"/>
      <c r="D2555" s="7"/>
      <c r="E2555" s="27"/>
      <c r="F2555" s="27"/>
      <c r="G2555" s="7"/>
      <c r="H2555" s="28"/>
      <c r="I2555" s="28"/>
      <c r="J2555" s="28"/>
      <c r="K2555" s="28"/>
    </row>
    <row r="2556" spans="2:11" x14ac:dyDescent="0.25">
      <c r="B2556" s="25"/>
      <c r="C2556" s="8"/>
      <c r="D2556" s="7"/>
      <c r="E2556" s="27"/>
      <c r="F2556" s="27"/>
      <c r="G2556" s="7"/>
      <c r="H2556" s="28"/>
      <c r="I2556" s="28"/>
      <c r="J2556" s="28"/>
      <c r="K2556" s="28"/>
    </row>
    <row r="2557" spans="2:11" x14ac:dyDescent="0.25">
      <c r="B2557" s="25"/>
      <c r="C2557" s="8"/>
      <c r="D2557" s="7"/>
      <c r="E2557" s="27"/>
      <c r="F2557" s="27"/>
      <c r="G2557" s="7"/>
      <c r="H2557" s="28"/>
      <c r="I2557" s="28"/>
      <c r="J2557" s="28"/>
      <c r="K2557" s="28"/>
    </row>
    <row r="2558" spans="2:11" x14ac:dyDescent="0.25">
      <c r="B2558" s="25"/>
      <c r="C2558" s="8"/>
      <c r="D2558" s="7"/>
      <c r="E2558" s="27"/>
      <c r="F2558" s="27"/>
      <c r="G2558" s="7"/>
      <c r="H2558" s="28"/>
      <c r="I2558" s="28"/>
      <c r="J2558" s="28"/>
      <c r="K2558" s="28"/>
    </row>
    <row r="2559" spans="2:11" x14ac:dyDescent="0.25">
      <c r="B2559" s="25"/>
      <c r="C2559" s="8"/>
      <c r="D2559" s="7"/>
      <c r="E2559" s="27"/>
      <c r="F2559" s="27"/>
      <c r="G2559" s="7"/>
      <c r="H2559" s="28"/>
      <c r="I2559" s="28"/>
      <c r="J2559" s="28"/>
      <c r="K2559" s="28"/>
    </row>
    <row r="2560" spans="2:11" x14ac:dyDescent="0.25">
      <c r="B2560" s="25"/>
      <c r="C2560" s="8"/>
      <c r="D2560" s="7"/>
      <c r="E2560" s="27"/>
      <c r="F2560" s="27"/>
      <c r="G2560" s="7"/>
      <c r="H2560" s="28"/>
      <c r="I2560" s="28"/>
      <c r="J2560" s="28"/>
      <c r="K2560" s="28"/>
    </row>
    <row r="2561" spans="2:11" x14ac:dyDescent="0.25">
      <c r="B2561" s="25"/>
      <c r="C2561" s="8"/>
      <c r="D2561" s="7"/>
      <c r="E2561" s="27"/>
      <c r="F2561" s="27"/>
      <c r="G2561" s="7"/>
      <c r="H2561" s="28"/>
      <c r="I2561" s="28"/>
      <c r="J2561" s="28"/>
      <c r="K2561" s="28"/>
    </row>
    <row r="2562" spans="2:11" x14ac:dyDescent="0.25">
      <c r="B2562" s="25"/>
      <c r="C2562" s="8"/>
      <c r="D2562" s="7"/>
      <c r="E2562" s="27"/>
      <c r="F2562" s="27"/>
      <c r="G2562" s="7"/>
      <c r="H2562" s="28"/>
      <c r="I2562" s="28"/>
      <c r="J2562" s="28"/>
      <c r="K2562" s="28"/>
    </row>
    <row r="2563" spans="2:11" x14ac:dyDescent="0.25">
      <c r="B2563" s="25"/>
      <c r="C2563" s="8"/>
      <c r="D2563" s="7"/>
      <c r="E2563" s="27"/>
      <c r="F2563" s="27"/>
      <c r="G2563" s="7"/>
      <c r="H2563" s="28"/>
      <c r="I2563" s="28"/>
      <c r="J2563" s="28"/>
      <c r="K2563" s="28"/>
    </row>
    <row r="2564" spans="2:11" x14ac:dyDescent="0.25">
      <c r="B2564" s="25"/>
      <c r="C2564" s="8"/>
      <c r="D2564" s="7"/>
      <c r="E2564" s="27"/>
      <c r="F2564" s="27"/>
      <c r="G2564" s="7"/>
      <c r="H2564" s="28"/>
      <c r="I2564" s="28"/>
      <c r="J2564" s="28"/>
      <c r="K2564" s="28"/>
    </row>
    <row r="2565" spans="2:11" x14ac:dyDescent="0.25">
      <c r="B2565" s="25"/>
      <c r="C2565" s="8"/>
      <c r="D2565" s="7"/>
      <c r="E2565" s="27"/>
      <c r="F2565" s="27"/>
      <c r="G2565" s="7"/>
      <c r="H2565" s="28"/>
      <c r="I2565" s="28"/>
      <c r="J2565" s="28"/>
      <c r="K2565" s="28"/>
    </row>
    <row r="2566" spans="2:11" x14ac:dyDescent="0.25">
      <c r="B2566" s="25"/>
      <c r="C2566" s="8"/>
      <c r="D2566" s="7"/>
      <c r="E2566" s="27"/>
      <c r="F2566" s="27"/>
      <c r="G2566" s="7"/>
      <c r="H2566" s="28"/>
      <c r="I2566" s="28"/>
      <c r="J2566" s="28"/>
      <c r="K2566" s="28"/>
    </row>
    <row r="2567" spans="2:11" x14ac:dyDescent="0.25">
      <c r="B2567" s="25"/>
      <c r="C2567" s="8"/>
      <c r="D2567" s="7"/>
      <c r="E2567" s="27"/>
      <c r="F2567" s="27"/>
      <c r="G2567" s="7"/>
      <c r="H2567" s="28"/>
      <c r="I2567" s="28"/>
      <c r="J2567" s="28"/>
      <c r="K2567" s="28"/>
    </row>
    <row r="2568" spans="2:11" x14ac:dyDescent="0.25">
      <c r="B2568" s="25"/>
      <c r="C2568" s="8"/>
      <c r="D2568" s="7"/>
      <c r="E2568" s="27"/>
      <c r="F2568" s="27"/>
      <c r="G2568" s="7"/>
      <c r="H2568" s="28"/>
      <c r="I2568" s="28"/>
      <c r="J2568" s="28"/>
      <c r="K2568" s="28"/>
    </row>
    <row r="2569" spans="2:11" x14ac:dyDescent="0.25">
      <c r="B2569" s="25"/>
      <c r="C2569" s="8"/>
      <c r="D2569" s="7"/>
      <c r="E2569" s="27"/>
      <c r="F2569" s="27"/>
      <c r="G2569" s="7"/>
      <c r="H2569" s="28"/>
      <c r="I2569" s="28"/>
      <c r="J2569" s="28"/>
      <c r="K2569" s="28"/>
    </row>
    <row r="2570" spans="2:11" x14ac:dyDescent="0.25">
      <c r="B2570" s="25"/>
      <c r="C2570" s="8"/>
      <c r="D2570" s="7"/>
      <c r="E2570" s="27"/>
      <c r="F2570" s="27"/>
      <c r="G2570" s="7"/>
      <c r="H2570" s="28"/>
      <c r="I2570" s="28"/>
      <c r="J2570" s="28"/>
      <c r="K2570" s="28"/>
    </row>
    <row r="2571" spans="2:11" x14ac:dyDescent="0.25">
      <c r="B2571" s="25"/>
      <c r="C2571" s="8"/>
      <c r="D2571" s="7"/>
      <c r="E2571" s="27"/>
      <c r="F2571" s="27"/>
      <c r="G2571" s="7"/>
      <c r="H2571" s="28"/>
      <c r="I2571" s="28"/>
      <c r="J2571" s="28"/>
      <c r="K2571" s="28"/>
    </row>
    <row r="2572" spans="2:11" x14ac:dyDescent="0.25">
      <c r="B2572" s="25"/>
      <c r="C2572" s="8"/>
      <c r="D2572" s="7"/>
      <c r="E2572" s="27"/>
      <c r="F2572" s="27"/>
      <c r="G2572" s="7"/>
      <c r="H2572" s="28"/>
      <c r="I2572" s="28"/>
      <c r="J2572" s="28"/>
      <c r="K2572" s="28"/>
    </row>
    <row r="2573" spans="2:11" x14ac:dyDescent="0.25">
      <c r="B2573" s="25"/>
      <c r="C2573" s="8"/>
      <c r="D2573" s="7"/>
      <c r="E2573" s="27"/>
      <c r="F2573" s="27"/>
      <c r="G2573" s="7"/>
      <c r="H2573" s="28"/>
      <c r="I2573" s="28"/>
      <c r="J2573" s="28"/>
      <c r="K2573" s="28"/>
    </row>
    <row r="2574" spans="2:11" x14ac:dyDescent="0.25">
      <c r="B2574" s="25"/>
      <c r="C2574" s="8"/>
      <c r="D2574" s="7"/>
      <c r="E2574" s="27"/>
      <c r="F2574" s="27"/>
      <c r="G2574" s="7"/>
      <c r="H2574" s="28"/>
      <c r="I2574" s="28"/>
      <c r="J2574" s="28"/>
      <c r="K2574" s="28"/>
    </row>
    <row r="2575" spans="2:11" x14ac:dyDescent="0.25">
      <c r="B2575" s="25"/>
      <c r="C2575" s="8"/>
      <c r="D2575" s="7"/>
      <c r="E2575" s="27"/>
      <c r="F2575" s="27"/>
      <c r="G2575" s="7"/>
      <c r="H2575" s="28"/>
      <c r="I2575" s="28"/>
      <c r="J2575" s="28"/>
      <c r="K2575" s="28"/>
    </row>
    <row r="2576" spans="2:11" x14ac:dyDescent="0.25">
      <c r="B2576" s="25"/>
      <c r="C2576" s="8"/>
      <c r="D2576" s="7"/>
      <c r="E2576" s="27"/>
      <c r="F2576" s="27"/>
      <c r="G2576" s="7"/>
      <c r="H2576" s="28"/>
      <c r="I2576" s="28"/>
      <c r="J2576" s="28"/>
      <c r="K2576" s="28"/>
    </row>
    <row r="2577" spans="2:11" x14ac:dyDescent="0.25">
      <c r="B2577" s="25"/>
      <c r="C2577" s="8"/>
      <c r="D2577" s="7"/>
      <c r="E2577" s="27"/>
      <c r="F2577" s="27"/>
      <c r="G2577" s="7"/>
      <c r="H2577" s="28"/>
      <c r="I2577" s="28"/>
      <c r="J2577" s="28"/>
      <c r="K2577" s="28"/>
    </row>
    <row r="2578" spans="2:11" x14ac:dyDescent="0.25">
      <c r="B2578" s="25"/>
      <c r="C2578" s="8"/>
      <c r="D2578" s="7"/>
      <c r="E2578" s="27"/>
      <c r="F2578" s="27"/>
      <c r="G2578" s="7"/>
      <c r="H2578" s="28"/>
      <c r="I2578" s="28"/>
      <c r="J2578" s="28"/>
      <c r="K2578" s="28"/>
    </row>
    <row r="2579" spans="2:11" x14ac:dyDescent="0.25">
      <c r="B2579" s="25"/>
      <c r="C2579" s="8"/>
      <c r="D2579" s="7"/>
      <c r="E2579" s="27"/>
      <c r="F2579" s="27"/>
      <c r="G2579" s="7"/>
      <c r="H2579" s="28"/>
      <c r="I2579" s="28"/>
      <c r="J2579" s="28"/>
      <c r="K2579" s="28"/>
    </row>
    <row r="2580" spans="2:11" x14ac:dyDescent="0.25">
      <c r="B2580" s="25"/>
      <c r="C2580" s="8"/>
      <c r="D2580" s="7"/>
      <c r="E2580" s="27"/>
      <c r="F2580" s="27"/>
      <c r="G2580" s="7"/>
      <c r="H2580" s="28"/>
      <c r="I2580" s="28"/>
      <c r="J2580" s="28"/>
      <c r="K2580" s="28"/>
    </row>
    <row r="2581" spans="2:11" x14ac:dyDescent="0.25">
      <c r="B2581" s="25"/>
      <c r="C2581" s="8"/>
      <c r="D2581" s="7"/>
      <c r="E2581" s="27"/>
      <c r="F2581" s="27"/>
      <c r="G2581" s="7"/>
      <c r="H2581" s="28"/>
      <c r="I2581" s="28"/>
      <c r="J2581" s="28"/>
      <c r="K2581" s="28"/>
    </row>
    <row r="2582" spans="2:11" x14ac:dyDescent="0.25">
      <c r="B2582" s="25"/>
      <c r="C2582" s="8"/>
      <c r="D2582" s="7"/>
      <c r="E2582" s="27"/>
      <c r="F2582" s="27"/>
      <c r="G2582" s="7"/>
      <c r="H2582" s="28"/>
      <c r="I2582" s="28"/>
      <c r="J2582" s="28"/>
      <c r="K2582" s="28"/>
    </row>
    <row r="2583" spans="2:11" x14ac:dyDescent="0.25">
      <c r="B2583" s="25"/>
      <c r="C2583" s="8"/>
      <c r="D2583" s="7"/>
      <c r="E2583" s="27"/>
      <c r="F2583" s="27"/>
      <c r="G2583" s="7"/>
      <c r="H2583" s="28"/>
      <c r="I2583" s="28"/>
      <c r="J2583" s="28"/>
      <c r="K2583" s="28"/>
    </row>
    <row r="2584" spans="2:11" x14ac:dyDescent="0.25">
      <c r="B2584" s="25"/>
      <c r="C2584" s="8"/>
      <c r="D2584" s="7"/>
      <c r="E2584" s="27"/>
      <c r="F2584" s="27"/>
      <c r="G2584" s="7"/>
      <c r="H2584" s="28"/>
      <c r="I2584" s="28"/>
      <c r="J2584" s="28"/>
      <c r="K2584" s="28"/>
    </row>
    <row r="2585" spans="2:11" x14ac:dyDescent="0.25">
      <c r="B2585" s="25"/>
      <c r="C2585" s="8"/>
      <c r="D2585" s="7"/>
      <c r="E2585" s="27"/>
      <c r="F2585" s="27"/>
      <c r="G2585" s="7"/>
      <c r="H2585" s="28"/>
      <c r="I2585" s="28"/>
      <c r="J2585" s="28"/>
      <c r="K2585" s="28"/>
    </row>
    <row r="2586" spans="2:11" x14ac:dyDescent="0.25">
      <c r="B2586" s="25"/>
      <c r="C2586" s="8"/>
      <c r="D2586" s="7"/>
      <c r="E2586" s="27"/>
      <c r="F2586" s="27"/>
      <c r="G2586" s="7"/>
      <c r="H2586" s="28"/>
      <c r="I2586" s="28"/>
      <c r="J2586" s="28"/>
      <c r="K2586" s="28"/>
    </row>
    <row r="2587" spans="2:11" x14ac:dyDescent="0.25">
      <c r="B2587" s="25"/>
      <c r="C2587" s="8"/>
      <c r="D2587" s="7"/>
      <c r="E2587" s="27"/>
      <c r="F2587" s="27"/>
      <c r="G2587" s="7"/>
      <c r="H2587" s="28"/>
      <c r="I2587" s="28"/>
      <c r="J2587" s="28"/>
      <c r="K2587" s="28"/>
    </row>
    <row r="2588" spans="2:11" x14ac:dyDescent="0.25">
      <c r="B2588" s="25"/>
      <c r="C2588" s="8"/>
      <c r="D2588" s="7"/>
      <c r="E2588" s="27"/>
      <c r="F2588" s="27"/>
      <c r="G2588" s="7"/>
      <c r="H2588" s="28"/>
      <c r="I2588" s="28"/>
      <c r="J2588" s="28"/>
      <c r="K2588" s="28"/>
    </row>
    <row r="2589" spans="2:11" x14ac:dyDescent="0.25">
      <c r="B2589" s="25"/>
      <c r="C2589" s="8"/>
      <c r="D2589" s="7"/>
      <c r="E2589" s="27"/>
      <c r="F2589" s="27"/>
      <c r="G2589" s="7"/>
      <c r="H2589" s="28"/>
      <c r="I2589" s="28"/>
      <c r="J2589" s="28"/>
      <c r="K2589" s="28"/>
    </row>
    <row r="2590" spans="2:11" x14ac:dyDescent="0.25">
      <c r="B2590" s="25"/>
      <c r="C2590" s="8"/>
      <c r="D2590" s="7"/>
      <c r="E2590" s="27"/>
      <c r="F2590" s="27"/>
      <c r="G2590" s="7"/>
      <c r="H2590" s="28"/>
      <c r="I2590" s="28"/>
      <c r="J2590" s="28"/>
      <c r="K2590" s="28"/>
    </row>
    <row r="2591" spans="2:11" x14ac:dyDescent="0.25">
      <c r="B2591" s="25"/>
      <c r="C2591" s="8"/>
      <c r="D2591" s="7"/>
      <c r="E2591" s="27"/>
      <c r="F2591" s="27"/>
      <c r="G2591" s="7"/>
      <c r="H2591" s="28"/>
      <c r="I2591" s="28"/>
      <c r="J2591" s="28"/>
      <c r="K2591" s="28"/>
    </row>
    <row r="2592" spans="2:11" x14ac:dyDescent="0.25">
      <c r="B2592" s="25"/>
      <c r="C2592" s="8"/>
      <c r="D2592" s="7"/>
      <c r="E2592" s="27"/>
      <c r="F2592" s="27"/>
      <c r="G2592" s="7"/>
      <c r="H2592" s="28"/>
      <c r="I2592" s="28"/>
      <c r="J2592" s="28"/>
      <c r="K2592" s="28"/>
    </row>
    <row r="2593" spans="2:11" x14ac:dyDescent="0.25">
      <c r="B2593" s="25"/>
      <c r="C2593" s="8"/>
      <c r="D2593" s="7"/>
      <c r="E2593" s="27"/>
      <c r="F2593" s="27"/>
      <c r="G2593" s="7"/>
      <c r="H2593" s="28"/>
      <c r="I2593" s="28"/>
      <c r="J2593" s="28"/>
      <c r="K2593" s="28"/>
    </row>
    <row r="2594" spans="2:11" x14ac:dyDescent="0.25">
      <c r="B2594" s="25"/>
      <c r="C2594" s="8"/>
      <c r="D2594" s="7"/>
      <c r="E2594" s="27"/>
      <c r="F2594" s="27"/>
      <c r="G2594" s="7"/>
      <c r="H2594" s="28"/>
      <c r="I2594" s="28"/>
      <c r="J2594" s="28"/>
      <c r="K2594" s="28"/>
    </row>
    <row r="2595" spans="2:11" x14ac:dyDescent="0.25">
      <c r="B2595" s="25"/>
      <c r="C2595" s="8"/>
      <c r="D2595" s="7"/>
      <c r="E2595" s="27"/>
      <c r="F2595" s="27"/>
      <c r="G2595" s="7"/>
      <c r="H2595" s="28"/>
      <c r="I2595" s="28"/>
      <c r="J2595" s="28"/>
      <c r="K2595" s="28"/>
    </row>
    <row r="2596" spans="2:11" x14ac:dyDescent="0.25">
      <c r="B2596" s="25"/>
      <c r="C2596" s="8"/>
      <c r="D2596" s="7"/>
      <c r="E2596" s="27"/>
      <c r="F2596" s="27"/>
      <c r="G2596" s="7"/>
      <c r="H2596" s="28"/>
      <c r="I2596" s="28"/>
      <c r="J2596" s="28"/>
      <c r="K2596" s="28"/>
    </row>
    <row r="2597" spans="2:11" x14ac:dyDescent="0.25">
      <c r="B2597" s="25"/>
      <c r="C2597" s="8"/>
      <c r="D2597" s="7"/>
      <c r="E2597" s="27"/>
      <c r="F2597" s="27"/>
      <c r="G2597" s="7"/>
      <c r="H2597" s="28"/>
      <c r="I2597" s="28"/>
      <c r="J2597" s="28"/>
      <c r="K2597" s="28"/>
    </row>
    <row r="2598" spans="2:11" x14ac:dyDescent="0.25">
      <c r="B2598" s="25"/>
      <c r="C2598" s="8"/>
      <c r="D2598" s="7"/>
      <c r="E2598" s="27"/>
      <c r="F2598" s="27"/>
      <c r="G2598" s="7"/>
      <c r="H2598" s="28"/>
      <c r="I2598" s="28"/>
      <c r="J2598" s="28"/>
      <c r="K2598" s="28"/>
    </row>
    <row r="2599" spans="2:11" x14ac:dyDescent="0.25">
      <c r="B2599" s="25"/>
      <c r="C2599" s="8"/>
      <c r="D2599" s="7"/>
      <c r="E2599" s="27"/>
      <c r="F2599" s="27"/>
      <c r="G2599" s="7"/>
      <c r="H2599" s="28"/>
      <c r="I2599" s="28"/>
      <c r="J2599" s="28"/>
      <c r="K2599" s="28"/>
    </row>
    <row r="2600" spans="2:11" x14ac:dyDescent="0.25">
      <c r="B2600" s="25"/>
      <c r="C2600" s="8"/>
      <c r="D2600" s="7"/>
      <c r="E2600" s="27"/>
      <c r="F2600" s="27"/>
      <c r="G2600" s="7"/>
      <c r="H2600" s="28"/>
      <c r="I2600" s="28"/>
      <c r="J2600" s="28"/>
      <c r="K2600" s="28"/>
    </row>
    <row r="2601" spans="2:11" x14ac:dyDescent="0.25">
      <c r="B2601" s="25"/>
      <c r="C2601" s="8"/>
      <c r="D2601" s="7"/>
      <c r="E2601" s="27"/>
      <c r="F2601" s="27"/>
      <c r="G2601" s="7"/>
      <c r="H2601" s="28"/>
      <c r="I2601" s="28"/>
      <c r="J2601" s="28"/>
      <c r="K2601" s="28"/>
    </row>
    <row r="2602" spans="2:11" x14ac:dyDescent="0.25">
      <c r="B2602" s="25"/>
      <c r="C2602" s="8"/>
      <c r="D2602" s="7"/>
      <c r="E2602" s="27"/>
      <c r="F2602" s="27"/>
      <c r="G2602" s="7"/>
      <c r="H2602" s="28"/>
      <c r="I2602" s="28"/>
      <c r="J2602" s="28"/>
      <c r="K2602" s="28"/>
    </row>
    <row r="2603" spans="2:11" x14ac:dyDescent="0.25">
      <c r="B2603" s="25"/>
      <c r="C2603" s="8"/>
      <c r="D2603" s="7"/>
      <c r="E2603" s="27"/>
      <c r="F2603" s="27"/>
      <c r="G2603" s="7"/>
      <c r="H2603" s="28"/>
      <c r="I2603" s="28"/>
      <c r="J2603" s="28"/>
      <c r="K2603" s="28"/>
    </row>
    <row r="2604" spans="2:11" x14ac:dyDescent="0.25">
      <c r="B2604" s="25"/>
      <c r="C2604" s="8"/>
      <c r="D2604" s="7"/>
      <c r="E2604" s="27"/>
      <c r="F2604" s="27"/>
      <c r="G2604" s="7"/>
      <c r="H2604" s="28"/>
      <c r="I2604" s="28"/>
      <c r="J2604" s="28"/>
      <c r="K2604" s="28"/>
    </row>
    <row r="2605" spans="2:11" x14ac:dyDescent="0.25">
      <c r="B2605" s="25"/>
      <c r="C2605" s="8"/>
      <c r="D2605" s="7"/>
      <c r="E2605" s="27"/>
      <c r="F2605" s="27"/>
      <c r="G2605" s="7"/>
      <c r="H2605" s="28"/>
      <c r="I2605" s="28"/>
      <c r="J2605" s="28"/>
      <c r="K2605" s="28"/>
    </row>
    <row r="2606" spans="2:11" x14ac:dyDescent="0.25">
      <c r="B2606" s="25"/>
      <c r="C2606" s="8"/>
      <c r="D2606" s="7"/>
      <c r="E2606" s="27"/>
      <c r="F2606" s="27"/>
      <c r="G2606" s="7"/>
      <c r="H2606" s="28"/>
      <c r="I2606" s="28"/>
      <c r="J2606" s="28"/>
      <c r="K2606" s="28"/>
    </row>
    <row r="2607" spans="2:11" x14ac:dyDescent="0.25">
      <c r="B2607" s="25"/>
      <c r="C2607" s="8"/>
      <c r="D2607" s="7"/>
      <c r="E2607" s="27"/>
      <c r="F2607" s="27"/>
      <c r="G2607" s="7"/>
      <c r="H2607" s="28"/>
      <c r="I2607" s="28"/>
      <c r="J2607" s="28"/>
      <c r="K2607" s="28"/>
    </row>
    <row r="2608" spans="2:11" x14ac:dyDescent="0.25">
      <c r="B2608" s="25"/>
      <c r="C2608" s="8"/>
      <c r="D2608" s="7"/>
      <c r="E2608" s="27"/>
      <c r="F2608" s="27"/>
      <c r="G2608" s="7"/>
      <c r="H2608" s="28"/>
      <c r="I2608" s="28"/>
      <c r="J2608" s="28"/>
      <c r="K2608" s="28"/>
    </row>
    <row r="2609" spans="2:11" x14ac:dyDescent="0.25">
      <c r="B2609" s="25"/>
      <c r="C2609" s="8"/>
      <c r="D2609" s="7"/>
      <c r="E2609" s="27"/>
      <c r="F2609" s="27"/>
      <c r="G2609" s="7"/>
      <c r="H2609" s="28"/>
      <c r="I2609" s="28"/>
      <c r="J2609" s="28"/>
      <c r="K2609" s="28"/>
    </row>
    <row r="2610" spans="2:11" x14ac:dyDescent="0.25">
      <c r="B2610" s="25"/>
      <c r="C2610" s="8"/>
      <c r="D2610" s="7"/>
      <c r="E2610" s="27"/>
      <c r="F2610" s="27"/>
      <c r="G2610" s="7"/>
      <c r="H2610" s="28"/>
      <c r="I2610" s="28"/>
      <c r="J2610" s="28"/>
      <c r="K2610" s="28"/>
    </row>
    <row r="2611" spans="2:11" x14ac:dyDescent="0.25">
      <c r="B2611" s="25"/>
      <c r="C2611" s="8"/>
      <c r="D2611" s="7"/>
      <c r="E2611" s="27"/>
      <c r="F2611" s="27"/>
      <c r="G2611" s="7"/>
      <c r="H2611" s="28"/>
      <c r="I2611" s="28"/>
      <c r="J2611" s="28"/>
      <c r="K2611" s="28"/>
    </row>
    <row r="2612" spans="2:11" x14ac:dyDescent="0.25">
      <c r="B2612" s="25"/>
      <c r="C2612" s="8"/>
      <c r="D2612" s="7"/>
      <c r="E2612" s="27"/>
      <c r="F2612" s="27"/>
      <c r="G2612" s="7"/>
      <c r="H2612" s="28"/>
      <c r="I2612" s="28"/>
      <c r="J2612" s="28"/>
      <c r="K2612" s="28"/>
    </row>
    <row r="2613" spans="2:11" x14ac:dyDescent="0.25">
      <c r="B2613" s="25"/>
      <c r="C2613" s="8"/>
      <c r="D2613" s="7"/>
      <c r="E2613" s="27"/>
      <c r="F2613" s="27"/>
      <c r="G2613" s="7"/>
      <c r="H2613" s="28"/>
      <c r="I2613" s="28"/>
      <c r="J2613" s="28"/>
      <c r="K2613" s="28"/>
    </row>
    <row r="2614" spans="2:11" x14ac:dyDescent="0.25">
      <c r="B2614" s="25"/>
      <c r="C2614" s="8"/>
      <c r="D2614" s="7"/>
      <c r="E2614" s="27"/>
      <c r="F2614" s="27"/>
      <c r="G2614" s="7"/>
      <c r="H2614" s="28"/>
      <c r="I2614" s="28"/>
      <c r="J2614" s="28"/>
      <c r="K2614" s="28"/>
    </row>
    <row r="2615" spans="2:11" x14ac:dyDescent="0.25">
      <c r="B2615" s="25"/>
      <c r="C2615" s="8"/>
      <c r="D2615" s="7"/>
      <c r="E2615" s="27"/>
      <c r="F2615" s="27"/>
      <c r="G2615" s="7"/>
      <c r="H2615" s="28"/>
      <c r="I2615" s="28"/>
      <c r="J2615" s="28"/>
      <c r="K2615" s="28"/>
    </row>
    <row r="2616" spans="2:11" x14ac:dyDescent="0.25">
      <c r="B2616" s="25"/>
      <c r="C2616" s="8"/>
      <c r="D2616" s="7"/>
      <c r="E2616" s="27"/>
      <c r="F2616" s="27"/>
      <c r="G2616" s="7"/>
      <c r="H2616" s="28"/>
      <c r="I2616" s="28"/>
      <c r="J2616" s="28"/>
      <c r="K2616" s="28"/>
    </row>
    <row r="2617" spans="2:11" x14ac:dyDescent="0.25">
      <c r="B2617" s="25"/>
      <c r="C2617" s="8"/>
      <c r="D2617" s="7"/>
      <c r="E2617" s="27"/>
      <c r="F2617" s="27"/>
      <c r="G2617" s="7"/>
      <c r="H2617" s="28"/>
      <c r="I2617" s="28"/>
      <c r="J2617" s="28"/>
      <c r="K2617" s="28"/>
    </row>
    <row r="2618" spans="2:11" x14ac:dyDescent="0.25">
      <c r="B2618" s="25"/>
      <c r="C2618" s="8"/>
      <c r="D2618" s="7"/>
      <c r="E2618" s="27"/>
      <c r="F2618" s="27"/>
      <c r="G2618" s="7"/>
      <c r="H2618" s="28"/>
      <c r="I2618" s="28"/>
      <c r="J2618" s="28"/>
      <c r="K2618" s="28"/>
    </row>
    <row r="2619" spans="2:11" x14ac:dyDescent="0.25">
      <c r="B2619" s="25"/>
      <c r="C2619" s="8"/>
      <c r="D2619" s="7"/>
      <c r="E2619" s="27"/>
      <c r="F2619" s="27"/>
      <c r="G2619" s="7"/>
      <c r="H2619" s="28"/>
      <c r="I2619" s="28"/>
      <c r="J2619" s="28"/>
      <c r="K2619" s="28"/>
    </row>
    <row r="2620" spans="2:11" x14ac:dyDescent="0.25">
      <c r="B2620" s="25"/>
      <c r="C2620" s="8"/>
      <c r="D2620" s="7"/>
      <c r="E2620" s="27"/>
      <c r="F2620" s="27"/>
      <c r="G2620" s="7"/>
      <c r="H2620" s="28"/>
      <c r="I2620" s="28"/>
      <c r="J2620" s="28"/>
      <c r="K2620" s="28"/>
    </row>
    <row r="2621" spans="2:11" x14ac:dyDescent="0.25">
      <c r="B2621" s="25"/>
      <c r="C2621" s="8"/>
      <c r="D2621" s="7"/>
      <c r="E2621" s="27"/>
      <c r="F2621" s="27"/>
      <c r="G2621" s="7"/>
      <c r="H2621" s="28"/>
      <c r="I2621" s="28"/>
      <c r="J2621" s="28"/>
      <c r="K2621" s="28"/>
    </row>
    <row r="2622" spans="2:11" x14ac:dyDescent="0.25">
      <c r="B2622" s="25"/>
      <c r="C2622" s="8"/>
      <c r="D2622" s="7"/>
      <c r="E2622" s="27"/>
      <c r="F2622" s="27"/>
      <c r="G2622" s="7"/>
      <c r="H2622" s="28"/>
      <c r="I2622" s="28"/>
      <c r="J2622" s="28"/>
      <c r="K2622" s="28"/>
    </row>
    <row r="2623" spans="2:11" x14ac:dyDescent="0.25">
      <c r="B2623" s="25"/>
      <c r="C2623" s="8"/>
      <c r="D2623" s="7"/>
      <c r="E2623" s="27"/>
      <c r="F2623" s="27"/>
      <c r="G2623" s="7"/>
      <c r="H2623" s="28"/>
      <c r="I2623" s="28"/>
      <c r="J2623" s="28"/>
      <c r="K2623" s="28"/>
    </row>
    <row r="2624" spans="2:11" x14ac:dyDescent="0.25">
      <c r="B2624" s="25"/>
      <c r="C2624" s="8"/>
      <c r="D2624" s="7"/>
      <c r="E2624" s="27"/>
      <c r="F2624" s="27"/>
      <c r="G2624" s="7"/>
      <c r="H2624" s="28"/>
      <c r="I2624" s="28"/>
      <c r="J2624" s="28"/>
      <c r="K2624" s="28"/>
    </row>
    <row r="2625" spans="2:11" x14ac:dyDescent="0.25">
      <c r="B2625" s="25"/>
      <c r="C2625" s="8"/>
      <c r="D2625" s="7"/>
      <c r="E2625" s="27"/>
      <c r="F2625" s="27"/>
      <c r="G2625" s="7"/>
      <c r="H2625" s="28"/>
      <c r="I2625" s="28"/>
      <c r="J2625" s="28"/>
      <c r="K2625" s="28"/>
    </row>
    <row r="2626" spans="2:11" x14ac:dyDescent="0.25">
      <c r="B2626" s="25"/>
      <c r="C2626" s="8"/>
      <c r="D2626" s="7"/>
      <c r="E2626" s="27"/>
      <c r="F2626" s="27"/>
      <c r="G2626" s="7"/>
      <c r="H2626" s="28"/>
      <c r="I2626" s="28"/>
      <c r="J2626" s="28"/>
      <c r="K2626" s="28"/>
    </row>
    <row r="2627" spans="2:11" x14ac:dyDescent="0.25">
      <c r="B2627" s="25"/>
      <c r="C2627" s="8"/>
      <c r="D2627" s="7"/>
      <c r="E2627" s="27"/>
      <c r="F2627" s="27"/>
      <c r="G2627" s="7"/>
      <c r="H2627" s="28"/>
      <c r="I2627" s="28"/>
      <c r="J2627" s="28"/>
      <c r="K2627" s="28"/>
    </row>
    <row r="2628" spans="2:11" x14ac:dyDescent="0.25">
      <c r="B2628" s="25"/>
      <c r="C2628" s="8"/>
      <c r="D2628" s="7"/>
      <c r="E2628" s="27"/>
      <c r="F2628" s="27"/>
      <c r="G2628" s="7"/>
      <c r="H2628" s="28"/>
      <c r="I2628" s="28"/>
      <c r="J2628" s="28"/>
      <c r="K2628" s="28"/>
    </row>
    <row r="2629" spans="2:11" x14ac:dyDescent="0.25">
      <c r="B2629" s="25"/>
      <c r="C2629" s="8"/>
      <c r="D2629" s="7"/>
      <c r="E2629" s="27"/>
      <c r="F2629" s="27"/>
      <c r="G2629" s="7"/>
      <c r="H2629" s="28"/>
      <c r="I2629" s="28"/>
      <c r="J2629" s="28"/>
      <c r="K2629" s="28"/>
    </row>
    <row r="2630" spans="2:11" x14ac:dyDescent="0.25">
      <c r="B2630" s="25"/>
      <c r="C2630" s="8"/>
      <c r="D2630" s="7"/>
      <c r="E2630" s="27"/>
      <c r="F2630" s="27"/>
      <c r="G2630" s="7"/>
      <c r="H2630" s="28"/>
      <c r="I2630" s="28"/>
      <c r="J2630" s="28"/>
      <c r="K2630" s="28"/>
    </row>
    <row r="2631" spans="2:11" x14ac:dyDescent="0.25">
      <c r="B2631" s="25"/>
      <c r="C2631" s="8"/>
      <c r="D2631" s="7"/>
      <c r="E2631" s="27"/>
      <c r="F2631" s="27"/>
      <c r="G2631" s="7"/>
      <c r="H2631" s="28"/>
      <c r="I2631" s="28"/>
      <c r="J2631" s="28"/>
      <c r="K2631" s="28"/>
    </row>
    <row r="2632" spans="2:11" x14ac:dyDescent="0.25">
      <c r="B2632" s="25"/>
      <c r="C2632" s="8"/>
      <c r="D2632" s="7"/>
      <c r="E2632" s="27"/>
      <c r="F2632" s="27"/>
      <c r="G2632" s="7"/>
      <c r="H2632" s="28"/>
      <c r="I2632" s="28"/>
      <c r="J2632" s="28"/>
      <c r="K2632" s="28"/>
    </row>
    <row r="2633" spans="2:11" x14ac:dyDescent="0.25">
      <c r="B2633" s="25"/>
      <c r="C2633" s="8"/>
      <c r="D2633" s="7"/>
      <c r="E2633" s="27"/>
      <c r="F2633" s="27"/>
      <c r="G2633" s="7"/>
      <c r="H2633" s="28"/>
      <c r="I2633" s="28"/>
      <c r="J2633" s="28"/>
      <c r="K2633" s="28"/>
    </row>
    <row r="2634" spans="2:11" x14ac:dyDescent="0.25">
      <c r="B2634" s="25"/>
      <c r="C2634" s="8"/>
      <c r="D2634" s="7"/>
      <c r="E2634" s="27"/>
      <c r="F2634" s="27"/>
      <c r="G2634" s="7"/>
      <c r="H2634" s="28"/>
      <c r="I2634" s="28"/>
      <c r="J2634" s="28"/>
      <c r="K2634" s="28"/>
    </row>
    <row r="2635" spans="2:11" x14ac:dyDescent="0.25">
      <c r="B2635" s="25"/>
      <c r="C2635" s="8"/>
      <c r="D2635" s="7"/>
      <c r="E2635" s="27"/>
      <c r="F2635" s="27"/>
      <c r="G2635" s="7"/>
      <c r="H2635" s="28"/>
      <c r="I2635" s="28"/>
      <c r="J2635" s="28"/>
      <c r="K2635" s="28"/>
    </row>
    <row r="2636" spans="2:11" x14ac:dyDescent="0.25">
      <c r="B2636" s="25"/>
      <c r="C2636" s="8"/>
      <c r="D2636" s="7"/>
      <c r="E2636" s="27"/>
      <c r="F2636" s="27"/>
      <c r="G2636" s="7"/>
      <c r="H2636" s="28"/>
      <c r="I2636" s="28"/>
      <c r="J2636" s="28"/>
      <c r="K2636" s="28"/>
    </row>
    <row r="2637" spans="2:11" x14ac:dyDescent="0.25">
      <c r="B2637" s="25"/>
      <c r="C2637" s="8"/>
      <c r="D2637" s="7"/>
      <c r="E2637" s="27"/>
      <c r="F2637" s="27"/>
      <c r="G2637" s="7"/>
      <c r="H2637" s="28"/>
      <c r="I2637" s="28"/>
      <c r="J2637" s="28"/>
      <c r="K2637" s="28"/>
    </row>
    <row r="2638" spans="2:11" x14ac:dyDescent="0.25">
      <c r="B2638" s="25"/>
      <c r="C2638" s="8"/>
      <c r="D2638" s="7"/>
      <c r="E2638" s="27"/>
      <c r="F2638" s="27"/>
      <c r="G2638" s="7"/>
      <c r="H2638" s="28"/>
      <c r="I2638" s="28"/>
      <c r="J2638" s="28"/>
      <c r="K2638" s="28"/>
    </row>
    <row r="2639" spans="2:11" x14ac:dyDescent="0.25">
      <c r="B2639" s="25"/>
      <c r="C2639" s="8"/>
      <c r="D2639" s="7"/>
      <c r="E2639" s="27"/>
      <c r="F2639" s="27"/>
      <c r="G2639" s="7"/>
      <c r="H2639" s="28"/>
      <c r="I2639" s="28"/>
      <c r="J2639" s="28"/>
      <c r="K2639" s="28"/>
    </row>
    <row r="2640" spans="2:11" x14ac:dyDescent="0.25">
      <c r="B2640" s="25"/>
      <c r="C2640" s="8"/>
      <c r="D2640" s="7"/>
      <c r="E2640" s="27"/>
      <c r="F2640" s="27"/>
      <c r="G2640" s="7"/>
      <c r="H2640" s="28"/>
      <c r="I2640" s="28"/>
      <c r="J2640" s="28"/>
      <c r="K2640" s="28"/>
    </row>
    <row r="2641" spans="2:11" x14ac:dyDescent="0.25">
      <c r="B2641" s="25"/>
      <c r="C2641" s="8"/>
      <c r="D2641" s="7"/>
      <c r="E2641" s="27"/>
      <c r="F2641" s="27"/>
      <c r="G2641" s="7"/>
      <c r="H2641" s="28"/>
      <c r="I2641" s="28"/>
      <c r="J2641" s="28"/>
      <c r="K2641" s="28"/>
    </row>
    <row r="2642" spans="2:11" x14ac:dyDescent="0.25">
      <c r="B2642" s="25"/>
      <c r="C2642" s="8"/>
      <c r="D2642" s="7"/>
      <c r="E2642" s="27"/>
      <c r="F2642" s="27"/>
      <c r="G2642" s="7"/>
      <c r="H2642" s="28"/>
      <c r="I2642" s="28"/>
      <c r="J2642" s="28"/>
      <c r="K2642" s="28"/>
    </row>
    <row r="2643" spans="2:11" x14ac:dyDescent="0.25">
      <c r="B2643" s="25"/>
      <c r="C2643" s="8"/>
      <c r="D2643" s="7"/>
      <c r="E2643" s="27"/>
      <c r="F2643" s="27"/>
      <c r="G2643" s="7"/>
      <c r="H2643" s="28"/>
      <c r="I2643" s="28"/>
      <c r="J2643" s="28"/>
      <c r="K2643" s="28"/>
    </row>
    <row r="2644" spans="2:11" x14ac:dyDescent="0.25">
      <c r="B2644" s="25"/>
      <c r="C2644" s="8"/>
      <c r="D2644" s="7"/>
      <c r="E2644" s="27"/>
      <c r="F2644" s="27"/>
      <c r="G2644" s="7"/>
      <c r="H2644" s="28"/>
      <c r="I2644" s="28"/>
      <c r="J2644" s="28"/>
      <c r="K2644" s="28"/>
    </row>
    <row r="2645" spans="2:11" x14ac:dyDescent="0.25">
      <c r="B2645" s="25"/>
      <c r="C2645" s="8"/>
      <c r="D2645" s="7"/>
      <c r="E2645" s="27"/>
      <c r="F2645" s="27"/>
      <c r="G2645" s="7"/>
      <c r="H2645" s="28"/>
      <c r="I2645" s="28"/>
      <c r="J2645" s="28"/>
      <c r="K2645" s="28"/>
    </row>
    <row r="2646" spans="2:11" x14ac:dyDescent="0.25">
      <c r="B2646" s="25"/>
      <c r="C2646" s="8"/>
      <c r="D2646" s="7"/>
      <c r="E2646" s="27"/>
      <c r="F2646" s="27"/>
      <c r="G2646" s="7"/>
      <c r="H2646" s="28"/>
      <c r="I2646" s="28"/>
      <c r="J2646" s="28"/>
      <c r="K2646" s="28"/>
    </row>
    <row r="2647" spans="2:11" x14ac:dyDescent="0.25">
      <c r="B2647" s="25"/>
      <c r="C2647" s="8"/>
      <c r="D2647" s="7"/>
      <c r="E2647" s="27"/>
      <c r="F2647" s="27"/>
      <c r="G2647" s="7"/>
      <c r="H2647" s="28"/>
      <c r="I2647" s="28"/>
      <c r="J2647" s="28"/>
      <c r="K2647" s="28"/>
    </row>
    <row r="2648" spans="2:11" x14ac:dyDescent="0.25">
      <c r="B2648" s="25"/>
      <c r="C2648" s="8"/>
      <c r="D2648" s="7"/>
      <c r="E2648" s="27"/>
      <c r="F2648" s="27"/>
      <c r="G2648" s="7"/>
      <c r="H2648" s="28"/>
      <c r="I2648" s="28"/>
      <c r="J2648" s="28"/>
      <c r="K2648" s="28"/>
    </row>
    <row r="2649" spans="2:11" x14ac:dyDescent="0.25">
      <c r="B2649" s="25"/>
      <c r="C2649" s="8"/>
      <c r="D2649" s="7"/>
      <c r="E2649" s="27"/>
      <c r="F2649" s="27"/>
      <c r="G2649" s="7"/>
      <c r="H2649" s="28"/>
      <c r="I2649" s="28"/>
      <c r="J2649" s="28"/>
      <c r="K2649" s="28"/>
    </row>
    <row r="2650" spans="2:11" x14ac:dyDescent="0.25">
      <c r="B2650" s="25"/>
      <c r="C2650" s="8"/>
      <c r="D2650" s="7"/>
      <c r="E2650" s="27"/>
      <c r="F2650" s="27"/>
      <c r="G2650" s="7"/>
      <c r="H2650" s="28"/>
      <c r="I2650" s="28"/>
      <c r="J2650" s="28"/>
      <c r="K2650" s="28"/>
    </row>
    <row r="2651" spans="2:11" x14ac:dyDescent="0.25">
      <c r="B2651" s="25"/>
      <c r="C2651" s="8"/>
      <c r="D2651" s="7"/>
      <c r="E2651" s="27"/>
      <c r="F2651" s="27"/>
      <c r="G2651" s="7"/>
      <c r="H2651" s="28"/>
      <c r="I2651" s="28"/>
      <c r="J2651" s="28"/>
      <c r="K2651" s="28"/>
    </row>
    <row r="2652" spans="2:11" x14ac:dyDescent="0.25">
      <c r="B2652" s="25"/>
      <c r="C2652" s="8"/>
      <c r="D2652" s="7"/>
      <c r="E2652" s="27"/>
      <c r="F2652" s="27"/>
      <c r="G2652" s="7"/>
      <c r="H2652" s="28"/>
      <c r="I2652" s="28"/>
      <c r="J2652" s="28"/>
      <c r="K2652" s="28"/>
    </row>
    <row r="2653" spans="2:11" x14ac:dyDescent="0.25">
      <c r="B2653" s="25"/>
      <c r="C2653" s="8"/>
      <c r="D2653" s="7"/>
      <c r="E2653" s="27"/>
      <c r="F2653" s="27"/>
      <c r="G2653" s="7"/>
      <c r="H2653" s="28"/>
      <c r="I2653" s="28"/>
      <c r="J2653" s="28"/>
      <c r="K2653" s="28"/>
    </row>
    <row r="2654" spans="2:11" x14ac:dyDescent="0.25">
      <c r="B2654" s="25"/>
      <c r="C2654" s="8"/>
      <c r="D2654" s="7"/>
      <c r="E2654" s="27"/>
      <c r="F2654" s="27"/>
      <c r="G2654" s="7"/>
      <c r="H2654" s="28"/>
      <c r="I2654" s="28"/>
      <c r="J2654" s="28"/>
      <c r="K2654" s="28"/>
    </row>
    <row r="2655" spans="2:11" x14ac:dyDescent="0.25">
      <c r="B2655" s="25"/>
      <c r="C2655" s="8"/>
      <c r="D2655" s="7"/>
      <c r="E2655" s="27"/>
      <c r="F2655" s="27"/>
      <c r="G2655" s="7"/>
      <c r="H2655" s="28"/>
      <c r="I2655" s="28"/>
      <c r="J2655" s="28"/>
      <c r="K2655" s="28"/>
    </row>
    <row r="2656" spans="2:11" x14ac:dyDescent="0.25">
      <c r="B2656" s="25"/>
      <c r="C2656" s="8"/>
      <c r="D2656" s="7"/>
      <c r="E2656" s="27"/>
      <c r="F2656" s="27"/>
      <c r="G2656" s="7"/>
      <c r="H2656" s="28"/>
      <c r="I2656" s="28"/>
      <c r="J2656" s="28"/>
      <c r="K2656" s="28"/>
    </row>
    <row r="2657" spans="2:11" x14ac:dyDescent="0.25">
      <c r="B2657" s="25"/>
      <c r="C2657" s="8"/>
      <c r="D2657" s="7"/>
      <c r="E2657" s="27"/>
      <c r="F2657" s="27"/>
      <c r="G2657" s="7"/>
      <c r="H2657" s="28"/>
      <c r="I2657" s="28"/>
      <c r="J2657" s="28"/>
      <c r="K2657" s="28"/>
    </row>
    <row r="2658" spans="2:11" x14ac:dyDescent="0.25">
      <c r="B2658" s="25"/>
      <c r="C2658" s="8"/>
      <c r="D2658" s="7"/>
      <c r="E2658" s="27"/>
      <c r="F2658" s="27"/>
      <c r="G2658" s="7"/>
      <c r="H2658" s="28"/>
      <c r="I2658" s="28"/>
      <c r="J2658" s="28"/>
      <c r="K2658" s="28"/>
    </row>
    <row r="2659" spans="2:11" x14ac:dyDescent="0.25">
      <c r="B2659" s="25"/>
      <c r="C2659" s="8"/>
      <c r="D2659" s="7"/>
      <c r="E2659" s="27"/>
      <c r="F2659" s="27"/>
      <c r="G2659" s="7"/>
      <c r="H2659" s="28"/>
      <c r="I2659" s="28"/>
      <c r="J2659" s="28"/>
      <c r="K2659" s="28"/>
    </row>
    <row r="2660" spans="2:11" x14ac:dyDescent="0.25">
      <c r="B2660" s="25"/>
      <c r="C2660" s="8"/>
      <c r="D2660" s="7"/>
      <c r="E2660" s="27"/>
      <c r="F2660" s="27"/>
      <c r="G2660" s="7"/>
      <c r="H2660" s="28"/>
      <c r="I2660" s="28"/>
      <c r="J2660" s="28"/>
      <c r="K2660" s="28"/>
    </row>
    <row r="2661" spans="2:11" x14ac:dyDescent="0.25">
      <c r="B2661" s="25"/>
      <c r="C2661" s="8"/>
      <c r="D2661" s="7"/>
      <c r="E2661" s="27"/>
      <c r="F2661" s="27"/>
      <c r="G2661" s="7"/>
      <c r="H2661" s="28"/>
      <c r="I2661" s="28"/>
      <c r="J2661" s="28"/>
      <c r="K2661" s="28"/>
    </row>
    <row r="2662" spans="2:11" x14ac:dyDescent="0.25">
      <c r="B2662" s="25"/>
      <c r="C2662" s="8"/>
      <c r="D2662" s="7"/>
      <c r="E2662" s="27"/>
      <c r="F2662" s="27"/>
      <c r="G2662" s="7"/>
      <c r="H2662" s="28"/>
      <c r="I2662" s="28"/>
      <c r="J2662" s="28"/>
      <c r="K2662" s="28"/>
    </row>
    <row r="2663" spans="2:11" x14ac:dyDescent="0.25">
      <c r="B2663" s="25"/>
      <c r="C2663" s="8"/>
      <c r="D2663" s="7"/>
      <c r="E2663" s="27"/>
      <c r="F2663" s="27"/>
      <c r="G2663" s="7"/>
      <c r="H2663" s="28"/>
      <c r="I2663" s="28"/>
      <c r="J2663" s="28"/>
      <c r="K2663" s="28"/>
    </row>
    <row r="2664" spans="2:11" x14ac:dyDescent="0.25">
      <c r="B2664" s="25"/>
      <c r="C2664" s="8"/>
      <c r="D2664" s="7"/>
      <c r="E2664" s="27"/>
      <c r="F2664" s="27"/>
      <c r="G2664" s="7"/>
      <c r="H2664" s="28"/>
      <c r="I2664" s="28"/>
      <c r="J2664" s="28"/>
      <c r="K2664" s="28"/>
    </row>
    <row r="2665" spans="2:11" x14ac:dyDescent="0.25">
      <c r="B2665" s="25"/>
      <c r="C2665" s="8"/>
      <c r="D2665" s="7"/>
      <c r="E2665" s="27"/>
      <c r="F2665" s="27"/>
      <c r="G2665" s="7"/>
      <c r="H2665" s="28"/>
      <c r="I2665" s="28"/>
      <c r="J2665" s="28"/>
      <c r="K2665" s="28"/>
    </row>
    <row r="2666" spans="2:11" x14ac:dyDescent="0.25">
      <c r="B2666" s="25"/>
      <c r="C2666" s="8"/>
      <c r="D2666" s="7"/>
      <c r="E2666" s="27"/>
      <c r="F2666" s="27"/>
      <c r="G2666" s="7"/>
      <c r="H2666" s="28"/>
      <c r="I2666" s="28"/>
      <c r="J2666" s="28"/>
      <c r="K2666" s="28"/>
    </row>
    <row r="2667" spans="2:11" x14ac:dyDescent="0.25">
      <c r="B2667" s="25"/>
      <c r="C2667" s="8"/>
      <c r="D2667" s="7"/>
      <c r="E2667" s="27"/>
      <c r="F2667" s="27"/>
      <c r="G2667" s="7"/>
      <c r="H2667" s="28"/>
      <c r="I2667" s="28"/>
      <c r="J2667" s="28"/>
      <c r="K2667" s="28"/>
    </row>
    <row r="2668" spans="2:11" x14ac:dyDescent="0.25">
      <c r="B2668" s="25"/>
      <c r="C2668" s="8"/>
      <c r="D2668" s="7"/>
      <c r="E2668" s="27"/>
      <c r="F2668" s="27"/>
      <c r="G2668" s="7"/>
      <c r="H2668" s="28"/>
      <c r="I2668" s="28"/>
      <c r="J2668" s="28"/>
      <c r="K2668" s="28"/>
    </row>
    <row r="2669" spans="2:11" x14ac:dyDescent="0.25">
      <c r="B2669" s="25"/>
      <c r="C2669" s="8"/>
      <c r="D2669" s="7"/>
      <c r="E2669" s="27"/>
      <c r="F2669" s="27"/>
      <c r="G2669" s="7"/>
      <c r="H2669" s="28"/>
      <c r="I2669" s="28"/>
      <c r="J2669" s="28"/>
      <c r="K2669" s="28"/>
    </row>
    <row r="2670" spans="2:11" x14ac:dyDescent="0.25">
      <c r="B2670" s="25"/>
      <c r="C2670" s="8"/>
      <c r="D2670" s="7"/>
      <c r="E2670" s="27"/>
      <c r="F2670" s="27"/>
      <c r="G2670" s="7"/>
      <c r="H2670" s="28"/>
      <c r="I2670" s="28"/>
      <c r="J2670" s="28"/>
      <c r="K2670" s="28"/>
    </row>
    <row r="2671" spans="2:11" x14ac:dyDescent="0.25">
      <c r="B2671" s="25"/>
      <c r="C2671" s="8"/>
      <c r="D2671" s="7"/>
      <c r="E2671" s="27"/>
      <c r="F2671" s="27"/>
      <c r="G2671" s="7"/>
      <c r="H2671" s="28"/>
      <c r="I2671" s="28"/>
      <c r="J2671" s="28"/>
      <c r="K2671" s="28"/>
    </row>
    <row r="2672" spans="2:11" x14ac:dyDescent="0.25">
      <c r="B2672" s="25"/>
      <c r="C2672" s="8"/>
      <c r="D2672" s="7"/>
      <c r="E2672" s="27"/>
      <c r="F2672" s="27"/>
      <c r="G2672" s="7"/>
      <c r="H2672" s="28"/>
      <c r="I2672" s="28"/>
      <c r="J2672" s="28"/>
      <c r="K2672" s="28"/>
    </row>
    <row r="2673" spans="2:11" x14ac:dyDescent="0.25">
      <c r="B2673" s="25"/>
      <c r="C2673" s="8"/>
      <c r="D2673" s="7"/>
      <c r="E2673" s="27"/>
      <c r="F2673" s="27"/>
      <c r="G2673" s="7"/>
      <c r="H2673" s="28"/>
      <c r="I2673" s="28"/>
      <c r="J2673" s="28"/>
      <c r="K2673" s="28"/>
    </row>
    <row r="2674" spans="2:11" x14ac:dyDescent="0.25">
      <c r="B2674" s="25"/>
      <c r="C2674" s="8"/>
      <c r="D2674" s="7"/>
      <c r="E2674" s="27"/>
      <c r="F2674" s="27"/>
      <c r="G2674" s="7"/>
      <c r="H2674" s="28"/>
      <c r="I2674" s="28"/>
      <c r="J2674" s="28"/>
      <c r="K2674" s="28"/>
    </row>
    <row r="2675" spans="2:11" x14ac:dyDescent="0.25">
      <c r="B2675" s="25"/>
      <c r="C2675" s="8"/>
      <c r="D2675" s="7"/>
      <c r="E2675" s="27"/>
      <c r="F2675" s="27"/>
      <c r="G2675" s="7"/>
      <c r="H2675" s="28"/>
      <c r="I2675" s="28"/>
      <c r="J2675" s="28"/>
      <c r="K2675" s="28"/>
    </row>
    <row r="2676" spans="2:11" x14ac:dyDescent="0.25">
      <c r="B2676" s="25"/>
      <c r="C2676" s="8"/>
      <c r="D2676" s="7"/>
      <c r="E2676" s="27"/>
      <c r="F2676" s="27"/>
      <c r="G2676" s="7"/>
      <c r="H2676" s="28"/>
      <c r="I2676" s="28"/>
      <c r="J2676" s="28"/>
      <c r="K2676" s="28"/>
    </row>
    <row r="2677" spans="2:11" x14ac:dyDescent="0.25">
      <c r="B2677" s="25"/>
      <c r="C2677" s="8"/>
      <c r="D2677" s="7"/>
      <c r="E2677" s="27"/>
      <c r="F2677" s="27"/>
      <c r="G2677" s="7"/>
      <c r="H2677" s="28"/>
      <c r="I2677" s="28"/>
      <c r="J2677" s="28"/>
      <c r="K2677" s="28"/>
    </row>
    <row r="2678" spans="2:11" x14ac:dyDescent="0.25">
      <c r="B2678" s="25"/>
      <c r="C2678" s="8"/>
      <c r="D2678" s="7"/>
      <c r="E2678" s="27"/>
      <c r="F2678" s="27"/>
      <c r="G2678" s="7"/>
      <c r="H2678" s="28"/>
      <c r="I2678" s="28"/>
      <c r="J2678" s="28"/>
      <c r="K2678" s="28"/>
    </row>
    <row r="2679" spans="2:11" x14ac:dyDescent="0.25">
      <c r="B2679" s="25"/>
      <c r="C2679" s="8"/>
      <c r="D2679" s="7"/>
      <c r="E2679" s="27"/>
      <c r="F2679" s="27"/>
      <c r="G2679" s="7"/>
      <c r="H2679" s="28"/>
      <c r="I2679" s="28"/>
      <c r="J2679" s="28"/>
      <c r="K2679" s="28"/>
    </row>
    <row r="2680" spans="2:11" x14ac:dyDescent="0.25">
      <c r="B2680" s="25"/>
      <c r="C2680" s="8"/>
      <c r="D2680" s="7"/>
      <c r="E2680" s="27"/>
      <c r="F2680" s="27"/>
      <c r="G2680" s="7"/>
      <c r="H2680" s="28"/>
      <c r="I2680" s="28"/>
      <c r="J2680" s="28"/>
      <c r="K2680" s="28"/>
    </row>
    <row r="2681" spans="2:11" x14ac:dyDescent="0.25">
      <c r="B2681" s="25"/>
      <c r="C2681" s="8"/>
      <c r="D2681" s="7"/>
      <c r="E2681" s="27"/>
      <c r="F2681" s="27"/>
      <c r="G2681" s="7"/>
      <c r="H2681" s="28"/>
      <c r="I2681" s="28"/>
      <c r="J2681" s="28"/>
      <c r="K2681" s="28"/>
    </row>
    <row r="2682" spans="2:11" x14ac:dyDescent="0.25">
      <c r="B2682" s="25"/>
      <c r="C2682" s="8"/>
      <c r="D2682" s="7"/>
      <c r="E2682" s="27"/>
      <c r="F2682" s="27"/>
      <c r="G2682" s="7"/>
      <c r="H2682" s="28"/>
      <c r="I2682" s="28"/>
      <c r="J2682" s="28"/>
      <c r="K2682" s="28"/>
    </row>
    <row r="2683" spans="2:11" x14ac:dyDescent="0.25">
      <c r="B2683" s="25"/>
      <c r="C2683" s="8"/>
      <c r="D2683" s="7"/>
      <c r="E2683" s="27"/>
      <c r="F2683" s="27"/>
      <c r="G2683" s="7"/>
      <c r="H2683" s="28"/>
      <c r="I2683" s="28"/>
      <c r="J2683" s="28"/>
      <c r="K2683" s="28"/>
    </row>
    <row r="2684" spans="2:11" x14ac:dyDescent="0.25">
      <c r="B2684" s="25"/>
      <c r="C2684" s="8"/>
      <c r="D2684" s="7"/>
      <c r="E2684" s="27"/>
      <c r="F2684" s="27"/>
      <c r="G2684" s="7"/>
      <c r="H2684" s="28"/>
      <c r="I2684" s="28"/>
      <c r="J2684" s="28"/>
      <c r="K2684" s="28"/>
    </row>
    <row r="2685" spans="2:11" x14ac:dyDescent="0.25">
      <c r="B2685" s="25"/>
      <c r="C2685" s="8"/>
      <c r="D2685" s="7"/>
      <c r="E2685" s="27"/>
      <c r="F2685" s="27"/>
      <c r="G2685" s="7"/>
      <c r="H2685" s="28"/>
      <c r="I2685" s="28"/>
      <c r="J2685" s="28"/>
      <c r="K2685" s="28"/>
    </row>
    <row r="2686" spans="2:11" x14ac:dyDescent="0.25">
      <c r="B2686" s="25"/>
      <c r="C2686" s="8"/>
      <c r="D2686" s="7"/>
      <c r="E2686" s="27"/>
      <c r="F2686" s="27"/>
      <c r="G2686" s="7"/>
      <c r="H2686" s="28"/>
      <c r="I2686" s="28"/>
      <c r="J2686" s="28"/>
      <c r="K2686" s="28"/>
    </row>
    <row r="2687" spans="2:11" x14ac:dyDescent="0.25">
      <c r="B2687" s="25"/>
      <c r="C2687" s="8"/>
      <c r="D2687" s="7"/>
      <c r="E2687" s="27"/>
      <c r="F2687" s="27"/>
      <c r="G2687" s="7"/>
      <c r="H2687" s="28"/>
      <c r="I2687" s="28"/>
      <c r="J2687" s="28"/>
      <c r="K2687" s="28"/>
    </row>
    <row r="2688" spans="2:11" x14ac:dyDescent="0.25">
      <c r="B2688" s="25"/>
      <c r="C2688" s="8"/>
      <c r="D2688" s="7"/>
      <c r="E2688" s="27"/>
      <c r="F2688" s="27"/>
      <c r="G2688" s="7"/>
      <c r="H2688" s="28"/>
      <c r="I2688" s="28"/>
      <c r="J2688" s="28"/>
      <c r="K2688" s="28"/>
    </row>
    <row r="2689" spans="2:11" x14ac:dyDescent="0.25">
      <c r="B2689" s="25"/>
      <c r="C2689" s="8"/>
      <c r="D2689" s="7"/>
      <c r="E2689" s="27"/>
      <c r="F2689" s="27"/>
      <c r="G2689" s="7"/>
      <c r="H2689" s="28"/>
      <c r="I2689" s="28"/>
      <c r="J2689" s="28"/>
      <c r="K2689" s="28"/>
    </row>
    <row r="2690" spans="2:11" x14ac:dyDescent="0.25">
      <c r="B2690" s="25"/>
      <c r="C2690" s="8"/>
      <c r="D2690" s="7"/>
      <c r="E2690" s="27"/>
      <c r="F2690" s="27"/>
      <c r="G2690" s="7"/>
      <c r="H2690" s="28"/>
      <c r="I2690" s="28"/>
      <c r="J2690" s="28"/>
      <c r="K2690" s="28"/>
    </row>
    <row r="2691" spans="2:11" x14ac:dyDescent="0.25">
      <c r="B2691" s="25"/>
      <c r="C2691" s="8"/>
      <c r="D2691" s="7"/>
      <c r="E2691" s="27"/>
      <c r="F2691" s="27"/>
      <c r="G2691" s="7"/>
      <c r="H2691" s="28"/>
      <c r="I2691" s="28"/>
      <c r="J2691" s="28"/>
      <c r="K2691" s="28"/>
    </row>
    <row r="2692" spans="2:11" x14ac:dyDescent="0.25">
      <c r="B2692" s="25"/>
      <c r="C2692" s="8"/>
      <c r="D2692" s="7"/>
      <c r="E2692" s="27"/>
      <c r="F2692" s="27"/>
      <c r="G2692" s="7"/>
      <c r="H2692" s="28"/>
      <c r="I2692" s="28"/>
      <c r="J2692" s="28"/>
      <c r="K2692" s="28"/>
    </row>
    <row r="2693" spans="2:11" x14ac:dyDescent="0.25">
      <c r="B2693" s="25"/>
      <c r="C2693" s="8"/>
      <c r="D2693" s="7"/>
      <c r="E2693" s="27"/>
      <c r="F2693" s="27"/>
      <c r="G2693" s="7"/>
      <c r="H2693" s="28"/>
      <c r="I2693" s="28"/>
      <c r="J2693" s="28"/>
      <c r="K2693" s="28"/>
    </row>
    <row r="2694" spans="2:11" x14ac:dyDescent="0.25">
      <c r="B2694" s="25"/>
      <c r="C2694" s="8"/>
      <c r="D2694" s="7"/>
      <c r="E2694" s="27"/>
      <c r="F2694" s="27"/>
      <c r="G2694" s="7"/>
      <c r="H2694" s="28"/>
      <c r="I2694" s="28"/>
      <c r="J2694" s="28"/>
      <c r="K2694" s="28"/>
    </row>
    <row r="2695" spans="2:11" x14ac:dyDescent="0.25">
      <c r="B2695" s="25"/>
      <c r="C2695" s="8"/>
      <c r="D2695" s="7"/>
      <c r="E2695" s="27"/>
      <c r="F2695" s="27"/>
      <c r="G2695" s="7"/>
      <c r="H2695" s="28"/>
      <c r="I2695" s="28"/>
      <c r="J2695" s="28"/>
      <c r="K2695" s="28"/>
    </row>
    <row r="2696" spans="2:11" x14ac:dyDescent="0.25">
      <c r="B2696" s="25"/>
      <c r="C2696" s="8"/>
      <c r="D2696" s="7"/>
      <c r="E2696" s="27"/>
      <c r="F2696" s="27"/>
      <c r="G2696" s="7"/>
      <c r="H2696" s="28"/>
      <c r="I2696" s="28"/>
      <c r="J2696" s="28"/>
      <c r="K2696" s="28"/>
    </row>
    <row r="2697" spans="2:11" x14ac:dyDescent="0.25">
      <c r="B2697" s="25"/>
      <c r="C2697" s="8"/>
      <c r="D2697" s="7"/>
      <c r="E2697" s="27"/>
      <c r="F2697" s="27"/>
      <c r="G2697" s="7"/>
      <c r="H2697" s="28"/>
      <c r="I2697" s="28"/>
      <c r="J2697" s="28"/>
      <c r="K2697" s="28"/>
    </row>
    <row r="2698" spans="2:11" x14ac:dyDescent="0.25">
      <c r="B2698" s="25"/>
      <c r="C2698" s="8"/>
      <c r="D2698" s="7"/>
      <c r="E2698" s="27"/>
      <c r="F2698" s="27"/>
      <c r="G2698" s="7"/>
      <c r="H2698" s="28"/>
      <c r="I2698" s="28"/>
      <c r="J2698" s="28"/>
      <c r="K2698" s="28"/>
    </row>
    <row r="2699" spans="2:11" x14ac:dyDescent="0.25">
      <c r="B2699" s="25"/>
      <c r="C2699" s="8"/>
      <c r="D2699" s="7"/>
      <c r="E2699" s="27"/>
      <c r="F2699" s="27"/>
      <c r="G2699" s="7"/>
      <c r="H2699" s="28"/>
      <c r="I2699" s="28"/>
      <c r="J2699" s="28"/>
      <c r="K2699" s="28"/>
    </row>
    <row r="2700" spans="2:11" x14ac:dyDescent="0.25">
      <c r="B2700" s="25"/>
      <c r="C2700" s="8"/>
      <c r="D2700" s="7"/>
      <c r="E2700" s="27"/>
      <c r="F2700" s="27"/>
      <c r="G2700" s="7"/>
      <c r="H2700" s="28"/>
      <c r="I2700" s="28"/>
      <c r="J2700" s="28"/>
      <c r="K2700" s="28"/>
    </row>
    <row r="2701" spans="2:11" x14ac:dyDescent="0.25">
      <c r="B2701" s="25"/>
      <c r="C2701" s="8"/>
      <c r="D2701" s="7"/>
      <c r="E2701" s="27"/>
      <c r="F2701" s="27"/>
      <c r="G2701" s="7"/>
      <c r="H2701" s="28"/>
      <c r="I2701" s="28"/>
      <c r="J2701" s="28"/>
      <c r="K2701" s="28"/>
    </row>
    <row r="2702" spans="2:11" x14ac:dyDescent="0.25">
      <c r="B2702" s="25"/>
      <c r="C2702" s="8"/>
      <c r="D2702" s="7"/>
      <c r="E2702" s="27"/>
      <c r="F2702" s="27"/>
      <c r="G2702" s="7"/>
      <c r="H2702" s="28"/>
      <c r="I2702" s="28"/>
      <c r="J2702" s="28"/>
      <c r="K2702" s="28"/>
    </row>
    <row r="2703" spans="2:11" x14ac:dyDescent="0.25">
      <c r="B2703" s="25"/>
      <c r="C2703" s="8"/>
      <c r="D2703" s="7"/>
      <c r="E2703" s="27"/>
      <c r="F2703" s="27"/>
      <c r="G2703" s="7"/>
      <c r="H2703" s="28"/>
      <c r="I2703" s="28"/>
      <c r="J2703" s="28"/>
      <c r="K2703" s="28"/>
    </row>
    <row r="2704" spans="2:11" x14ac:dyDescent="0.25">
      <c r="B2704" s="25"/>
      <c r="C2704" s="8"/>
      <c r="D2704" s="7"/>
      <c r="E2704" s="27"/>
      <c r="F2704" s="27"/>
      <c r="G2704" s="7"/>
      <c r="H2704" s="28"/>
      <c r="I2704" s="28"/>
      <c r="J2704" s="28"/>
      <c r="K2704" s="28"/>
    </row>
    <row r="2705" spans="2:11" x14ac:dyDescent="0.25">
      <c r="B2705" s="25"/>
      <c r="C2705" s="8"/>
      <c r="D2705" s="7"/>
      <c r="E2705" s="27"/>
      <c r="F2705" s="27"/>
      <c r="G2705" s="7"/>
      <c r="H2705" s="28"/>
      <c r="I2705" s="28"/>
      <c r="J2705" s="28"/>
      <c r="K2705" s="28"/>
    </row>
    <row r="2706" spans="2:11" x14ac:dyDescent="0.25">
      <c r="B2706" s="25"/>
      <c r="C2706" s="8"/>
      <c r="D2706" s="7"/>
      <c r="E2706" s="27"/>
      <c r="F2706" s="27"/>
      <c r="G2706" s="7"/>
      <c r="H2706" s="28"/>
      <c r="I2706" s="28"/>
      <c r="J2706" s="28"/>
      <c r="K2706" s="28"/>
    </row>
    <row r="2707" spans="2:11" x14ac:dyDescent="0.25">
      <c r="B2707" s="25"/>
      <c r="C2707" s="8"/>
      <c r="D2707" s="7"/>
      <c r="E2707" s="27"/>
      <c r="F2707" s="27"/>
      <c r="G2707" s="7"/>
      <c r="H2707" s="28"/>
      <c r="I2707" s="28"/>
      <c r="J2707" s="28"/>
      <c r="K2707" s="28"/>
    </row>
    <row r="2708" spans="2:11" x14ac:dyDescent="0.25">
      <c r="B2708" s="25"/>
      <c r="C2708" s="8"/>
      <c r="D2708" s="7"/>
      <c r="E2708" s="27"/>
      <c r="F2708" s="27"/>
      <c r="G2708" s="7"/>
      <c r="H2708" s="28"/>
      <c r="I2708" s="28"/>
      <c r="J2708" s="28"/>
      <c r="K2708" s="28"/>
    </row>
    <row r="2709" spans="2:11" x14ac:dyDescent="0.25">
      <c r="B2709" s="25"/>
      <c r="C2709" s="8"/>
      <c r="D2709" s="7"/>
      <c r="E2709" s="27"/>
      <c r="F2709" s="27"/>
      <c r="G2709" s="7"/>
      <c r="H2709" s="28"/>
      <c r="I2709" s="28"/>
      <c r="J2709" s="28"/>
      <c r="K2709" s="28"/>
    </row>
    <row r="2710" spans="2:11" x14ac:dyDescent="0.25">
      <c r="B2710" s="25"/>
      <c r="C2710" s="8"/>
      <c r="D2710" s="7"/>
      <c r="E2710" s="27"/>
      <c r="F2710" s="27"/>
      <c r="G2710" s="7"/>
      <c r="H2710" s="28"/>
      <c r="I2710" s="28"/>
      <c r="J2710" s="28"/>
      <c r="K2710" s="28"/>
    </row>
    <row r="2711" spans="2:11" x14ac:dyDescent="0.25">
      <c r="B2711" s="25"/>
      <c r="C2711" s="8"/>
      <c r="D2711" s="7"/>
      <c r="E2711" s="27"/>
      <c r="F2711" s="27"/>
      <c r="G2711" s="7"/>
      <c r="H2711" s="28"/>
      <c r="I2711" s="28"/>
      <c r="J2711" s="28"/>
      <c r="K2711" s="28"/>
    </row>
    <row r="2712" spans="2:11" x14ac:dyDescent="0.25">
      <c r="B2712" s="25"/>
      <c r="C2712" s="8"/>
      <c r="D2712" s="7"/>
      <c r="E2712" s="27"/>
      <c r="F2712" s="27"/>
      <c r="G2712" s="7"/>
      <c r="H2712" s="28"/>
      <c r="I2712" s="28"/>
      <c r="J2712" s="28"/>
      <c r="K2712" s="28"/>
    </row>
    <row r="2713" spans="2:11" x14ac:dyDescent="0.25">
      <c r="B2713" s="25"/>
      <c r="C2713" s="8"/>
      <c r="D2713" s="7"/>
      <c r="E2713" s="27"/>
      <c r="F2713" s="27"/>
      <c r="G2713" s="7"/>
      <c r="H2713" s="28"/>
      <c r="I2713" s="28"/>
      <c r="J2713" s="28"/>
      <c r="K2713" s="28"/>
    </row>
    <row r="2714" spans="2:11" x14ac:dyDescent="0.25">
      <c r="B2714" s="25"/>
      <c r="C2714" s="8"/>
      <c r="D2714" s="7"/>
      <c r="E2714" s="27"/>
      <c r="F2714" s="27"/>
      <c r="G2714" s="7"/>
      <c r="H2714" s="28"/>
      <c r="I2714" s="28"/>
      <c r="J2714" s="28"/>
      <c r="K2714" s="28"/>
    </row>
    <row r="2715" spans="2:11" x14ac:dyDescent="0.25">
      <c r="B2715" s="25"/>
      <c r="C2715" s="8"/>
      <c r="D2715" s="7"/>
      <c r="E2715" s="27"/>
      <c r="F2715" s="27"/>
      <c r="G2715" s="7"/>
      <c r="H2715" s="28"/>
      <c r="I2715" s="28"/>
      <c r="J2715" s="28"/>
      <c r="K2715" s="28"/>
    </row>
    <row r="2716" spans="2:11" x14ac:dyDescent="0.25">
      <c r="B2716" s="25"/>
      <c r="C2716" s="8"/>
      <c r="D2716" s="7"/>
      <c r="E2716" s="27"/>
      <c r="F2716" s="27"/>
      <c r="G2716" s="7"/>
      <c r="H2716" s="28"/>
      <c r="I2716" s="28"/>
      <c r="J2716" s="28"/>
      <c r="K2716" s="28"/>
    </row>
    <row r="2717" spans="2:11" x14ac:dyDescent="0.25">
      <c r="B2717" s="25"/>
      <c r="C2717" s="8"/>
      <c r="D2717" s="7"/>
      <c r="E2717" s="27"/>
      <c r="F2717" s="27"/>
      <c r="G2717" s="7"/>
      <c r="H2717" s="28"/>
      <c r="I2717" s="28"/>
      <c r="J2717" s="28"/>
      <c r="K2717" s="28"/>
    </row>
    <row r="2718" spans="2:11" x14ac:dyDescent="0.25">
      <c r="B2718" s="25"/>
      <c r="C2718" s="8"/>
      <c r="D2718" s="7"/>
      <c r="E2718" s="27"/>
      <c r="F2718" s="27"/>
      <c r="G2718" s="7"/>
      <c r="H2718" s="28"/>
      <c r="I2718" s="28"/>
      <c r="J2718" s="28"/>
      <c r="K2718" s="28"/>
    </row>
    <row r="2719" spans="2:11" x14ac:dyDescent="0.25">
      <c r="B2719" s="25"/>
      <c r="C2719" s="8"/>
      <c r="D2719" s="7"/>
      <c r="E2719" s="27"/>
      <c r="F2719" s="27"/>
      <c r="G2719" s="7"/>
      <c r="H2719" s="28"/>
      <c r="I2719" s="28"/>
      <c r="J2719" s="28"/>
      <c r="K2719" s="28"/>
    </row>
    <row r="2720" spans="2:11" x14ac:dyDescent="0.25">
      <c r="B2720" s="25"/>
      <c r="C2720" s="8"/>
      <c r="D2720" s="7"/>
      <c r="E2720" s="27"/>
      <c r="F2720" s="27"/>
      <c r="G2720" s="7"/>
      <c r="H2720" s="28"/>
      <c r="I2720" s="28"/>
      <c r="J2720" s="28"/>
      <c r="K2720" s="28"/>
    </row>
    <row r="2721" spans="2:11" x14ac:dyDescent="0.25">
      <c r="B2721" s="25"/>
      <c r="C2721" s="8"/>
      <c r="D2721" s="7"/>
      <c r="E2721" s="27"/>
      <c r="F2721" s="27"/>
      <c r="G2721" s="7"/>
      <c r="H2721" s="28"/>
      <c r="I2721" s="28"/>
      <c r="J2721" s="28"/>
      <c r="K2721" s="28"/>
    </row>
    <row r="2722" spans="2:11" x14ac:dyDescent="0.25">
      <c r="B2722" s="25"/>
      <c r="C2722" s="8"/>
      <c r="D2722" s="7"/>
      <c r="E2722" s="27"/>
      <c r="F2722" s="27"/>
      <c r="G2722" s="7"/>
      <c r="H2722" s="28"/>
      <c r="I2722" s="28"/>
      <c r="J2722" s="28"/>
      <c r="K2722" s="28"/>
    </row>
    <row r="2723" spans="2:11" x14ac:dyDescent="0.25">
      <c r="B2723" s="25"/>
      <c r="C2723" s="8"/>
      <c r="D2723" s="7"/>
      <c r="E2723" s="27"/>
      <c r="F2723" s="27"/>
      <c r="G2723" s="7"/>
      <c r="H2723" s="28"/>
      <c r="I2723" s="28"/>
      <c r="J2723" s="28"/>
      <c r="K2723" s="28"/>
    </row>
    <row r="2724" spans="2:11" x14ac:dyDescent="0.25">
      <c r="B2724" s="25"/>
      <c r="C2724" s="8"/>
      <c r="D2724" s="7"/>
      <c r="E2724" s="27"/>
      <c r="F2724" s="27"/>
      <c r="G2724" s="7"/>
      <c r="H2724" s="28"/>
      <c r="I2724" s="28"/>
      <c r="J2724" s="28"/>
      <c r="K2724" s="28"/>
    </row>
    <row r="2725" spans="2:11" x14ac:dyDescent="0.25">
      <c r="B2725" s="25"/>
      <c r="C2725" s="8"/>
      <c r="D2725" s="7"/>
      <c r="E2725" s="27"/>
      <c r="F2725" s="27"/>
      <c r="G2725" s="7"/>
      <c r="H2725" s="28"/>
      <c r="I2725" s="28"/>
      <c r="J2725" s="28"/>
      <c r="K2725" s="28"/>
    </row>
    <row r="2726" spans="2:11" x14ac:dyDescent="0.25">
      <c r="B2726" s="25"/>
      <c r="C2726" s="8"/>
      <c r="D2726" s="7"/>
      <c r="E2726" s="27"/>
      <c r="F2726" s="27"/>
      <c r="G2726" s="7"/>
      <c r="H2726" s="28"/>
      <c r="I2726" s="28"/>
      <c r="J2726" s="28"/>
      <c r="K2726" s="28"/>
    </row>
    <row r="2727" spans="2:11" x14ac:dyDescent="0.25">
      <c r="B2727" s="25"/>
      <c r="C2727" s="8"/>
      <c r="D2727" s="7"/>
      <c r="E2727" s="27"/>
      <c r="F2727" s="27"/>
      <c r="G2727" s="7"/>
      <c r="H2727" s="28"/>
      <c r="I2727" s="28"/>
      <c r="J2727" s="28"/>
      <c r="K2727" s="28"/>
    </row>
    <row r="2728" spans="2:11" x14ac:dyDescent="0.25">
      <c r="B2728" s="25"/>
      <c r="C2728" s="8"/>
      <c r="D2728" s="7"/>
      <c r="E2728" s="27"/>
      <c r="F2728" s="27"/>
      <c r="G2728" s="7"/>
      <c r="H2728" s="28"/>
      <c r="I2728" s="28"/>
      <c r="J2728" s="28"/>
      <c r="K2728" s="28"/>
    </row>
    <row r="2729" spans="2:11" x14ac:dyDescent="0.25">
      <c r="B2729" s="25"/>
      <c r="C2729" s="8"/>
      <c r="D2729" s="7"/>
      <c r="E2729" s="27"/>
      <c r="F2729" s="27"/>
      <c r="G2729" s="7"/>
      <c r="H2729" s="28"/>
      <c r="I2729" s="28"/>
      <c r="J2729" s="28"/>
      <c r="K2729" s="28"/>
    </row>
    <row r="2730" spans="2:11" x14ac:dyDescent="0.25">
      <c r="B2730" s="25"/>
      <c r="C2730" s="8"/>
      <c r="D2730" s="7"/>
      <c r="E2730" s="27"/>
      <c r="F2730" s="27"/>
      <c r="G2730" s="7"/>
      <c r="H2730" s="28"/>
      <c r="I2730" s="28"/>
      <c r="J2730" s="28"/>
      <c r="K2730" s="28"/>
    </row>
    <row r="2731" spans="2:11" x14ac:dyDescent="0.25">
      <c r="B2731" s="25"/>
      <c r="C2731" s="8"/>
      <c r="D2731" s="7"/>
      <c r="E2731" s="27"/>
      <c r="F2731" s="27"/>
      <c r="G2731" s="7"/>
      <c r="H2731" s="28"/>
      <c r="I2731" s="28"/>
      <c r="J2731" s="28"/>
      <c r="K2731" s="28"/>
    </row>
    <row r="2732" spans="2:11" x14ac:dyDescent="0.25">
      <c r="B2732" s="25"/>
      <c r="C2732" s="8"/>
      <c r="D2732" s="7"/>
      <c r="E2732" s="27"/>
      <c r="F2732" s="27"/>
      <c r="G2732" s="7"/>
      <c r="H2732" s="28"/>
      <c r="I2732" s="28"/>
      <c r="J2732" s="28"/>
      <c r="K2732" s="28"/>
    </row>
    <row r="2733" spans="2:11" x14ac:dyDescent="0.25">
      <c r="B2733" s="25"/>
      <c r="C2733" s="8"/>
      <c r="D2733" s="7"/>
      <c r="E2733" s="27"/>
      <c r="F2733" s="27"/>
      <c r="G2733" s="7"/>
      <c r="H2733" s="28"/>
      <c r="I2733" s="28"/>
      <c r="J2733" s="28"/>
      <c r="K2733" s="28"/>
    </row>
    <row r="2734" spans="2:11" x14ac:dyDescent="0.25">
      <c r="B2734" s="25"/>
      <c r="C2734" s="8"/>
      <c r="D2734" s="7"/>
      <c r="E2734" s="27"/>
      <c r="F2734" s="27"/>
      <c r="G2734" s="7"/>
      <c r="H2734" s="28"/>
      <c r="I2734" s="28"/>
      <c r="J2734" s="28"/>
      <c r="K2734" s="28"/>
    </row>
    <row r="2735" spans="2:11" x14ac:dyDescent="0.25">
      <c r="B2735" s="25"/>
      <c r="C2735" s="8"/>
      <c r="D2735" s="7"/>
      <c r="E2735" s="27"/>
      <c r="F2735" s="27"/>
      <c r="G2735" s="7"/>
      <c r="H2735" s="28"/>
      <c r="I2735" s="28"/>
      <c r="J2735" s="28"/>
      <c r="K2735" s="28"/>
    </row>
    <row r="2736" spans="2:11" x14ac:dyDescent="0.25">
      <c r="B2736" s="25"/>
      <c r="C2736" s="8"/>
      <c r="D2736" s="7"/>
      <c r="E2736" s="27"/>
      <c r="F2736" s="27"/>
      <c r="G2736" s="7"/>
      <c r="H2736" s="28"/>
      <c r="I2736" s="28"/>
      <c r="J2736" s="28"/>
      <c r="K2736" s="28"/>
    </row>
    <row r="2737" spans="2:11" x14ac:dyDescent="0.25">
      <c r="B2737" s="25"/>
      <c r="C2737" s="8"/>
      <c r="D2737" s="7"/>
      <c r="E2737" s="27"/>
      <c r="F2737" s="27"/>
      <c r="G2737" s="7"/>
      <c r="H2737" s="28"/>
      <c r="I2737" s="28"/>
      <c r="J2737" s="28"/>
      <c r="K2737" s="28"/>
    </row>
    <row r="2738" spans="2:11" x14ac:dyDescent="0.25">
      <c r="B2738" s="25"/>
      <c r="C2738" s="8"/>
      <c r="D2738" s="7"/>
      <c r="E2738" s="27"/>
      <c r="F2738" s="27"/>
      <c r="G2738" s="7"/>
      <c r="H2738" s="28"/>
      <c r="I2738" s="28"/>
      <c r="J2738" s="28"/>
      <c r="K2738" s="28"/>
    </row>
    <row r="2739" spans="2:11" x14ac:dyDescent="0.25">
      <c r="B2739" s="25"/>
      <c r="C2739" s="8"/>
      <c r="D2739" s="7"/>
      <c r="E2739" s="27"/>
      <c r="F2739" s="27"/>
      <c r="G2739" s="7"/>
      <c r="H2739" s="28"/>
      <c r="I2739" s="28"/>
      <c r="J2739" s="28"/>
      <c r="K2739" s="28"/>
    </row>
    <row r="2740" spans="2:11" x14ac:dyDescent="0.25">
      <c r="B2740" s="25"/>
      <c r="C2740" s="8"/>
      <c r="D2740" s="7"/>
      <c r="E2740" s="27"/>
      <c r="F2740" s="27"/>
      <c r="G2740" s="7"/>
      <c r="H2740" s="28"/>
      <c r="I2740" s="28"/>
      <c r="J2740" s="28"/>
      <c r="K2740" s="28"/>
    </row>
    <row r="2741" spans="2:11" x14ac:dyDescent="0.25">
      <c r="B2741" s="25"/>
      <c r="C2741" s="8"/>
      <c r="D2741" s="7"/>
      <c r="E2741" s="27"/>
      <c r="F2741" s="27"/>
      <c r="G2741" s="7"/>
      <c r="H2741" s="28"/>
      <c r="I2741" s="28"/>
      <c r="J2741" s="28"/>
      <c r="K2741" s="28"/>
    </row>
    <row r="2742" spans="2:11" x14ac:dyDescent="0.25">
      <c r="B2742" s="25"/>
      <c r="C2742" s="8"/>
      <c r="D2742" s="7"/>
      <c r="E2742" s="27"/>
      <c r="F2742" s="27"/>
      <c r="G2742" s="7"/>
      <c r="H2742" s="28"/>
      <c r="I2742" s="28"/>
      <c r="J2742" s="28"/>
      <c r="K2742" s="28"/>
    </row>
    <row r="2743" spans="2:11" x14ac:dyDescent="0.25">
      <c r="B2743" s="25"/>
      <c r="C2743" s="8"/>
      <c r="D2743" s="7"/>
      <c r="E2743" s="27"/>
      <c r="F2743" s="27"/>
      <c r="G2743" s="7"/>
      <c r="H2743" s="28"/>
      <c r="I2743" s="28"/>
      <c r="J2743" s="28"/>
      <c r="K2743" s="28"/>
    </row>
    <row r="2744" spans="2:11" x14ac:dyDescent="0.25">
      <c r="B2744" s="25"/>
      <c r="C2744" s="8"/>
      <c r="D2744" s="7"/>
      <c r="E2744" s="27"/>
      <c r="F2744" s="27"/>
      <c r="G2744" s="7"/>
      <c r="H2744" s="28"/>
      <c r="I2744" s="28"/>
      <c r="J2744" s="28"/>
      <c r="K2744" s="28"/>
    </row>
    <row r="2745" spans="2:11" x14ac:dyDescent="0.25">
      <c r="B2745" s="25"/>
      <c r="C2745" s="8"/>
      <c r="D2745" s="7"/>
      <c r="E2745" s="27"/>
      <c r="F2745" s="27"/>
      <c r="G2745" s="7"/>
      <c r="H2745" s="28"/>
      <c r="I2745" s="28"/>
      <c r="J2745" s="28"/>
      <c r="K2745" s="28"/>
    </row>
    <row r="2746" spans="2:11" x14ac:dyDescent="0.25">
      <c r="B2746" s="25"/>
      <c r="C2746" s="8"/>
      <c r="D2746" s="7"/>
      <c r="E2746" s="27"/>
      <c r="F2746" s="27"/>
      <c r="G2746" s="7"/>
      <c r="H2746" s="28"/>
      <c r="I2746" s="28"/>
      <c r="J2746" s="28"/>
      <c r="K2746" s="28"/>
    </row>
    <row r="2747" spans="2:11" x14ac:dyDescent="0.25">
      <c r="B2747" s="25"/>
      <c r="C2747" s="8"/>
      <c r="D2747" s="7"/>
      <c r="E2747" s="27"/>
      <c r="F2747" s="27"/>
      <c r="G2747" s="7"/>
      <c r="H2747" s="28"/>
      <c r="I2747" s="28"/>
      <c r="J2747" s="28"/>
      <c r="K2747" s="28"/>
    </row>
    <row r="2748" spans="2:11" x14ac:dyDescent="0.25">
      <c r="B2748" s="25"/>
      <c r="C2748" s="8"/>
      <c r="D2748" s="7"/>
      <c r="E2748" s="27"/>
      <c r="F2748" s="27"/>
      <c r="G2748" s="7"/>
      <c r="H2748" s="28"/>
      <c r="I2748" s="28"/>
      <c r="J2748" s="28"/>
      <c r="K2748" s="28"/>
    </row>
    <row r="2749" spans="2:11" x14ac:dyDescent="0.25">
      <c r="B2749" s="25"/>
      <c r="C2749" s="8"/>
      <c r="D2749" s="7"/>
      <c r="E2749" s="27"/>
      <c r="F2749" s="27"/>
      <c r="G2749" s="7"/>
      <c r="H2749" s="28"/>
      <c r="I2749" s="28"/>
      <c r="J2749" s="28"/>
      <c r="K2749" s="28"/>
    </row>
    <row r="2750" spans="2:11" x14ac:dyDescent="0.25">
      <c r="B2750" s="25"/>
      <c r="C2750" s="8"/>
      <c r="D2750" s="7"/>
      <c r="E2750" s="27"/>
      <c r="F2750" s="27"/>
      <c r="G2750" s="7"/>
      <c r="H2750" s="28"/>
      <c r="I2750" s="28"/>
      <c r="J2750" s="28"/>
      <c r="K2750" s="28"/>
    </row>
    <row r="2751" spans="2:11" x14ac:dyDescent="0.25">
      <c r="B2751" s="25"/>
      <c r="C2751" s="8"/>
      <c r="D2751" s="7"/>
      <c r="E2751" s="27"/>
      <c r="F2751" s="27"/>
      <c r="G2751" s="7"/>
      <c r="H2751" s="28"/>
      <c r="I2751" s="28"/>
      <c r="J2751" s="28"/>
      <c r="K2751" s="28"/>
    </row>
    <row r="2752" spans="2:11" x14ac:dyDescent="0.25">
      <c r="B2752" s="25"/>
      <c r="C2752" s="8"/>
      <c r="D2752" s="7"/>
      <c r="E2752" s="27"/>
      <c r="F2752" s="27"/>
      <c r="G2752" s="7"/>
      <c r="H2752" s="28"/>
      <c r="I2752" s="28"/>
      <c r="J2752" s="28"/>
      <c r="K2752" s="28"/>
    </row>
    <row r="2753" spans="2:11" x14ac:dyDescent="0.25">
      <c r="B2753" s="25"/>
      <c r="C2753" s="8"/>
      <c r="D2753" s="7"/>
      <c r="E2753" s="27"/>
      <c r="F2753" s="27"/>
      <c r="G2753" s="7"/>
      <c r="H2753" s="28"/>
      <c r="I2753" s="28"/>
      <c r="J2753" s="28"/>
      <c r="K2753" s="28"/>
    </row>
    <row r="2754" spans="2:11" x14ac:dyDescent="0.25">
      <c r="B2754" s="25"/>
      <c r="C2754" s="8"/>
      <c r="D2754" s="7"/>
      <c r="E2754" s="27"/>
      <c r="F2754" s="27"/>
      <c r="G2754" s="7"/>
      <c r="H2754" s="28"/>
      <c r="I2754" s="28"/>
      <c r="J2754" s="28"/>
      <c r="K2754" s="28"/>
    </row>
    <row r="2755" spans="2:11" x14ac:dyDescent="0.25">
      <c r="B2755" s="25"/>
      <c r="C2755" s="8"/>
      <c r="D2755" s="7"/>
      <c r="E2755" s="27"/>
      <c r="F2755" s="27"/>
      <c r="G2755" s="7"/>
      <c r="H2755" s="28"/>
      <c r="I2755" s="28"/>
      <c r="J2755" s="28"/>
      <c r="K2755" s="28"/>
    </row>
    <row r="2756" spans="2:11" x14ac:dyDescent="0.25">
      <c r="B2756" s="25"/>
      <c r="C2756" s="8"/>
      <c r="D2756" s="7"/>
      <c r="E2756" s="27"/>
      <c r="F2756" s="27"/>
      <c r="G2756" s="7"/>
      <c r="H2756" s="28"/>
      <c r="I2756" s="28"/>
      <c r="J2756" s="28"/>
      <c r="K2756" s="28"/>
    </row>
    <row r="2757" spans="2:11" x14ac:dyDescent="0.25">
      <c r="B2757" s="25"/>
      <c r="C2757" s="8"/>
      <c r="D2757" s="7"/>
      <c r="E2757" s="27"/>
      <c r="F2757" s="27"/>
      <c r="G2757" s="7"/>
      <c r="H2757" s="28"/>
      <c r="I2757" s="28"/>
      <c r="J2757" s="28"/>
      <c r="K2757" s="28"/>
    </row>
    <row r="2758" spans="2:11" x14ac:dyDescent="0.25">
      <c r="B2758" s="25"/>
      <c r="C2758" s="8"/>
      <c r="D2758" s="7"/>
      <c r="E2758" s="27"/>
      <c r="F2758" s="27"/>
      <c r="G2758" s="7"/>
      <c r="H2758" s="28"/>
      <c r="I2758" s="28"/>
      <c r="J2758" s="28"/>
      <c r="K2758" s="28"/>
    </row>
    <row r="2759" spans="2:11" x14ac:dyDescent="0.25">
      <c r="B2759" s="25"/>
      <c r="C2759" s="8"/>
      <c r="D2759" s="7"/>
      <c r="E2759" s="27"/>
      <c r="F2759" s="27"/>
      <c r="G2759" s="7"/>
      <c r="H2759" s="28"/>
      <c r="I2759" s="28"/>
      <c r="J2759" s="28"/>
      <c r="K2759" s="28"/>
    </row>
    <row r="2760" spans="2:11" x14ac:dyDescent="0.25">
      <c r="B2760" s="25"/>
      <c r="C2760" s="8"/>
      <c r="D2760" s="7"/>
      <c r="E2760" s="27"/>
      <c r="F2760" s="27"/>
      <c r="G2760" s="7"/>
      <c r="H2760" s="28"/>
      <c r="I2760" s="28"/>
      <c r="J2760" s="28"/>
      <c r="K2760" s="28"/>
    </row>
    <row r="2761" spans="2:11" x14ac:dyDescent="0.25">
      <c r="B2761" s="25"/>
      <c r="C2761" s="8"/>
      <c r="D2761" s="7"/>
      <c r="E2761" s="27"/>
      <c r="F2761" s="27"/>
      <c r="G2761" s="7"/>
      <c r="H2761" s="28"/>
      <c r="I2761" s="28"/>
      <c r="J2761" s="28"/>
      <c r="K2761" s="28"/>
    </row>
    <row r="2762" spans="2:11" x14ac:dyDescent="0.25">
      <c r="B2762" s="25"/>
      <c r="C2762" s="8"/>
      <c r="D2762" s="7"/>
      <c r="E2762" s="27"/>
      <c r="F2762" s="27"/>
      <c r="G2762" s="7"/>
      <c r="H2762" s="28"/>
      <c r="I2762" s="28"/>
      <c r="J2762" s="28"/>
      <c r="K2762" s="28"/>
    </row>
    <row r="2763" spans="2:11" x14ac:dyDescent="0.25">
      <c r="B2763" s="25"/>
      <c r="C2763" s="8"/>
      <c r="D2763" s="7"/>
      <c r="E2763" s="27"/>
      <c r="F2763" s="27"/>
      <c r="G2763" s="7"/>
      <c r="H2763" s="28"/>
      <c r="I2763" s="28"/>
      <c r="J2763" s="28"/>
      <c r="K2763" s="28"/>
    </row>
    <row r="2764" spans="2:11" x14ac:dyDescent="0.25">
      <c r="B2764" s="25"/>
      <c r="C2764" s="8"/>
      <c r="D2764" s="7"/>
      <c r="E2764" s="27"/>
      <c r="F2764" s="27"/>
      <c r="G2764" s="7"/>
      <c r="H2764" s="28"/>
      <c r="I2764" s="28"/>
      <c r="J2764" s="28"/>
      <c r="K2764" s="28"/>
    </row>
    <row r="2765" spans="2:11" x14ac:dyDescent="0.25">
      <c r="B2765" s="25"/>
      <c r="C2765" s="8"/>
      <c r="D2765" s="7"/>
      <c r="E2765" s="27"/>
      <c r="F2765" s="27"/>
      <c r="G2765" s="7"/>
      <c r="H2765" s="28"/>
      <c r="I2765" s="28"/>
      <c r="J2765" s="28"/>
      <c r="K2765" s="28"/>
    </row>
    <row r="2766" spans="2:11" x14ac:dyDescent="0.25">
      <c r="B2766" s="25"/>
      <c r="C2766" s="8"/>
      <c r="D2766" s="7"/>
      <c r="E2766" s="27"/>
      <c r="F2766" s="27"/>
      <c r="G2766" s="7"/>
      <c r="H2766" s="28"/>
      <c r="I2766" s="28"/>
      <c r="J2766" s="28"/>
      <c r="K2766" s="28"/>
    </row>
    <row r="2767" spans="2:11" x14ac:dyDescent="0.25">
      <c r="B2767" s="25"/>
      <c r="C2767" s="8"/>
      <c r="D2767" s="7"/>
      <c r="E2767" s="27"/>
      <c r="F2767" s="27"/>
      <c r="G2767" s="7"/>
      <c r="H2767" s="28"/>
      <c r="I2767" s="28"/>
      <c r="J2767" s="28"/>
      <c r="K2767" s="28"/>
    </row>
    <row r="2768" spans="2:11" x14ac:dyDescent="0.25">
      <c r="B2768" s="25"/>
      <c r="C2768" s="8"/>
      <c r="D2768" s="7"/>
      <c r="E2768" s="27"/>
      <c r="F2768" s="27"/>
      <c r="G2768" s="7"/>
      <c r="H2768" s="28"/>
      <c r="I2768" s="28"/>
      <c r="J2768" s="28"/>
      <c r="K2768" s="28"/>
    </row>
    <row r="2769" spans="2:11" x14ac:dyDescent="0.25">
      <c r="B2769" s="25"/>
      <c r="C2769" s="8"/>
      <c r="D2769" s="7"/>
      <c r="E2769" s="27"/>
      <c r="F2769" s="27"/>
      <c r="G2769" s="7"/>
      <c r="H2769" s="28"/>
      <c r="I2769" s="28"/>
      <c r="J2769" s="28"/>
      <c r="K2769" s="28"/>
    </row>
    <row r="2770" spans="2:11" x14ac:dyDescent="0.25">
      <c r="B2770" s="25"/>
      <c r="C2770" s="8"/>
      <c r="D2770" s="7"/>
      <c r="E2770" s="27"/>
      <c r="F2770" s="27"/>
      <c r="G2770" s="7"/>
      <c r="H2770" s="28"/>
      <c r="I2770" s="28"/>
      <c r="J2770" s="28"/>
      <c r="K2770" s="28"/>
    </row>
    <row r="2771" spans="2:11" x14ac:dyDescent="0.25">
      <c r="B2771" s="25"/>
      <c r="C2771" s="8"/>
      <c r="D2771" s="7"/>
      <c r="E2771" s="27"/>
      <c r="F2771" s="27"/>
      <c r="G2771" s="7"/>
      <c r="H2771" s="28"/>
      <c r="I2771" s="28"/>
      <c r="J2771" s="28"/>
      <c r="K2771" s="28"/>
    </row>
    <row r="2772" spans="2:11" x14ac:dyDescent="0.25">
      <c r="B2772" s="25"/>
      <c r="C2772" s="8"/>
      <c r="D2772" s="7"/>
      <c r="E2772" s="27"/>
      <c r="F2772" s="27"/>
      <c r="G2772" s="7"/>
      <c r="H2772" s="28"/>
      <c r="I2772" s="28"/>
      <c r="J2772" s="28"/>
      <c r="K2772" s="28"/>
    </row>
    <row r="2773" spans="2:11" x14ac:dyDescent="0.25">
      <c r="B2773" s="25"/>
      <c r="C2773" s="8"/>
      <c r="D2773" s="7"/>
      <c r="E2773" s="27"/>
      <c r="F2773" s="27"/>
      <c r="G2773" s="7"/>
      <c r="H2773" s="28"/>
      <c r="I2773" s="28"/>
      <c r="J2773" s="28"/>
      <c r="K2773" s="28"/>
    </row>
    <row r="2774" spans="2:11" x14ac:dyDescent="0.25">
      <c r="B2774" s="25"/>
      <c r="C2774" s="8"/>
      <c r="D2774" s="7"/>
      <c r="E2774" s="27"/>
      <c r="F2774" s="27"/>
      <c r="G2774" s="7"/>
      <c r="H2774" s="28"/>
      <c r="I2774" s="28"/>
      <c r="J2774" s="28"/>
      <c r="K2774" s="28"/>
    </row>
    <row r="2775" spans="2:11" x14ac:dyDescent="0.25">
      <c r="B2775" s="25"/>
      <c r="C2775" s="8"/>
      <c r="D2775" s="7"/>
      <c r="E2775" s="27"/>
      <c r="F2775" s="27"/>
      <c r="G2775" s="7"/>
      <c r="H2775" s="28"/>
      <c r="I2775" s="28"/>
      <c r="J2775" s="28"/>
      <c r="K2775" s="28"/>
    </row>
    <row r="2776" spans="2:11" x14ac:dyDescent="0.25">
      <c r="B2776" s="25"/>
      <c r="C2776" s="8"/>
      <c r="D2776" s="7"/>
      <c r="E2776" s="27"/>
      <c r="F2776" s="27"/>
      <c r="G2776" s="7"/>
      <c r="H2776" s="28"/>
      <c r="I2776" s="28"/>
      <c r="J2776" s="28"/>
      <c r="K2776" s="28"/>
    </row>
    <row r="2777" spans="2:11" x14ac:dyDescent="0.25">
      <c r="B2777" s="25"/>
      <c r="C2777" s="8"/>
      <c r="D2777" s="7"/>
      <c r="E2777" s="27"/>
      <c r="F2777" s="27"/>
      <c r="G2777" s="7"/>
      <c r="H2777" s="28"/>
      <c r="I2777" s="28"/>
      <c r="J2777" s="28"/>
      <c r="K2777" s="28"/>
    </row>
    <row r="2778" spans="2:11" x14ac:dyDescent="0.25">
      <c r="B2778" s="25"/>
      <c r="C2778" s="8"/>
      <c r="D2778" s="7"/>
      <c r="E2778" s="27"/>
      <c r="F2778" s="27"/>
      <c r="G2778" s="7"/>
      <c r="H2778" s="28"/>
      <c r="I2778" s="28"/>
      <c r="J2778" s="28"/>
      <c r="K2778" s="28"/>
    </row>
    <row r="2779" spans="2:11" x14ac:dyDescent="0.25">
      <c r="B2779" s="25"/>
      <c r="C2779" s="8"/>
      <c r="D2779" s="7"/>
      <c r="E2779" s="27"/>
      <c r="F2779" s="27"/>
      <c r="G2779" s="7"/>
      <c r="H2779" s="28"/>
      <c r="I2779" s="28"/>
      <c r="J2779" s="28"/>
      <c r="K2779" s="28"/>
    </row>
    <row r="2780" spans="2:11" x14ac:dyDescent="0.25">
      <c r="B2780" s="25"/>
      <c r="C2780" s="8"/>
      <c r="D2780" s="7"/>
      <c r="E2780" s="27"/>
      <c r="F2780" s="27"/>
      <c r="G2780" s="7"/>
      <c r="H2780" s="28"/>
      <c r="I2780" s="28"/>
      <c r="J2780" s="28"/>
      <c r="K2780" s="28"/>
    </row>
    <row r="2781" spans="2:11" x14ac:dyDescent="0.25">
      <c r="B2781" s="25"/>
      <c r="C2781" s="8"/>
      <c r="D2781" s="7"/>
      <c r="E2781" s="27"/>
      <c r="F2781" s="27"/>
      <c r="G2781" s="7"/>
      <c r="H2781" s="28"/>
      <c r="I2781" s="28"/>
      <c r="J2781" s="28"/>
      <c r="K2781" s="28"/>
    </row>
    <row r="2782" spans="2:11" x14ac:dyDescent="0.25">
      <c r="B2782" s="25"/>
      <c r="C2782" s="8"/>
      <c r="D2782" s="7"/>
      <c r="E2782" s="27"/>
      <c r="F2782" s="27"/>
      <c r="G2782" s="7"/>
      <c r="H2782" s="28"/>
      <c r="I2782" s="28"/>
      <c r="J2782" s="28"/>
      <c r="K2782" s="28"/>
    </row>
    <row r="2783" spans="2:11" x14ac:dyDescent="0.25">
      <c r="B2783" s="25"/>
      <c r="C2783" s="8"/>
      <c r="D2783" s="7"/>
      <c r="E2783" s="27"/>
      <c r="F2783" s="27"/>
      <c r="G2783" s="7"/>
      <c r="H2783" s="28"/>
      <c r="I2783" s="28"/>
      <c r="J2783" s="28"/>
      <c r="K2783" s="28"/>
    </row>
    <row r="2784" spans="2:11" x14ac:dyDescent="0.25">
      <c r="B2784" s="25"/>
      <c r="C2784" s="8"/>
      <c r="D2784" s="7"/>
      <c r="E2784" s="27"/>
      <c r="F2784" s="27"/>
      <c r="G2784" s="7"/>
      <c r="H2784" s="28"/>
      <c r="I2784" s="28"/>
      <c r="J2784" s="28"/>
      <c r="K2784" s="28"/>
    </row>
    <row r="2785" spans="2:11" x14ac:dyDescent="0.25">
      <c r="B2785" s="25"/>
      <c r="C2785" s="8"/>
      <c r="D2785" s="7"/>
      <c r="E2785" s="27"/>
      <c r="F2785" s="27"/>
      <c r="G2785" s="7"/>
      <c r="H2785" s="28"/>
      <c r="I2785" s="28"/>
      <c r="J2785" s="28"/>
      <c r="K2785" s="28"/>
    </row>
    <row r="2786" spans="2:11" x14ac:dyDescent="0.25">
      <c r="B2786" s="25"/>
      <c r="C2786" s="8"/>
      <c r="D2786" s="7"/>
      <c r="E2786" s="27"/>
      <c r="F2786" s="27"/>
      <c r="G2786" s="7"/>
      <c r="H2786" s="28"/>
      <c r="I2786" s="28"/>
      <c r="J2786" s="28"/>
      <c r="K2786" s="28"/>
    </row>
    <row r="2787" spans="2:11" x14ac:dyDescent="0.25">
      <c r="B2787" s="25"/>
      <c r="C2787" s="8"/>
      <c r="D2787" s="7"/>
      <c r="E2787" s="27"/>
      <c r="F2787" s="27"/>
      <c r="G2787" s="7"/>
      <c r="H2787" s="28"/>
      <c r="I2787" s="28"/>
      <c r="J2787" s="28"/>
      <c r="K2787" s="28"/>
    </row>
    <row r="2788" spans="2:11" x14ac:dyDescent="0.25">
      <c r="B2788" s="25"/>
      <c r="C2788" s="8"/>
      <c r="D2788" s="7"/>
      <c r="E2788" s="27"/>
      <c r="F2788" s="27"/>
      <c r="G2788" s="7"/>
      <c r="H2788" s="28"/>
      <c r="I2788" s="28"/>
      <c r="J2788" s="28"/>
      <c r="K2788" s="28"/>
    </row>
    <row r="2789" spans="2:11" x14ac:dyDescent="0.25">
      <c r="B2789" s="25"/>
      <c r="C2789" s="8"/>
      <c r="D2789" s="7"/>
      <c r="E2789" s="27"/>
      <c r="F2789" s="27"/>
      <c r="G2789" s="7"/>
      <c r="H2789" s="28"/>
      <c r="I2789" s="28"/>
      <c r="J2789" s="28"/>
      <c r="K2789" s="28"/>
    </row>
    <row r="2790" spans="2:11" x14ac:dyDescent="0.25">
      <c r="B2790" s="25"/>
      <c r="C2790" s="8"/>
      <c r="D2790" s="7"/>
      <c r="E2790" s="27"/>
      <c r="F2790" s="27"/>
      <c r="G2790" s="7"/>
      <c r="H2790" s="28"/>
      <c r="I2790" s="28"/>
      <c r="J2790" s="28"/>
      <c r="K2790" s="28"/>
    </row>
    <row r="2791" spans="2:11" x14ac:dyDescent="0.25">
      <c r="B2791" s="25"/>
      <c r="C2791" s="8"/>
      <c r="D2791" s="7"/>
      <c r="E2791" s="27"/>
      <c r="F2791" s="27"/>
      <c r="G2791" s="7"/>
      <c r="H2791" s="28"/>
      <c r="I2791" s="28"/>
      <c r="J2791" s="28"/>
      <c r="K2791" s="28"/>
    </row>
    <row r="2792" spans="2:11" x14ac:dyDescent="0.25">
      <c r="B2792" s="25"/>
      <c r="C2792" s="8"/>
      <c r="D2792" s="7"/>
      <c r="E2792" s="27"/>
      <c r="F2792" s="27"/>
      <c r="G2792" s="7"/>
      <c r="H2792" s="28"/>
      <c r="I2792" s="28"/>
      <c r="J2792" s="28"/>
      <c r="K2792" s="28"/>
    </row>
    <row r="2793" spans="2:11" x14ac:dyDescent="0.25">
      <c r="B2793" s="25"/>
      <c r="C2793" s="8"/>
      <c r="D2793" s="7"/>
      <c r="E2793" s="27"/>
      <c r="F2793" s="27"/>
      <c r="G2793" s="7"/>
      <c r="H2793" s="28"/>
      <c r="I2793" s="28"/>
      <c r="J2793" s="28"/>
      <c r="K2793" s="28"/>
    </row>
    <row r="2794" spans="2:11" x14ac:dyDescent="0.25">
      <c r="B2794" s="25"/>
      <c r="C2794" s="8"/>
      <c r="D2794" s="7"/>
      <c r="E2794" s="27"/>
      <c r="F2794" s="27"/>
      <c r="G2794" s="7"/>
      <c r="H2794" s="28"/>
      <c r="I2794" s="28"/>
      <c r="J2794" s="28"/>
      <c r="K2794" s="28"/>
    </row>
    <row r="2795" spans="2:11" x14ac:dyDescent="0.25">
      <c r="B2795" s="25"/>
      <c r="C2795" s="8"/>
      <c r="D2795" s="7"/>
      <c r="E2795" s="27"/>
      <c r="F2795" s="27"/>
      <c r="G2795" s="7"/>
      <c r="H2795" s="28"/>
      <c r="I2795" s="28"/>
      <c r="J2795" s="28"/>
      <c r="K2795" s="28"/>
    </row>
    <row r="2796" spans="2:11" x14ac:dyDescent="0.25">
      <c r="B2796" s="25"/>
      <c r="C2796" s="8"/>
      <c r="D2796" s="7"/>
      <c r="E2796" s="27"/>
      <c r="F2796" s="27"/>
      <c r="G2796" s="7"/>
      <c r="H2796" s="28"/>
      <c r="I2796" s="28"/>
      <c r="J2796" s="28"/>
      <c r="K2796" s="28"/>
    </row>
    <row r="2797" spans="2:11" x14ac:dyDescent="0.25">
      <c r="B2797" s="25"/>
      <c r="C2797" s="8"/>
      <c r="D2797" s="7"/>
      <c r="E2797" s="27"/>
      <c r="F2797" s="27"/>
      <c r="G2797" s="7"/>
      <c r="H2797" s="28"/>
      <c r="I2797" s="28"/>
      <c r="J2797" s="28"/>
      <c r="K2797" s="28"/>
    </row>
    <row r="2798" spans="2:11" x14ac:dyDescent="0.25">
      <c r="B2798" s="25"/>
      <c r="C2798" s="8"/>
      <c r="D2798" s="7"/>
      <c r="E2798" s="27"/>
      <c r="F2798" s="27"/>
      <c r="G2798" s="7"/>
      <c r="H2798" s="28"/>
      <c r="I2798" s="28"/>
      <c r="J2798" s="28"/>
      <c r="K2798" s="28"/>
    </row>
    <row r="2799" spans="2:11" x14ac:dyDescent="0.25">
      <c r="B2799" s="25"/>
      <c r="C2799" s="8"/>
      <c r="D2799" s="7"/>
      <c r="E2799" s="27"/>
      <c r="F2799" s="27"/>
      <c r="G2799" s="7"/>
      <c r="H2799" s="28"/>
      <c r="I2799" s="28"/>
      <c r="J2799" s="28"/>
      <c r="K2799" s="28"/>
    </row>
    <row r="2800" spans="2:11" x14ac:dyDescent="0.25">
      <c r="B2800" s="25"/>
      <c r="C2800" s="8"/>
      <c r="D2800" s="7"/>
      <c r="E2800" s="27"/>
      <c r="F2800" s="27"/>
      <c r="G2800" s="7"/>
      <c r="H2800" s="28"/>
      <c r="I2800" s="28"/>
      <c r="J2800" s="28"/>
      <c r="K2800" s="28"/>
    </row>
    <row r="2801" spans="2:11" x14ac:dyDescent="0.25">
      <c r="B2801" s="25"/>
      <c r="C2801" s="8"/>
      <c r="D2801" s="7"/>
      <c r="E2801" s="27"/>
      <c r="F2801" s="27"/>
      <c r="G2801" s="7"/>
      <c r="H2801" s="28"/>
      <c r="I2801" s="28"/>
      <c r="J2801" s="28"/>
      <c r="K2801" s="28"/>
    </row>
    <row r="2802" spans="2:11" x14ac:dyDescent="0.25">
      <c r="B2802" s="25"/>
      <c r="C2802" s="8"/>
      <c r="D2802" s="7"/>
      <c r="E2802" s="27"/>
      <c r="F2802" s="27"/>
      <c r="G2802" s="7"/>
      <c r="H2802" s="28"/>
      <c r="I2802" s="28"/>
      <c r="J2802" s="28"/>
      <c r="K2802" s="28"/>
    </row>
    <row r="2803" spans="2:11" x14ac:dyDescent="0.25">
      <c r="B2803" s="25"/>
      <c r="C2803" s="8"/>
      <c r="D2803" s="7"/>
      <c r="E2803" s="27"/>
      <c r="F2803" s="27"/>
      <c r="G2803" s="7"/>
      <c r="H2803" s="28"/>
      <c r="I2803" s="28"/>
      <c r="J2803" s="28"/>
      <c r="K2803" s="28"/>
    </row>
    <row r="2804" spans="2:11" x14ac:dyDescent="0.25">
      <c r="B2804" s="25"/>
      <c r="C2804" s="8"/>
      <c r="D2804" s="7"/>
      <c r="E2804" s="27"/>
      <c r="F2804" s="27"/>
      <c r="G2804" s="7"/>
      <c r="H2804" s="28"/>
      <c r="I2804" s="28"/>
      <c r="J2804" s="28"/>
      <c r="K2804" s="28"/>
    </row>
    <row r="2805" spans="2:11" x14ac:dyDescent="0.25">
      <c r="B2805" s="25"/>
      <c r="C2805" s="8"/>
      <c r="D2805" s="7"/>
      <c r="E2805" s="27"/>
      <c r="F2805" s="27"/>
      <c r="G2805" s="7"/>
      <c r="H2805" s="28"/>
      <c r="I2805" s="28"/>
      <c r="J2805" s="28"/>
      <c r="K2805" s="28"/>
    </row>
    <row r="2806" spans="2:11" x14ac:dyDescent="0.25">
      <c r="B2806" s="25"/>
      <c r="C2806" s="8"/>
      <c r="D2806" s="7"/>
      <c r="E2806" s="27"/>
      <c r="F2806" s="27"/>
      <c r="G2806" s="7"/>
      <c r="H2806" s="28"/>
      <c r="I2806" s="28"/>
      <c r="J2806" s="28"/>
      <c r="K2806" s="28"/>
    </row>
    <row r="2807" spans="2:11" x14ac:dyDescent="0.25">
      <c r="B2807" s="25"/>
      <c r="C2807" s="8"/>
      <c r="D2807" s="7"/>
      <c r="E2807" s="27"/>
      <c r="F2807" s="27"/>
      <c r="G2807" s="7"/>
      <c r="H2807" s="28"/>
      <c r="I2807" s="28"/>
      <c r="J2807" s="28"/>
      <c r="K2807" s="28"/>
    </row>
    <row r="2808" spans="2:11" x14ac:dyDescent="0.25">
      <c r="B2808" s="25"/>
      <c r="C2808" s="8"/>
      <c r="D2808" s="7"/>
      <c r="E2808" s="27"/>
      <c r="F2808" s="27"/>
      <c r="G2808" s="7"/>
      <c r="H2808" s="28"/>
      <c r="I2808" s="28"/>
      <c r="J2808" s="28"/>
      <c r="K2808" s="28"/>
    </row>
    <row r="2809" spans="2:11" x14ac:dyDescent="0.25">
      <c r="B2809" s="25"/>
      <c r="C2809" s="8"/>
      <c r="D2809" s="7"/>
      <c r="E2809" s="27"/>
      <c r="F2809" s="27"/>
      <c r="G2809" s="7"/>
      <c r="H2809" s="28"/>
      <c r="I2809" s="28"/>
      <c r="J2809" s="28"/>
      <c r="K2809" s="28"/>
    </row>
    <row r="2810" spans="2:11" x14ac:dyDescent="0.25">
      <c r="B2810" s="25"/>
      <c r="C2810" s="8"/>
      <c r="D2810" s="7"/>
      <c r="E2810" s="27"/>
      <c r="F2810" s="27"/>
      <c r="G2810" s="7"/>
      <c r="H2810" s="28"/>
      <c r="I2810" s="28"/>
      <c r="J2810" s="28"/>
      <c r="K2810" s="28"/>
    </row>
    <row r="2811" spans="2:11" x14ac:dyDescent="0.25">
      <c r="B2811" s="25"/>
      <c r="C2811" s="8"/>
      <c r="D2811" s="7"/>
      <c r="E2811" s="27"/>
      <c r="F2811" s="27"/>
      <c r="G2811" s="7"/>
      <c r="H2811" s="28"/>
      <c r="I2811" s="28"/>
      <c r="J2811" s="28"/>
      <c r="K2811" s="28"/>
    </row>
    <row r="2812" spans="2:11" x14ac:dyDescent="0.25">
      <c r="B2812" s="25"/>
      <c r="C2812" s="8"/>
      <c r="D2812" s="7"/>
      <c r="E2812" s="27"/>
      <c r="F2812" s="27"/>
      <c r="G2812" s="7"/>
      <c r="H2812" s="28"/>
      <c r="I2812" s="28"/>
      <c r="J2812" s="28"/>
      <c r="K2812" s="28"/>
    </row>
    <row r="2813" spans="2:11" x14ac:dyDescent="0.25">
      <c r="B2813" s="25"/>
      <c r="C2813" s="8"/>
      <c r="D2813" s="7"/>
      <c r="E2813" s="27"/>
      <c r="F2813" s="27"/>
      <c r="G2813" s="7"/>
      <c r="H2813" s="28"/>
      <c r="I2813" s="28"/>
      <c r="J2813" s="28"/>
      <c r="K2813" s="28"/>
    </row>
    <row r="2814" spans="2:11" x14ac:dyDescent="0.25">
      <c r="B2814" s="25"/>
      <c r="C2814" s="8"/>
      <c r="D2814" s="7"/>
      <c r="E2814" s="27"/>
      <c r="F2814" s="27"/>
      <c r="G2814" s="7"/>
      <c r="H2814" s="28"/>
      <c r="I2814" s="28"/>
      <c r="J2814" s="28"/>
      <c r="K2814" s="28"/>
    </row>
    <row r="2815" spans="2:11" x14ac:dyDescent="0.25">
      <c r="B2815" s="25"/>
      <c r="C2815" s="8"/>
      <c r="D2815" s="7"/>
      <c r="E2815" s="27"/>
      <c r="F2815" s="27"/>
      <c r="G2815" s="7"/>
      <c r="H2815" s="28"/>
      <c r="I2815" s="28"/>
      <c r="J2815" s="28"/>
      <c r="K2815" s="28"/>
    </row>
    <row r="2816" spans="2:11" x14ac:dyDescent="0.25">
      <c r="B2816" s="25"/>
      <c r="C2816" s="8"/>
      <c r="D2816" s="7"/>
      <c r="E2816" s="27"/>
      <c r="F2816" s="27"/>
      <c r="G2816" s="7"/>
      <c r="H2816" s="28"/>
      <c r="I2816" s="28"/>
      <c r="J2816" s="28"/>
      <c r="K2816" s="28"/>
    </row>
    <row r="2817" spans="2:11" x14ac:dyDescent="0.25">
      <c r="B2817" s="25"/>
      <c r="C2817" s="8"/>
      <c r="D2817" s="7"/>
      <c r="E2817" s="27"/>
      <c r="F2817" s="27"/>
      <c r="G2817" s="7"/>
      <c r="H2817" s="28"/>
      <c r="I2817" s="28"/>
      <c r="J2817" s="28"/>
      <c r="K2817" s="28"/>
    </row>
    <row r="2818" spans="2:11" x14ac:dyDescent="0.25">
      <c r="B2818" s="25"/>
      <c r="C2818" s="8"/>
      <c r="D2818" s="7"/>
      <c r="E2818" s="27"/>
      <c r="F2818" s="27"/>
      <c r="G2818" s="7"/>
      <c r="H2818" s="28"/>
      <c r="I2818" s="28"/>
      <c r="J2818" s="28"/>
      <c r="K2818" s="28"/>
    </row>
    <row r="2819" spans="2:11" x14ac:dyDescent="0.25">
      <c r="B2819" s="25"/>
      <c r="C2819" s="8"/>
      <c r="D2819" s="7"/>
      <c r="E2819" s="27"/>
      <c r="F2819" s="27"/>
      <c r="G2819" s="7"/>
      <c r="H2819" s="28"/>
      <c r="I2819" s="28"/>
      <c r="J2819" s="28"/>
      <c r="K2819" s="28"/>
    </row>
    <row r="2820" spans="2:11" x14ac:dyDescent="0.25">
      <c r="B2820" s="25"/>
      <c r="C2820" s="8"/>
      <c r="D2820" s="7"/>
      <c r="E2820" s="27"/>
      <c r="F2820" s="27"/>
      <c r="G2820" s="7"/>
      <c r="H2820" s="28"/>
      <c r="I2820" s="28"/>
      <c r="J2820" s="28"/>
      <c r="K2820" s="28"/>
    </row>
    <row r="2821" spans="2:11" x14ac:dyDescent="0.25">
      <c r="B2821" s="25"/>
      <c r="C2821" s="8"/>
      <c r="D2821" s="7"/>
      <c r="E2821" s="27"/>
      <c r="F2821" s="27"/>
      <c r="G2821" s="7"/>
      <c r="H2821" s="28"/>
      <c r="I2821" s="28"/>
      <c r="J2821" s="28"/>
      <c r="K2821" s="28"/>
    </row>
    <row r="2822" spans="2:11" x14ac:dyDescent="0.25">
      <c r="B2822" s="25"/>
      <c r="C2822" s="8"/>
      <c r="D2822" s="7"/>
      <c r="E2822" s="27"/>
      <c r="F2822" s="27"/>
      <c r="G2822" s="7"/>
      <c r="H2822" s="28"/>
      <c r="I2822" s="28"/>
      <c r="J2822" s="28"/>
      <c r="K2822" s="28"/>
    </row>
    <row r="2823" spans="2:11" x14ac:dyDescent="0.25">
      <c r="B2823" s="25"/>
      <c r="C2823" s="8"/>
      <c r="D2823" s="7"/>
      <c r="E2823" s="27"/>
      <c r="F2823" s="27"/>
      <c r="G2823" s="7"/>
      <c r="H2823" s="28"/>
      <c r="I2823" s="28"/>
      <c r="J2823" s="28"/>
      <c r="K2823" s="28"/>
    </row>
    <row r="2824" spans="2:11" x14ac:dyDescent="0.25">
      <c r="B2824" s="25"/>
      <c r="C2824" s="8"/>
      <c r="D2824" s="7"/>
      <c r="E2824" s="27"/>
      <c r="F2824" s="27"/>
      <c r="G2824" s="7"/>
      <c r="H2824" s="28"/>
      <c r="I2824" s="28"/>
      <c r="J2824" s="28"/>
      <c r="K2824" s="28"/>
    </row>
    <row r="2825" spans="2:11" x14ac:dyDescent="0.25">
      <c r="B2825" s="25"/>
      <c r="C2825" s="8"/>
      <c r="D2825" s="7"/>
      <c r="E2825" s="27"/>
      <c r="F2825" s="27"/>
      <c r="G2825" s="7"/>
      <c r="H2825" s="28"/>
      <c r="I2825" s="28"/>
      <c r="J2825" s="28"/>
      <c r="K2825" s="28"/>
    </row>
    <row r="2826" spans="2:11" x14ac:dyDescent="0.25">
      <c r="B2826" s="25"/>
      <c r="C2826" s="8"/>
      <c r="D2826" s="7"/>
      <c r="E2826" s="27"/>
      <c r="F2826" s="27"/>
      <c r="G2826" s="7"/>
      <c r="H2826" s="28"/>
      <c r="I2826" s="28"/>
      <c r="J2826" s="28"/>
      <c r="K2826" s="28"/>
    </row>
    <row r="2827" spans="2:11" x14ac:dyDescent="0.25">
      <c r="B2827" s="25"/>
      <c r="C2827" s="8"/>
      <c r="D2827" s="7"/>
      <c r="E2827" s="27"/>
      <c r="F2827" s="27"/>
      <c r="G2827" s="7"/>
      <c r="H2827" s="28"/>
      <c r="I2827" s="28"/>
      <c r="J2827" s="28"/>
      <c r="K2827" s="28"/>
    </row>
    <row r="2828" spans="2:11" x14ac:dyDescent="0.25">
      <c r="B2828" s="25"/>
      <c r="C2828" s="8"/>
      <c r="D2828" s="7"/>
      <c r="E2828" s="27"/>
      <c r="F2828" s="27"/>
      <c r="G2828" s="7"/>
      <c r="H2828" s="28"/>
      <c r="I2828" s="28"/>
      <c r="J2828" s="28"/>
      <c r="K2828" s="28"/>
    </row>
    <row r="2829" spans="2:11" x14ac:dyDescent="0.25">
      <c r="B2829" s="25"/>
      <c r="C2829" s="8"/>
      <c r="D2829" s="7"/>
      <c r="E2829" s="27"/>
      <c r="F2829" s="27"/>
      <c r="G2829" s="7"/>
      <c r="H2829" s="28"/>
      <c r="I2829" s="28"/>
      <c r="J2829" s="28"/>
      <c r="K2829" s="28"/>
    </row>
    <row r="2830" spans="2:11" x14ac:dyDescent="0.25">
      <c r="B2830" s="25"/>
      <c r="C2830" s="8"/>
      <c r="D2830" s="7"/>
      <c r="E2830" s="27"/>
      <c r="F2830" s="27"/>
      <c r="G2830" s="7"/>
      <c r="H2830" s="28"/>
      <c r="I2830" s="28"/>
      <c r="J2830" s="28"/>
      <c r="K2830" s="28"/>
    </row>
    <row r="2831" spans="2:11" x14ac:dyDescent="0.25">
      <c r="B2831" s="25"/>
      <c r="C2831" s="8"/>
      <c r="D2831" s="7"/>
      <c r="E2831" s="27"/>
      <c r="F2831" s="27"/>
      <c r="G2831" s="7"/>
      <c r="H2831" s="28"/>
      <c r="I2831" s="28"/>
      <c r="J2831" s="28"/>
      <c r="K2831" s="28"/>
    </row>
    <row r="2832" spans="2:11" x14ac:dyDescent="0.25">
      <c r="B2832" s="25"/>
      <c r="C2832" s="8"/>
      <c r="D2832" s="7"/>
      <c r="E2832" s="27"/>
      <c r="F2832" s="27"/>
      <c r="G2832" s="7"/>
      <c r="H2832" s="28"/>
      <c r="I2832" s="28"/>
      <c r="J2832" s="28"/>
      <c r="K2832" s="28"/>
    </row>
    <row r="2833" spans="2:11" x14ac:dyDescent="0.25">
      <c r="B2833" s="25"/>
      <c r="C2833" s="8"/>
      <c r="D2833" s="7"/>
      <c r="E2833" s="27"/>
      <c r="F2833" s="27"/>
      <c r="G2833" s="7"/>
      <c r="H2833" s="28"/>
      <c r="I2833" s="28"/>
      <c r="J2833" s="28"/>
      <c r="K2833" s="28"/>
    </row>
    <row r="2834" spans="2:11" x14ac:dyDescent="0.25">
      <c r="B2834" s="25"/>
      <c r="C2834" s="8"/>
      <c r="D2834" s="7"/>
      <c r="E2834" s="27"/>
      <c r="F2834" s="27"/>
      <c r="G2834" s="7"/>
      <c r="H2834" s="28"/>
      <c r="I2834" s="28"/>
      <c r="J2834" s="28"/>
      <c r="K2834" s="28"/>
    </row>
    <row r="2835" spans="2:11" x14ac:dyDescent="0.25">
      <c r="B2835" s="25"/>
      <c r="C2835" s="8"/>
      <c r="D2835" s="7"/>
      <c r="E2835" s="27"/>
      <c r="F2835" s="27"/>
      <c r="G2835" s="7"/>
      <c r="H2835" s="28"/>
      <c r="I2835" s="28"/>
      <c r="J2835" s="28"/>
      <c r="K2835" s="28"/>
    </row>
    <row r="2836" spans="2:11" x14ac:dyDescent="0.25">
      <c r="B2836" s="25"/>
      <c r="C2836" s="8"/>
      <c r="D2836" s="7"/>
      <c r="E2836" s="27"/>
      <c r="F2836" s="27"/>
      <c r="G2836" s="7"/>
      <c r="H2836" s="28"/>
      <c r="I2836" s="28"/>
      <c r="J2836" s="28"/>
      <c r="K2836" s="28"/>
    </row>
    <row r="2837" spans="2:11" x14ac:dyDescent="0.25">
      <c r="B2837" s="25"/>
      <c r="C2837" s="8"/>
      <c r="D2837" s="7"/>
      <c r="E2837" s="27"/>
      <c r="F2837" s="27"/>
      <c r="G2837" s="7"/>
      <c r="H2837" s="28"/>
      <c r="I2837" s="28"/>
      <c r="J2837" s="28"/>
      <c r="K2837" s="28"/>
    </row>
    <row r="2838" spans="2:11" x14ac:dyDescent="0.25">
      <c r="B2838" s="25"/>
      <c r="C2838" s="8"/>
      <c r="D2838" s="7"/>
      <c r="E2838" s="27"/>
      <c r="F2838" s="27"/>
      <c r="G2838" s="7"/>
      <c r="H2838" s="28"/>
      <c r="I2838" s="28"/>
      <c r="J2838" s="28"/>
      <c r="K2838" s="28"/>
    </row>
    <row r="2839" spans="2:11" x14ac:dyDescent="0.25">
      <c r="B2839" s="25"/>
      <c r="C2839" s="8"/>
      <c r="D2839" s="7"/>
      <c r="E2839" s="27"/>
      <c r="F2839" s="27"/>
      <c r="G2839" s="7"/>
      <c r="H2839" s="28"/>
      <c r="I2839" s="28"/>
      <c r="J2839" s="28"/>
      <c r="K2839" s="28"/>
    </row>
    <row r="2840" spans="2:11" x14ac:dyDescent="0.25">
      <c r="B2840" s="25"/>
      <c r="C2840" s="8"/>
      <c r="D2840" s="7"/>
      <c r="E2840" s="27"/>
      <c r="F2840" s="27"/>
      <c r="G2840" s="7"/>
      <c r="H2840" s="28"/>
      <c r="I2840" s="28"/>
      <c r="J2840" s="28"/>
      <c r="K2840" s="28"/>
    </row>
    <row r="2841" spans="2:11" x14ac:dyDescent="0.25">
      <c r="B2841" s="25"/>
      <c r="C2841" s="8"/>
      <c r="D2841" s="7"/>
      <c r="E2841" s="27"/>
      <c r="F2841" s="27"/>
      <c r="G2841" s="7"/>
      <c r="H2841" s="28"/>
      <c r="I2841" s="28"/>
      <c r="J2841" s="28"/>
      <c r="K2841" s="28"/>
    </row>
    <row r="2842" spans="2:11" x14ac:dyDescent="0.25">
      <c r="B2842" s="25"/>
      <c r="C2842" s="8"/>
      <c r="D2842" s="7"/>
      <c r="E2842" s="27"/>
      <c r="F2842" s="27"/>
      <c r="G2842" s="7"/>
      <c r="H2842" s="28"/>
      <c r="I2842" s="28"/>
      <c r="J2842" s="28"/>
      <c r="K2842" s="28"/>
    </row>
    <row r="2843" spans="2:11" x14ac:dyDescent="0.25">
      <c r="B2843" s="25"/>
      <c r="C2843" s="8"/>
      <c r="D2843" s="7"/>
      <c r="E2843" s="27"/>
      <c r="F2843" s="27"/>
      <c r="G2843" s="7"/>
      <c r="H2843" s="28"/>
      <c r="I2843" s="28"/>
      <c r="J2843" s="28"/>
      <c r="K2843" s="28"/>
    </row>
    <row r="2844" spans="2:11" x14ac:dyDescent="0.25">
      <c r="B2844" s="25"/>
      <c r="C2844" s="8"/>
      <c r="D2844" s="7"/>
      <c r="E2844" s="27"/>
      <c r="F2844" s="27"/>
      <c r="G2844" s="7"/>
      <c r="H2844" s="28"/>
      <c r="I2844" s="28"/>
      <c r="J2844" s="28"/>
      <c r="K2844" s="28"/>
    </row>
    <row r="2845" spans="2:11" x14ac:dyDescent="0.25">
      <c r="B2845" s="25"/>
      <c r="C2845" s="8"/>
      <c r="D2845" s="7"/>
      <c r="E2845" s="27"/>
      <c r="F2845" s="27"/>
      <c r="G2845" s="7"/>
      <c r="H2845" s="28"/>
      <c r="I2845" s="28"/>
      <c r="J2845" s="28"/>
      <c r="K2845" s="28"/>
    </row>
    <row r="2846" spans="2:11" x14ac:dyDescent="0.25">
      <c r="B2846" s="25"/>
      <c r="C2846" s="8"/>
      <c r="D2846" s="7"/>
      <c r="E2846" s="27"/>
      <c r="F2846" s="27"/>
      <c r="G2846" s="7"/>
      <c r="H2846" s="28"/>
      <c r="I2846" s="28"/>
      <c r="J2846" s="28"/>
      <c r="K2846" s="28"/>
    </row>
    <row r="2847" spans="2:11" x14ac:dyDescent="0.25">
      <c r="B2847" s="25"/>
      <c r="C2847" s="8"/>
      <c r="D2847" s="7"/>
      <c r="E2847" s="27"/>
      <c r="F2847" s="27"/>
      <c r="G2847" s="7"/>
      <c r="H2847" s="28"/>
      <c r="I2847" s="28"/>
      <c r="J2847" s="28"/>
      <c r="K2847" s="28"/>
    </row>
    <row r="2848" spans="2:11" x14ac:dyDescent="0.25">
      <c r="B2848" s="25"/>
      <c r="C2848" s="8"/>
      <c r="D2848" s="7"/>
      <c r="E2848" s="27"/>
      <c r="F2848" s="27"/>
      <c r="G2848" s="7"/>
      <c r="H2848" s="28"/>
      <c r="I2848" s="28"/>
      <c r="J2848" s="28"/>
      <c r="K2848" s="28"/>
    </row>
    <row r="2849" spans="2:11" x14ac:dyDescent="0.25">
      <c r="B2849" s="25"/>
      <c r="C2849" s="8"/>
      <c r="D2849" s="7"/>
      <c r="E2849" s="27"/>
      <c r="F2849" s="27"/>
      <c r="G2849" s="7"/>
      <c r="H2849" s="28"/>
      <c r="I2849" s="28"/>
      <c r="J2849" s="28"/>
      <c r="K2849" s="28"/>
    </row>
    <row r="2850" spans="2:11" x14ac:dyDescent="0.25">
      <c r="B2850" s="25"/>
      <c r="C2850" s="8"/>
      <c r="D2850" s="7"/>
      <c r="E2850" s="27"/>
      <c r="F2850" s="27"/>
      <c r="G2850" s="7"/>
      <c r="H2850" s="28"/>
      <c r="I2850" s="28"/>
      <c r="J2850" s="28"/>
      <c r="K2850" s="28"/>
    </row>
    <row r="2851" spans="2:11" x14ac:dyDescent="0.25">
      <c r="B2851" s="25"/>
      <c r="C2851" s="8"/>
      <c r="D2851" s="7"/>
      <c r="E2851" s="27"/>
      <c r="F2851" s="27"/>
      <c r="G2851" s="7"/>
      <c r="H2851" s="28"/>
      <c r="I2851" s="28"/>
      <c r="J2851" s="28"/>
      <c r="K2851" s="28"/>
    </row>
    <row r="2852" spans="2:11" x14ac:dyDescent="0.25">
      <c r="B2852" s="25"/>
      <c r="C2852" s="8"/>
      <c r="D2852" s="7"/>
      <c r="E2852" s="27"/>
      <c r="F2852" s="27"/>
      <c r="G2852" s="7"/>
      <c r="H2852" s="28"/>
      <c r="I2852" s="28"/>
      <c r="J2852" s="28"/>
      <c r="K2852" s="28"/>
    </row>
    <row r="2853" spans="2:11" x14ac:dyDescent="0.25">
      <c r="B2853" s="25"/>
      <c r="C2853" s="8"/>
      <c r="D2853" s="7"/>
      <c r="E2853" s="27"/>
      <c r="F2853" s="27"/>
      <c r="G2853" s="7"/>
      <c r="H2853" s="28"/>
      <c r="I2853" s="28"/>
      <c r="J2853" s="28"/>
      <c r="K2853" s="28"/>
    </row>
    <row r="2854" spans="2:11" x14ac:dyDescent="0.25">
      <c r="B2854" s="25"/>
      <c r="C2854" s="8"/>
      <c r="D2854" s="7"/>
      <c r="E2854" s="27"/>
      <c r="F2854" s="27"/>
      <c r="G2854" s="7"/>
      <c r="H2854" s="28"/>
      <c r="I2854" s="28"/>
      <c r="J2854" s="28"/>
      <c r="K2854" s="28"/>
    </row>
    <row r="2855" spans="2:11" x14ac:dyDescent="0.25">
      <c r="B2855" s="25"/>
      <c r="C2855" s="8"/>
      <c r="D2855" s="7"/>
      <c r="E2855" s="27"/>
      <c r="F2855" s="27"/>
      <c r="G2855" s="7"/>
      <c r="H2855" s="28"/>
      <c r="I2855" s="28"/>
      <c r="J2855" s="28"/>
      <c r="K2855" s="28"/>
    </row>
    <row r="2856" spans="2:11" x14ac:dyDescent="0.25">
      <c r="B2856" s="25"/>
      <c r="C2856" s="8"/>
      <c r="D2856" s="7"/>
      <c r="E2856" s="27"/>
      <c r="F2856" s="27"/>
      <c r="G2856" s="7"/>
      <c r="H2856" s="28"/>
      <c r="I2856" s="28"/>
      <c r="J2856" s="28"/>
      <c r="K2856" s="28"/>
    </row>
    <row r="2857" spans="2:11" x14ac:dyDescent="0.25">
      <c r="B2857" s="25"/>
      <c r="C2857" s="8"/>
      <c r="D2857" s="7"/>
      <c r="E2857" s="27"/>
      <c r="F2857" s="27"/>
      <c r="G2857" s="7"/>
      <c r="H2857" s="28"/>
      <c r="I2857" s="28"/>
      <c r="J2857" s="28"/>
      <c r="K2857" s="28"/>
    </row>
    <row r="2858" spans="2:11" x14ac:dyDescent="0.25">
      <c r="B2858" s="25"/>
      <c r="C2858" s="8"/>
      <c r="D2858" s="7"/>
      <c r="E2858" s="27"/>
      <c r="F2858" s="27"/>
      <c r="G2858" s="7"/>
      <c r="H2858" s="28"/>
      <c r="I2858" s="28"/>
      <c r="J2858" s="28"/>
      <c r="K2858" s="28"/>
    </row>
    <row r="2859" spans="2:11" x14ac:dyDescent="0.25">
      <c r="B2859" s="25"/>
      <c r="C2859" s="8"/>
      <c r="D2859" s="7"/>
      <c r="E2859" s="27"/>
      <c r="F2859" s="27"/>
      <c r="G2859" s="7"/>
      <c r="H2859" s="28"/>
      <c r="I2859" s="28"/>
      <c r="J2859" s="28"/>
      <c r="K2859" s="28"/>
    </row>
    <row r="2860" spans="2:11" x14ac:dyDescent="0.25">
      <c r="B2860" s="25"/>
      <c r="C2860" s="8"/>
      <c r="D2860" s="7"/>
      <c r="E2860" s="27"/>
      <c r="F2860" s="27"/>
      <c r="G2860" s="7"/>
      <c r="H2860" s="28"/>
      <c r="I2860" s="28"/>
      <c r="J2860" s="28"/>
      <c r="K2860" s="28"/>
    </row>
    <row r="2861" spans="2:11" x14ac:dyDescent="0.25">
      <c r="B2861" s="25"/>
      <c r="C2861" s="8"/>
      <c r="D2861" s="7"/>
      <c r="E2861" s="27"/>
      <c r="F2861" s="27"/>
      <c r="G2861" s="7"/>
      <c r="H2861" s="28"/>
      <c r="I2861" s="28"/>
      <c r="J2861" s="28"/>
      <c r="K2861" s="28"/>
    </row>
    <row r="2862" spans="2:11" x14ac:dyDescent="0.25">
      <c r="B2862" s="25"/>
      <c r="C2862" s="8"/>
      <c r="D2862" s="7"/>
      <c r="E2862" s="27"/>
      <c r="F2862" s="27"/>
      <c r="G2862" s="7"/>
      <c r="H2862" s="28"/>
      <c r="I2862" s="28"/>
      <c r="J2862" s="28"/>
      <c r="K2862" s="28"/>
    </row>
    <row r="2863" spans="2:11" x14ac:dyDescent="0.25">
      <c r="B2863" s="25"/>
      <c r="C2863" s="8"/>
      <c r="D2863" s="7"/>
      <c r="E2863" s="27"/>
      <c r="F2863" s="27"/>
      <c r="G2863" s="7"/>
      <c r="H2863" s="28"/>
      <c r="I2863" s="28"/>
      <c r="J2863" s="28"/>
      <c r="K2863" s="28"/>
    </row>
    <row r="2864" spans="2:11" x14ac:dyDescent="0.25">
      <c r="B2864" s="25"/>
      <c r="C2864" s="8"/>
      <c r="D2864" s="7"/>
      <c r="E2864" s="27"/>
      <c r="F2864" s="27"/>
      <c r="G2864" s="7"/>
      <c r="H2864" s="28"/>
      <c r="I2864" s="28"/>
      <c r="J2864" s="28"/>
      <c r="K2864" s="28"/>
    </row>
    <row r="2865" spans="2:11" x14ac:dyDescent="0.25">
      <c r="B2865" s="25"/>
      <c r="C2865" s="8"/>
      <c r="D2865" s="7"/>
      <c r="E2865" s="27"/>
      <c r="F2865" s="27"/>
      <c r="G2865" s="7"/>
      <c r="H2865" s="28"/>
      <c r="I2865" s="28"/>
      <c r="J2865" s="28"/>
      <c r="K2865" s="28"/>
    </row>
    <row r="2866" spans="2:11" x14ac:dyDescent="0.25">
      <c r="B2866" s="25"/>
      <c r="C2866" s="8"/>
      <c r="D2866" s="7"/>
      <c r="E2866" s="27"/>
      <c r="F2866" s="27"/>
      <c r="G2866" s="7"/>
      <c r="H2866" s="28"/>
      <c r="I2866" s="28"/>
      <c r="J2866" s="28"/>
      <c r="K2866" s="28"/>
    </row>
    <row r="2867" spans="2:11" x14ac:dyDescent="0.25">
      <c r="B2867" s="25"/>
      <c r="C2867" s="8"/>
      <c r="D2867" s="7"/>
      <c r="E2867" s="27"/>
      <c r="F2867" s="27"/>
      <c r="G2867" s="7"/>
      <c r="H2867" s="28"/>
      <c r="I2867" s="28"/>
      <c r="J2867" s="28"/>
      <c r="K2867" s="28"/>
    </row>
    <row r="2868" spans="2:11" x14ac:dyDescent="0.25">
      <c r="B2868" s="25"/>
      <c r="C2868" s="8"/>
      <c r="D2868" s="7"/>
      <c r="E2868" s="27"/>
      <c r="F2868" s="27"/>
      <c r="G2868" s="7"/>
      <c r="H2868" s="28"/>
      <c r="I2868" s="28"/>
      <c r="J2868" s="28"/>
      <c r="K2868" s="28"/>
    </row>
    <row r="2869" spans="2:11" x14ac:dyDescent="0.25">
      <c r="B2869" s="25"/>
      <c r="C2869" s="8"/>
      <c r="D2869" s="7"/>
      <c r="E2869" s="27"/>
      <c r="F2869" s="27"/>
      <c r="G2869" s="7"/>
      <c r="H2869" s="28"/>
      <c r="I2869" s="28"/>
      <c r="J2869" s="28"/>
      <c r="K2869" s="28"/>
    </row>
    <row r="2870" spans="2:11" x14ac:dyDescent="0.25">
      <c r="B2870" s="25"/>
      <c r="C2870" s="8"/>
      <c r="D2870" s="7"/>
      <c r="E2870" s="27"/>
      <c r="F2870" s="27"/>
      <c r="G2870" s="7"/>
      <c r="H2870" s="28"/>
      <c r="I2870" s="28"/>
      <c r="J2870" s="28"/>
      <c r="K2870" s="28"/>
    </row>
    <row r="2871" spans="2:11" x14ac:dyDescent="0.25">
      <c r="B2871" s="25"/>
      <c r="C2871" s="8"/>
      <c r="D2871" s="7"/>
      <c r="E2871" s="27"/>
      <c r="F2871" s="27"/>
      <c r="G2871" s="7"/>
      <c r="H2871" s="28"/>
      <c r="I2871" s="28"/>
      <c r="J2871" s="28"/>
      <c r="K2871" s="28"/>
    </row>
    <row r="2872" spans="2:11" x14ac:dyDescent="0.25">
      <c r="B2872" s="25"/>
      <c r="C2872" s="8"/>
      <c r="D2872" s="7"/>
      <c r="E2872" s="27"/>
      <c r="F2872" s="27"/>
      <c r="G2872" s="7"/>
      <c r="H2872" s="28"/>
      <c r="I2872" s="28"/>
      <c r="J2872" s="28"/>
      <c r="K2872" s="28"/>
    </row>
    <row r="2873" spans="2:11" x14ac:dyDescent="0.25">
      <c r="B2873" s="25"/>
      <c r="C2873" s="8"/>
      <c r="D2873" s="7"/>
      <c r="E2873" s="27"/>
      <c r="F2873" s="27"/>
      <c r="G2873" s="7"/>
      <c r="H2873" s="28"/>
      <c r="I2873" s="28"/>
      <c r="J2873" s="28"/>
      <c r="K2873" s="28"/>
    </row>
    <row r="2874" spans="2:11" x14ac:dyDescent="0.25">
      <c r="B2874" s="25"/>
      <c r="C2874" s="8"/>
      <c r="D2874" s="7"/>
      <c r="E2874" s="27"/>
      <c r="F2874" s="27"/>
      <c r="G2874" s="7"/>
      <c r="H2874" s="28"/>
      <c r="I2874" s="28"/>
      <c r="J2874" s="28"/>
      <c r="K2874" s="28"/>
    </row>
    <row r="2875" spans="2:11" x14ac:dyDescent="0.25">
      <c r="B2875" s="25"/>
      <c r="C2875" s="8"/>
      <c r="D2875" s="7"/>
      <c r="E2875" s="27"/>
      <c r="F2875" s="27"/>
      <c r="G2875" s="7"/>
      <c r="H2875" s="28"/>
      <c r="I2875" s="28"/>
      <c r="J2875" s="28"/>
      <c r="K2875" s="28"/>
    </row>
    <row r="2876" spans="2:11" x14ac:dyDescent="0.25">
      <c r="B2876" s="25"/>
      <c r="C2876" s="8"/>
      <c r="D2876" s="7"/>
      <c r="E2876" s="27"/>
      <c r="F2876" s="27"/>
      <c r="G2876" s="7"/>
      <c r="H2876" s="28"/>
      <c r="I2876" s="28"/>
      <c r="J2876" s="28"/>
      <c r="K2876" s="28"/>
    </row>
    <row r="2877" spans="2:11" x14ac:dyDescent="0.25">
      <c r="B2877" s="25"/>
      <c r="C2877" s="8"/>
      <c r="D2877" s="7"/>
      <c r="E2877" s="27"/>
      <c r="F2877" s="27"/>
      <c r="G2877" s="7"/>
      <c r="H2877" s="28"/>
      <c r="I2877" s="28"/>
      <c r="J2877" s="28"/>
      <c r="K2877" s="28"/>
    </row>
    <row r="2878" spans="2:11" x14ac:dyDescent="0.25">
      <c r="B2878" s="25"/>
      <c r="C2878" s="8"/>
      <c r="D2878" s="7"/>
      <c r="E2878" s="27"/>
      <c r="F2878" s="27"/>
      <c r="G2878" s="7"/>
      <c r="H2878" s="28"/>
      <c r="I2878" s="28"/>
      <c r="J2878" s="28"/>
      <c r="K2878" s="28"/>
    </row>
    <row r="2879" spans="2:11" x14ac:dyDescent="0.25">
      <c r="B2879" s="25"/>
      <c r="C2879" s="8"/>
      <c r="D2879" s="7"/>
      <c r="E2879" s="27"/>
      <c r="F2879" s="27"/>
      <c r="G2879" s="7"/>
      <c r="H2879" s="28"/>
      <c r="I2879" s="28"/>
      <c r="J2879" s="28"/>
      <c r="K2879" s="28"/>
    </row>
    <row r="2880" spans="2:11" x14ac:dyDescent="0.25">
      <c r="B2880" s="25"/>
      <c r="C2880" s="8"/>
      <c r="D2880" s="7"/>
      <c r="E2880" s="27"/>
      <c r="F2880" s="27"/>
      <c r="G2880" s="7"/>
      <c r="H2880" s="28"/>
      <c r="I2880" s="28"/>
      <c r="J2880" s="28"/>
      <c r="K2880" s="28"/>
    </row>
    <row r="2881" spans="2:11" x14ac:dyDescent="0.25">
      <c r="B2881" s="25"/>
      <c r="C2881" s="8"/>
      <c r="D2881" s="7"/>
      <c r="E2881" s="27"/>
      <c r="F2881" s="27"/>
      <c r="G2881" s="7"/>
      <c r="H2881" s="28"/>
      <c r="I2881" s="28"/>
      <c r="J2881" s="28"/>
      <c r="K2881" s="28"/>
    </row>
    <row r="2882" spans="2:11" x14ac:dyDescent="0.25">
      <c r="B2882" s="25"/>
      <c r="C2882" s="8"/>
      <c r="D2882" s="7"/>
      <c r="E2882" s="27"/>
      <c r="F2882" s="27"/>
      <c r="G2882" s="7"/>
      <c r="H2882" s="28"/>
      <c r="I2882" s="28"/>
      <c r="J2882" s="28"/>
      <c r="K2882" s="28"/>
    </row>
    <row r="2883" spans="2:11" x14ac:dyDescent="0.25">
      <c r="B2883" s="25"/>
      <c r="C2883" s="8"/>
      <c r="D2883" s="7"/>
      <c r="E2883" s="27"/>
      <c r="F2883" s="27"/>
      <c r="G2883" s="7"/>
      <c r="H2883" s="28"/>
      <c r="I2883" s="28"/>
      <c r="J2883" s="28"/>
      <c r="K2883" s="28"/>
    </row>
    <row r="2884" spans="2:11" x14ac:dyDescent="0.25">
      <c r="B2884" s="25"/>
      <c r="C2884" s="8"/>
      <c r="D2884" s="7"/>
      <c r="E2884" s="27"/>
      <c r="F2884" s="27"/>
      <c r="G2884" s="7"/>
      <c r="H2884" s="28"/>
      <c r="I2884" s="28"/>
      <c r="J2884" s="28"/>
      <c r="K2884" s="28"/>
    </row>
    <row r="2885" spans="2:11" x14ac:dyDescent="0.25">
      <c r="B2885" s="25"/>
      <c r="C2885" s="8"/>
      <c r="D2885" s="7"/>
      <c r="E2885" s="27"/>
      <c r="F2885" s="27"/>
      <c r="G2885" s="7"/>
      <c r="H2885" s="28"/>
      <c r="I2885" s="28"/>
      <c r="J2885" s="28"/>
      <c r="K2885" s="28"/>
    </row>
    <row r="2886" spans="2:11" x14ac:dyDescent="0.25">
      <c r="B2886" s="25"/>
      <c r="C2886" s="8"/>
      <c r="D2886" s="7"/>
      <c r="E2886" s="27"/>
      <c r="F2886" s="27"/>
      <c r="G2886" s="7"/>
      <c r="H2886" s="28"/>
      <c r="I2886" s="28"/>
      <c r="J2886" s="28"/>
      <c r="K2886" s="28"/>
    </row>
    <row r="2887" spans="2:11" x14ac:dyDescent="0.25">
      <c r="B2887" s="25"/>
      <c r="C2887" s="8"/>
      <c r="D2887" s="7"/>
      <c r="E2887" s="27"/>
      <c r="F2887" s="27"/>
      <c r="G2887" s="7"/>
      <c r="H2887" s="28"/>
      <c r="I2887" s="28"/>
      <c r="J2887" s="28"/>
      <c r="K2887" s="28"/>
    </row>
    <row r="2888" spans="2:11" x14ac:dyDescent="0.25">
      <c r="B2888" s="25"/>
      <c r="C2888" s="8"/>
      <c r="D2888" s="7"/>
      <c r="E2888" s="27"/>
      <c r="F2888" s="27"/>
      <c r="G2888" s="7"/>
      <c r="H2888" s="28"/>
      <c r="I2888" s="28"/>
      <c r="J2888" s="28"/>
      <c r="K2888" s="28"/>
    </row>
    <row r="2889" spans="2:11" x14ac:dyDescent="0.25">
      <c r="B2889" s="25"/>
      <c r="C2889" s="8"/>
      <c r="D2889" s="7"/>
      <c r="E2889" s="27"/>
      <c r="F2889" s="27"/>
      <c r="G2889" s="7"/>
      <c r="H2889" s="28"/>
      <c r="I2889" s="28"/>
      <c r="J2889" s="28"/>
      <c r="K2889" s="28"/>
    </row>
    <row r="2890" spans="2:11" x14ac:dyDescent="0.25">
      <c r="B2890" s="25"/>
      <c r="C2890" s="8"/>
      <c r="D2890" s="7"/>
      <c r="E2890" s="27"/>
      <c r="F2890" s="27"/>
      <c r="G2890" s="7"/>
      <c r="H2890" s="28"/>
      <c r="I2890" s="28"/>
      <c r="J2890" s="28"/>
      <c r="K2890" s="28"/>
    </row>
    <row r="2891" spans="2:11" x14ac:dyDescent="0.25">
      <c r="B2891" s="25"/>
      <c r="C2891" s="8"/>
      <c r="D2891" s="7"/>
      <c r="E2891" s="27"/>
      <c r="F2891" s="27"/>
      <c r="G2891" s="7"/>
      <c r="H2891" s="28"/>
      <c r="I2891" s="28"/>
      <c r="J2891" s="28"/>
      <c r="K2891" s="28"/>
    </row>
    <row r="2892" spans="2:11" x14ac:dyDescent="0.25">
      <c r="B2892" s="25"/>
      <c r="C2892" s="8"/>
      <c r="D2892" s="7"/>
      <c r="E2892" s="27"/>
      <c r="F2892" s="27"/>
      <c r="G2892" s="7"/>
      <c r="H2892" s="28"/>
      <c r="I2892" s="28"/>
      <c r="J2892" s="28"/>
      <c r="K2892" s="28"/>
    </row>
    <row r="2893" spans="2:11" x14ac:dyDescent="0.25">
      <c r="B2893" s="25"/>
      <c r="C2893" s="8"/>
      <c r="D2893" s="7"/>
      <c r="E2893" s="27"/>
      <c r="F2893" s="27"/>
      <c r="G2893" s="7"/>
      <c r="H2893" s="28"/>
      <c r="I2893" s="28"/>
      <c r="J2893" s="28"/>
      <c r="K2893" s="28"/>
    </row>
    <row r="2894" spans="2:11" x14ac:dyDescent="0.25">
      <c r="B2894" s="25"/>
      <c r="C2894" s="8"/>
      <c r="D2894" s="7"/>
      <c r="E2894" s="27"/>
      <c r="F2894" s="27"/>
      <c r="G2894" s="7"/>
      <c r="H2894" s="28"/>
      <c r="I2894" s="28"/>
      <c r="J2894" s="28"/>
      <c r="K2894" s="28"/>
    </row>
    <row r="2895" spans="2:11" x14ac:dyDescent="0.25">
      <c r="B2895" s="25"/>
      <c r="C2895" s="8"/>
      <c r="D2895" s="7"/>
      <c r="E2895" s="27"/>
      <c r="F2895" s="27"/>
      <c r="G2895" s="7"/>
      <c r="H2895" s="28"/>
      <c r="I2895" s="28"/>
      <c r="J2895" s="28"/>
      <c r="K2895" s="28"/>
    </row>
    <row r="2896" spans="2:11" x14ac:dyDescent="0.25">
      <c r="B2896" s="25"/>
      <c r="C2896" s="8"/>
      <c r="D2896" s="7"/>
      <c r="E2896" s="27"/>
      <c r="F2896" s="27"/>
      <c r="G2896" s="7"/>
      <c r="H2896" s="28"/>
      <c r="I2896" s="28"/>
      <c r="J2896" s="28"/>
      <c r="K2896" s="28"/>
    </row>
    <row r="2897" spans="2:11" x14ac:dyDescent="0.25">
      <c r="B2897" s="25"/>
      <c r="C2897" s="8"/>
      <c r="D2897" s="7"/>
      <c r="E2897" s="27"/>
      <c r="F2897" s="27"/>
      <c r="G2897" s="7"/>
      <c r="H2897" s="28"/>
      <c r="I2897" s="28"/>
      <c r="J2897" s="28"/>
      <c r="K2897" s="28"/>
    </row>
    <row r="2898" spans="2:11" x14ac:dyDescent="0.25">
      <c r="B2898" s="25"/>
      <c r="C2898" s="8"/>
      <c r="D2898" s="7"/>
      <c r="E2898" s="27"/>
      <c r="F2898" s="27"/>
      <c r="G2898" s="7"/>
      <c r="H2898" s="28"/>
      <c r="I2898" s="28"/>
      <c r="J2898" s="28"/>
      <c r="K2898" s="28"/>
    </row>
    <row r="2899" spans="2:11" x14ac:dyDescent="0.25">
      <c r="B2899" s="25"/>
      <c r="C2899" s="8"/>
      <c r="D2899" s="7"/>
      <c r="E2899" s="27"/>
      <c r="F2899" s="27"/>
      <c r="G2899" s="7"/>
      <c r="H2899" s="28"/>
      <c r="I2899" s="28"/>
      <c r="J2899" s="28"/>
      <c r="K2899" s="28"/>
    </row>
    <row r="2900" spans="2:11" x14ac:dyDescent="0.25">
      <c r="B2900" s="25"/>
      <c r="C2900" s="8"/>
      <c r="D2900" s="7"/>
      <c r="E2900" s="27"/>
      <c r="F2900" s="27"/>
      <c r="G2900" s="7"/>
      <c r="H2900" s="28"/>
      <c r="I2900" s="28"/>
      <c r="J2900" s="28"/>
      <c r="K2900" s="28"/>
    </row>
    <row r="2901" spans="2:11" x14ac:dyDescent="0.25">
      <c r="B2901" s="25"/>
      <c r="C2901" s="8"/>
      <c r="D2901" s="7"/>
      <c r="E2901" s="27"/>
      <c r="F2901" s="27"/>
      <c r="G2901" s="7"/>
      <c r="H2901" s="28"/>
      <c r="I2901" s="28"/>
      <c r="J2901" s="28"/>
      <c r="K2901" s="28"/>
    </row>
    <row r="2902" spans="2:11" x14ac:dyDescent="0.25">
      <c r="B2902" s="25"/>
      <c r="C2902" s="8"/>
      <c r="D2902" s="7"/>
      <c r="E2902" s="27"/>
      <c r="F2902" s="27"/>
      <c r="G2902" s="7"/>
      <c r="H2902" s="28"/>
      <c r="I2902" s="28"/>
      <c r="J2902" s="28"/>
      <c r="K2902" s="28"/>
    </row>
    <row r="2903" spans="2:11" x14ac:dyDescent="0.25">
      <c r="B2903" s="25"/>
      <c r="C2903" s="8"/>
      <c r="D2903" s="7"/>
      <c r="E2903" s="27"/>
      <c r="F2903" s="27"/>
      <c r="G2903" s="7"/>
      <c r="H2903" s="28"/>
      <c r="I2903" s="28"/>
      <c r="J2903" s="28"/>
      <c r="K2903" s="28"/>
    </row>
    <row r="2904" spans="2:11" x14ac:dyDescent="0.25">
      <c r="B2904" s="25"/>
      <c r="C2904" s="8"/>
      <c r="D2904" s="7"/>
      <c r="E2904" s="27"/>
      <c r="F2904" s="27"/>
      <c r="G2904" s="7"/>
      <c r="H2904" s="28"/>
      <c r="I2904" s="28"/>
      <c r="J2904" s="28"/>
      <c r="K2904" s="28"/>
    </row>
    <row r="2905" spans="2:11" x14ac:dyDescent="0.25">
      <c r="B2905" s="25"/>
      <c r="C2905" s="8"/>
      <c r="D2905" s="7"/>
      <c r="E2905" s="27"/>
      <c r="F2905" s="27"/>
      <c r="G2905" s="7"/>
      <c r="H2905" s="28"/>
      <c r="I2905" s="28"/>
      <c r="J2905" s="28"/>
      <c r="K2905" s="28"/>
    </row>
    <row r="2906" spans="2:11" x14ac:dyDescent="0.25">
      <c r="B2906" s="25"/>
      <c r="C2906" s="8"/>
      <c r="D2906" s="7"/>
      <c r="E2906" s="27"/>
      <c r="F2906" s="27"/>
      <c r="G2906" s="7"/>
      <c r="H2906" s="28"/>
      <c r="I2906" s="28"/>
      <c r="J2906" s="28"/>
      <c r="K2906" s="28"/>
    </row>
    <row r="2907" spans="2:11" x14ac:dyDescent="0.25">
      <c r="B2907" s="25"/>
      <c r="C2907" s="8"/>
      <c r="D2907" s="7"/>
      <c r="E2907" s="27"/>
      <c r="F2907" s="27"/>
      <c r="G2907" s="7"/>
      <c r="H2907" s="28"/>
      <c r="I2907" s="28"/>
      <c r="J2907" s="28"/>
      <c r="K2907" s="28"/>
    </row>
    <row r="2908" spans="2:11" x14ac:dyDescent="0.25">
      <c r="B2908" s="25"/>
      <c r="C2908" s="8"/>
      <c r="D2908" s="7"/>
      <c r="E2908" s="27"/>
      <c r="F2908" s="27"/>
      <c r="G2908" s="7"/>
      <c r="H2908" s="28"/>
      <c r="I2908" s="28"/>
      <c r="J2908" s="28"/>
      <c r="K2908" s="28"/>
    </row>
    <row r="2909" spans="2:11" x14ac:dyDescent="0.25">
      <c r="B2909" s="25"/>
      <c r="C2909" s="8"/>
      <c r="D2909" s="7"/>
      <c r="E2909" s="27"/>
      <c r="F2909" s="27"/>
      <c r="G2909" s="7"/>
      <c r="H2909" s="28"/>
      <c r="I2909" s="28"/>
      <c r="J2909" s="28"/>
      <c r="K2909" s="28"/>
    </row>
    <row r="2910" spans="2:11" x14ac:dyDescent="0.25">
      <c r="B2910" s="25"/>
      <c r="C2910" s="8"/>
      <c r="D2910" s="7"/>
      <c r="E2910" s="27"/>
      <c r="F2910" s="27"/>
      <c r="G2910" s="7"/>
      <c r="H2910" s="28"/>
      <c r="I2910" s="28"/>
      <c r="J2910" s="28"/>
      <c r="K2910" s="28"/>
    </row>
    <row r="2911" spans="2:11" x14ac:dyDescent="0.25">
      <c r="B2911" s="25"/>
      <c r="C2911" s="8"/>
      <c r="D2911" s="7"/>
      <c r="E2911" s="27"/>
      <c r="F2911" s="27"/>
      <c r="G2911" s="7"/>
      <c r="H2911" s="28"/>
      <c r="I2911" s="28"/>
      <c r="J2911" s="28"/>
      <c r="K2911" s="28"/>
    </row>
    <row r="2912" spans="2:11" x14ac:dyDescent="0.25">
      <c r="B2912" s="25"/>
      <c r="C2912" s="8"/>
      <c r="D2912" s="7"/>
      <c r="E2912" s="27"/>
      <c r="F2912" s="27"/>
      <c r="G2912" s="7"/>
      <c r="H2912" s="28"/>
      <c r="I2912" s="28"/>
      <c r="J2912" s="28"/>
      <c r="K2912" s="28"/>
    </row>
    <row r="2913" spans="2:11" x14ac:dyDescent="0.25">
      <c r="B2913" s="25"/>
      <c r="C2913" s="8"/>
      <c r="D2913" s="7"/>
      <c r="E2913" s="27"/>
      <c r="F2913" s="27"/>
      <c r="G2913" s="7"/>
      <c r="H2913" s="28"/>
      <c r="I2913" s="28"/>
      <c r="J2913" s="28"/>
      <c r="K2913" s="28"/>
    </row>
    <row r="2914" spans="2:11" x14ac:dyDescent="0.25">
      <c r="B2914" s="25"/>
      <c r="C2914" s="8"/>
      <c r="D2914" s="7"/>
      <c r="E2914" s="27"/>
      <c r="F2914" s="27"/>
      <c r="G2914" s="7"/>
      <c r="H2914" s="28"/>
      <c r="I2914" s="28"/>
      <c r="J2914" s="28"/>
      <c r="K2914" s="28"/>
    </row>
    <row r="2915" spans="2:11" x14ac:dyDescent="0.25">
      <c r="B2915" s="25"/>
      <c r="C2915" s="8"/>
      <c r="D2915" s="7"/>
      <c r="E2915" s="27"/>
      <c r="F2915" s="27"/>
      <c r="G2915" s="7"/>
      <c r="H2915" s="28"/>
      <c r="I2915" s="28"/>
      <c r="J2915" s="28"/>
      <c r="K2915" s="28"/>
    </row>
    <row r="2916" spans="2:11" x14ac:dyDescent="0.25">
      <c r="B2916" s="25"/>
      <c r="C2916" s="8"/>
      <c r="D2916" s="7"/>
      <c r="E2916" s="27"/>
      <c r="F2916" s="27"/>
      <c r="G2916" s="7"/>
      <c r="H2916" s="28"/>
      <c r="I2916" s="28"/>
      <c r="J2916" s="28"/>
      <c r="K2916" s="28"/>
    </row>
    <row r="2917" spans="2:11" x14ac:dyDescent="0.25">
      <c r="B2917" s="25"/>
      <c r="C2917" s="8"/>
      <c r="D2917" s="7"/>
      <c r="E2917" s="27"/>
      <c r="F2917" s="27"/>
      <c r="G2917" s="7"/>
      <c r="H2917" s="28"/>
      <c r="I2917" s="28"/>
      <c r="J2917" s="28"/>
      <c r="K2917" s="28"/>
    </row>
    <row r="2918" spans="2:11" x14ac:dyDescent="0.25">
      <c r="B2918" s="25"/>
      <c r="C2918" s="8"/>
      <c r="D2918" s="7"/>
      <c r="E2918" s="27"/>
      <c r="F2918" s="27"/>
      <c r="G2918" s="7"/>
      <c r="H2918" s="28"/>
      <c r="I2918" s="28"/>
      <c r="J2918" s="28"/>
      <c r="K2918" s="28"/>
    </row>
    <row r="2919" spans="2:11" x14ac:dyDescent="0.25">
      <c r="B2919" s="25"/>
      <c r="C2919" s="8"/>
      <c r="D2919" s="7"/>
      <c r="E2919" s="27"/>
      <c r="F2919" s="27"/>
      <c r="G2919" s="7"/>
      <c r="H2919" s="28"/>
      <c r="I2919" s="28"/>
      <c r="J2919" s="28"/>
      <c r="K2919" s="28"/>
    </row>
    <row r="2920" spans="2:11" x14ac:dyDescent="0.25">
      <c r="B2920" s="25"/>
      <c r="C2920" s="8"/>
      <c r="D2920" s="7"/>
      <c r="E2920" s="27"/>
      <c r="F2920" s="27"/>
      <c r="G2920" s="7"/>
      <c r="H2920" s="28"/>
      <c r="I2920" s="28"/>
      <c r="J2920" s="28"/>
      <c r="K2920" s="28"/>
    </row>
    <row r="2921" spans="2:11" x14ac:dyDescent="0.25">
      <c r="B2921" s="25"/>
      <c r="C2921" s="8"/>
      <c r="D2921" s="7"/>
      <c r="E2921" s="27"/>
      <c r="F2921" s="27"/>
      <c r="G2921" s="7"/>
      <c r="H2921" s="28"/>
      <c r="I2921" s="28"/>
      <c r="J2921" s="28"/>
      <c r="K2921" s="28"/>
    </row>
    <row r="2922" spans="2:11" x14ac:dyDescent="0.25">
      <c r="B2922" s="25"/>
      <c r="C2922" s="8"/>
      <c r="D2922" s="7"/>
      <c r="E2922" s="27"/>
      <c r="F2922" s="27"/>
      <c r="G2922" s="7"/>
      <c r="H2922" s="28"/>
      <c r="I2922" s="28"/>
      <c r="J2922" s="28"/>
      <c r="K2922" s="28"/>
    </row>
    <row r="2923" spans="2:11" x14ac:dyDescent="0.25">
      <c r="B2923" s="25"/>
      <c r="C2923" s="8"/>
      <c r="D2923" s="7"/>
      <c r="E2923" s="27"/>
      <c r="F2923" s="27"/>
      <c r="G2923" s="7"/>
      <c r="H2923" s="28"/>
      <c r="I2923" s="28"/>
      <c r="J2923" s="28"/>
      <c r="K2923" s="28"/>
    </row>
    <row r="2924" spans="2:11" x14ac:dyDescent="0.25">
      <c r="B2924" s="25"/>
      <c r="C2924" s="8"/>
      <c r="D2924" s="7"/>
      <c r="E2924" s="27"/>
      <c r="F2924" s="27"/>
      <c r="G2924" s="7"/>
      <c r="H2924" s="28"/>
      <c r="I2924" s="28"/>
      <c r="J2924" s="28"/>
      <c r="K2924" s="28"/>
    </row>
    <row r="2925" spans="2:11" x14ac:dyDescent="0.25">
      <c r="B2925" s="25"/>
      <c r="C2925" s="8"/>
      <c r="D2925" s="7"/>
      <c r="E2925" s="27"/>
      <c r="F2925" s="27"/>
      <c r="G2925" s="7"/>
      <c r="H2925" s="28"/>
      <c r="I2925" s="28"/>
      <c r="J2925" s="28"/>
      <c r="K2925" s="28"/>
    </row>
    <row r="2926" spans="2:11" x14ac:dyDescent="0.25">
      <c r="B2926" s="25"/>
      <c r="C2926" s="8"/>
      <c r="D2926" s="7"/>
      <c r="E2926" s="27"/>
      <c r="F2926" s="27"/>
      <c r="G2926" s="7"/>
      <c r="H2926" s="28"/>
      <c r="I2926" s="28"/>
      <c r="J2926" s="28"/>
      <c r="K2926" s="28"/>
    </row>
    <row r="2927" spans="2:11" x14ac:dyDescent="0.25">
      <c r="B2927" s="25"/>
      <c r="C2927" s="8"/>
      <c r="D2927" s="7"/>
      <c r="E2927" s="27"/>
      <c r="F2927" s="27"/>
      <c r="G2927" s="7"/>
      <c r="H2927" s="28"/>
      <c r="I2927" s="28"/>
      <c r="J2927" s="28"/>
      <c r="K2927" s="28"/>
    </row>
    <row r="2928" spans="2:11" x14ac:dyDescent="0.25">
      <c r="B2928" s="25"/>
      <c r="C2928" s="8"/>
      <c r="D2928" s="7"/>
      <c r="E2928" s="27"/>
      <c r="F2928" s="27"/>
      <c r="G2928" s="7"/>
      <c r="H2928" s="28"/>
      <c r="I2928" s="28"/>
      <c r="J2928" s="28"/>
      <c r="K2928" s="28"/>
    </row>
    <row r="2929" spans="2:11" x14ac:dyDescent="0.25">
      <c r="B2929" s="25"/>
      <c r="C2929" s="8"/>
      <c r="D2929" s="7"/>
      <c r="E2929" s="27"/>
      <c r="F2929" s="27"/>
      <c r="G2929" s="7"/>
      <c r="H2929" s="28"/>
      <c r="I2929" s="28"/>
      <c r="J2929" s="28"/>
      <c r="K2929" s="28"/>
    </row>
    <row r="2930" spans="2:11" x14ac:dyDescent="0.25">
      <c r="B2930" s="25"/>
      <c r="C2930" s="8"/>
      <c r="D2930" s="7"/>
      <c r="E2930" s="27"/>
      <c r="F2930" s="27"/>
      <c r="G2930" s="7"/>
      <c r="H2930" s="28"/>
      <c r="I2930" s="28"/>
      <c r="J2930" s="28"/>
      <c r="K2930" s="28"/>
    </row>
    <row r="2931" spans="2:11" x14ac:dyDescent="0.25">
      <c r="B2931" s="25"/>
      <c r="C2931" s="8"/>
      <c r="D2931" s="7"/>
      <c r="E2931" s="27"/>
      <c r="F2931" s="27"/>
      <c r="G2931" s="7"/>
      <c r="H2931" s="28"/>
      <c r="I2931" s="28"/>
      <c r="J2931" s="28"/>
      <c r="K2931" s="28"/>
    </row>
    <row r="2932" spans="2:11" x14ac:dyDescent="0.25">
      <c r="B2932" s="25"/>
      <c r="C2932" s="8"/>
      <c r="D2932" s="7"/>
      <c r="E2932" s="27"/>
      <c r="F2932" s="27"/>
      <c r="G2932" s="7"/>
      <c r="H2932" s="28"/>
      <c r="I2932" s="28"/>
      <c r="J2932" s="28"/>
      <c r="K2932" s="28"/>
    </row>
    <row r="2933" spans="2:11" x14ac:dyDescent="0.25">
      <c r="B2933" s="25"/>
      <c r="C2933" s="8"/>
      <c r="D2933" s="7"/>
      <c r="E2933" s="27"/>
      <c r="F2933" s="27"/>
      <c r="G2933" s="7"/>
      <c r="H2933" s="28"/>
      <c r="I2933" s="28"/>
      <c r="J2933" s="28"/>
      <c r="K2933" s="28"/>
    </row>
    <row r="2934" spans="2:11" x14ac:dyDescent="0.25">
      <c r="B2934" s="25"/>
      <c r="C2934" s="8"/>
      <c r="D2934" s="7"/>
      <c r="E2934" s="27"/>
      <c r="F2934" s="27"/>
      <c r="G2934" s="7"/>
      <c r="H2934" s="28"/>
      <c r="I2934" s="28"/>
      <c r="J2934" s="28"/>
      <c r="K2934" s="28"/>
    </row>
    <row r="2935" spans="2:11" x14ac:dyDescent="0.25">
      <c r="B2935" s="25"/>
      <c r="C2935" s="8"/>
      <c r="D2935" s="7"/>
      <c r="E2935" s="27"/>
      <c r="F2935" s="27"/>
      <c r="G2935" s="7"/>
      <c r="H2935" s="28"/>
      <c r="I2935" s="28"/>
      <c r="J2935" s="28"/>
      <c r="K2935" s="28"/>
    </row>
    <row r="2936" spans="2:11" x14ac:dyDescent="0.25">
      <c r="B2936" s="25"/>
      <c r="C2936" s="8"/>
      <c r="D2936" s="7"/>
      <c r="E2936" s="27"/>
      <c r="F2936" s="27"/>
      <c r="G2936" s="7"/>
      <c r="H2936" s="28"/>
      <c r="I2936" s="28"/>
      <c r="J2936" s="28"/>
      <c r="K2936" s="28"/>
    </row>
    <row r="2937" spans="2:11" x14ac:dyDescent="0.25">
      <c r="B2937" s="25"/>
      <c r="C2937" s="8"/>
      <c r="D2937" s="7"/>
      <c r="E2937" s="27"/>
      <c r="F2937" s="27"/>
      <c r="G2937" s="7"/>
      <c r="H2937" s="28"/>
      <c r="I2937" s="28"/>
      <c r="J2937" s="28"/>
      <c r="K2937" s="28"/>
    </row>
    <row r="2938" spans="2:11" x14ac:dyDescent="0.25">
      <c r="B2938" s="25"/>
      <c r="C2938" s="8"/>
      <c r="D2938" s="7"/>
      <c r="E2938" s="27"/>
      <c r="F2938" s="27"/>
      <c r="G2938" s="7"/>
      <c r="H2938" s="28"/>
      <c r="I2938" s="28"/>
      <c r="J2938" s="28"/>
      <c r="K2938" s="28"/>
    </row>
    <row r="2939" spans="2:11" x14ac:dyDescent="0.25">
      <c r="B2939" s="25"/>
      <c r="C2939" s="8"/>
      <c r="D2939" s="7"/>
      <c r="E2939" s="27"/>
      <c r="F2939" s="27"/>
      <c r="G2939" s="7"/>
      <c r="H2939" s="28"/>
      <c r="I2939" s="28"/>
      <c r="J2939" s="28"/>
      <c r="K2939" s="28"/>
    </row>
    <row r="2940" spans="2:11" x14ac:dyDescent="0.25">
      <c r="B2940" s="25"/>
      <c r="C2940" s="8"/>
      <c r="D2940" s="7"/>
      <c r="E2940" s="27"/>
      <c r="F2940" s="27"/>
      <c r="G2940" s="7"/>
      <c r="H2940" s="28"/>
      <c r="I2940" s="28"/>
      <c r="J2940" s="28"/>
      <c r="K2940" s="28"/>
    </row>
    <row r="2941" spans="2:11" x14ac:dyDescent="0.25">
      <c r="B2941" s="25"/>
      <c r="C2941" s="8"/>
      <c r="D2941" s="7"/>
      <c r="E2941" s="27"/>
      <c r="F2941" s="27"/>
      <c r="G2941" s="7"/>
      <c r="H2941" s="28"/>
      <c r="I2941" s="28"/>
      <c r="J2941" s="28"/>
      <c r="K2941" s="28"/>
    </row>
    <row r="2942" spans="2:11" x14ac:dyDescent="0.25">
      <c r="B2942" s="25"/>
      <c r="C2942" s="8"/>
      <c r="D2942" s="7"/>
      <c r="E2942" s="27"/>
      <c r="F2942" s="27"/>
      <c r="G2942" s="7"/>
      <c r="H2942" s="28"/>
      <c r="I2942" s="28"/>
      <c r="J2942" s="28"/>
      <c r="K2942" s="28"/>
    </row>
    <row r="2943" spans="2:11" x14ac:dyDescent="0.25">
      <c r="B2943" s="25"/>
      <c r="C2943" s="8"/>
      <c r="D2943" s="7"/>
      <c r="E2943" s="27"/>
      <c r="F2943" s="27"/>
      <c r="G2943" s="7"/>
      <c r="H2943" s="28"/>
      <c r="I2943" s="28"/>
      <c r="J2943" s="28"/>
      <c r="K2943" s="28"/>
    </row>
    <row r="2944" spans="2:11" x14ac:dyDescent="0.25">
      <c r="B2944" s="25"/>
      <c r="C2944" s="8"/>
      <c r="D2944" s="7"/>
      <c r="E2944" s="27"/>
      <c r="F2944" s="27"/>
      <c r="G2944" s="7"/>
      <c r="H2944" s="28"/>
      <c r="I2944" s="28"/>
      <c r="J2944" s="28"/>
      <c r="K2944" s="28"/>
    </row>
    <row r="2945" spans="2:11" x14ac:dyDescent="0.25">
      <c r="B2945" s="25"/>
      <c r="C2945" s="8"/>
      <c r="D2945" s="7"/>
      <c r="E2945" s="27"/>
      <c r="F2945" s="27"/>
      <c r="G2945" s="7"/>
      <c r="H2945" s="28"/>
      <c r="I2945" s="28"/>
      <c r="J2945" s="28"/>
      <c r="K2945" s="28"/>
    </row>
    <row r="2946" spans="2:11" x14ac:dyDescent="0.25">
      <c r="B2946" s="25"/>
      <c r="C2946" s="8"/>
      <c r="D2946" s="7"/>
      <c r="E2946" s="27"/>
      <c r="F2946" s="27"/>
      <c r="G2946" s="7"/>
      <c r="H2946" s="28"/>
      <c r="I2946" s="28"/>
      <c r="J2946" s="28"/>
      <c r="K2946" s="28"/>
    </row>
    <row r="2947" spans="2:11" x14ac:dyDescent="0.25">
      <c r="B2947" s="25"/>
      <c r="C2947" s="8"/>
      <c r="D2947" s="7"/>
      <c r="E2947" s="27"/>
      <c r="F2947" s="27"/>
      <c r="G2947" s="7"/>
      <c r="H2947" s="28"/>
      <c r="I2947" s="28"/>
      <c r="J2947" s="28"/>
      <c r="K2947" s="28"/>
    </row>
    <row r="2948" spans="2:11" x14ac:dyDescent="0.25">
      <c r="B2948" s="25"/>
      <c r="C2948" s="8"/>
      <c r="D2948" s="7"/>
      <c r="E2948" s="27"/>
      <c r="F2948" s="27"/>
      <c r="G2948" s="7"/>
      <c r="H2948" s="28"/>
      <c r="I2948" s="28"/>
      <c r="J2948" s="28"/>
      <c r="K2948" s="28"/>
    </row>
    <row r="2949" spans="2:11" x14ac:dyDescent="0.25">
      <c r="B2949" s="25"/>
      <c r="C2949" s="8"/>
      <c r="D2949" s="7"/>
      <c r="E2949" s="27"/>
      <c r="F2949" s="27"/>
      <c r="G2949" s="7"/>
      <c r="H2949" s="28"/>
      <c r="I2949" s="28"/>
      <c r="J2949" s="28"/>
      <c r="K2949" s="28"/>
    </row>
    <row r="2950" spans="2:11" x14ac:dyDescent="0.25">
      <c r="B2950" s="25"/>
      <c r="C2950" s="8"/>
      <c r="D2950" s="7"/>
      <c r="E2950" s="27"/>
      <c r="F2950" s="27"/>
      <c r="G2950" s="7"/>
      <c r="H2950" s="28"/>
      <c r="I2950" s="28"/>
      <c r="J2950" s="28"/>
      <c r="K2950" s="28"/>
    </row>
    <row r="2951" spans="2:11" x14ac:dyDescent="0.25">
      <c r="B2951" s="25"/>
      <c r="C2951" s="8"/>
      <c r="D2951" s="7"/>
      <c r="E2951" s="27"/>
      <c r="F2951" s="27"/>
      <c r="G2951" s="7"/>
      <c r="H2951" s="28"/>
      <c r="I2951" s="28"/>
      <c r="J2951" s="28"/>
      <c r="K2951" s="28"/>
    </row>
    <row r="2952" spans="2:11" x14ac:dyDescent="0.25">
      <c r="B2952" s="25"/>
      <c r="C2952" s="8"/>
      <c r="D2952" s="7"/>
      <c r="E2952" s="27"/>
      <c r="F2952" s="27"/>
      <c r="G2952" s="7"/>
      <c r="H2952" s="28"/>
      <c r="I2952" s="28"/>
      <c r="J2952" s="28"/>
      <c r="K2952" s="28"/>
    </row>
    <row r="2953" spans="2:11" x14ac:dyDescent="0.25">
      <c r="B2953" s="25"/>
      <c r="C2953" s="8"/>
      <c r="D2953" s="7"/>
      <c r="E2953" s="27"/>
      <c r="F2953" s="27"/>
      <c r="G2953" s="7"/>
      <c r="H2953" s="28"/>
      <c r="I2953" s="28"/>
      <c r="J2953" s="28"/>
      <c r="K2953" s="28"/>
    </row>
    <row r="2954" spans="2:11" x14ac:dyDescent="0.25">
      <c r="B2954" s="25"/>
      <c r="C2954" s="8"/>
      <c r="D2954" s="7"/>
      <c r="E2954" s="27"/>
      <c r="F2954" s="27"/>
      <c r="G2954" s="7"/>
      <c r="H2954" s="28"/>
      <c r="I2954" s="28"/>
      <c r="J2954" s="28"/>
      <c r="K2954" s="28"/>
    </row>
    <row r="2955" spans="2:11" x14ac:dyDescent="0.25">
      <c r="B2955" s="25"/>
      <c r="C2955" s="8"/>
      <c r="D2955" s="7"/>
      <c r="E2955" s="27"/>
      <c r="F2955" s="27"/>
      <c r="G2955" s="7"/>
      <c r="H2955" s="28"/>
      <c r="I2955" s="28"/>
      <c r="J2955" s="28"/>
      <c r="K2955" s="28"/>
    </row>
    <row r="2956" spans="2:11" x14ac:dyDescent="0.25">
      <c r="B2956" s="25"/>
      <c r="C2956" s="8"/>
      <c r="D2956" s="7"/>
      <c r="E2956" s="27"/>
      <c r="F2956" s="27"/>
      <c r="G2956" s="7"/>
      <c r="H2956" s="28"/>
      <c r="I2956" s="28"/>
      <c r="J2956" s="28"/>
      <c r="K2956" s="28"/>
    </row>
    <row r="2957" spans="2:11" x14ac:dyDescent="0.25">
      <c r="B2957" s="25"/>
      <c r="C2957" s="8"/>
      <c r="D2957" s="7"/>
      <c r="E2957" s="27"/>
      <c r="F2957" s="27"/>
      <c r="G2957" s="7"/>
      <c r="H2957" s="28"/>
      <c r="I2957" s="28"/>
      <c r="J2957" s="28"/>
      <c r="K2957" s="28"/>
    </row>
    <row r="2958" spans="2:11" x14ac:dyDescent="0.25">
      <c r="B2958" s="25"/>
      <c r="C2958" s="8"/>
      <c r="D2958" s="7"/>
      <c r="E2958" s="27"/>
      <c r="F2958" s="27"/>
      <c r="G2958" s="7"/>
      <c r="H2958" s="28"/>
      <c r="I2958" s="28"/>
      <c r="J2958" s="28"/>
      <c r="K2958" s="28"/>
    </row>
    <row r="2959" spans="2:11" x14ac:dyDescent="0.25">
      <c r="B2959" s="25"/>
      <c r="C2959" s="8"/>
      <c r="D2959" s="7"/>
      <c r="E2959" s="27"/>
      <c r="F2959" s="27"/>
      <c r="G2959" s="7"/>
      <c r="H2959" s="28"/>
      <c r="I2959" s="28"/>
      <c r="J2959" s="28"/>
      <c r="K2959" s="28"/>
    </row>
    <row r="2960" spans="2:11" x14ac:dyDescent="0.25">
      <c r="B2960" s="25"/>
      <c r="C2960" s="8"/>
      <c r="D2960" s="7"/>
      <c r="E2960" s="27"/>
      <c r="F2960" s="27"/>
      <c r="G2960" s="7"/>
      <c r="H2960" s="28"/>
      <c r="I2960" s="28"/>
      <c r="J2960" s="28"/>
      <c r="K2960" s="28"/>
    </row>
    <row r="2961" spans="2:11" x14ac:dyDescent="0.25">
      <c r="B2961" s="25"/>
      <c r="C2961" s="8"/>
      <c r="D2961" s="7"/>
      <c r="E2961" s="27"/>
      <c r="F2961" s="27"/>
      <c r="G2961" s="7"/>
      <c r="H2961" s="28"/>
      <c r="I2961" s="28"/>
      <c r="J2961" s="28"/>
      <c r="K2961" s="28"/>
    </row>
    <row r="2962" spans="2:11" x14ac:dyDescent="0.25">
      <c r="B2962" s="25"/>
      <c r="C2962" s="8"/>
      <c r="D2962" s="7"/>
      <c r="E2962" s="27"/>
      <c r="F2962" s="27"/>
      <c r="G2962" s="7"/>
      <c r="H2962" s="28"/>
      <c r="I2962" s="28"/>
      <c r="J2962" s="28"/>
      <c r="K2962" s="28"/>
    </row>
    <row r="2963" spans="2:11" x14ac:dyDescent="0.25">
      <c r="B2963" s="25"/>
      <c r="C2963" s="8"/>
      <c r="D2963" s="7"/>
      <c r="E2963" s="27"/>
      <c r="F2963" s="27"/>
      <c r="G2963" s="7"/>
      <c r="H2963" s="28"/>
      <c r="I2963" s="28"/>
      <c r="J2963" s="28"/>
      <c r="K2963" s="28"/>
    </row>
    <row r="2964" spans="2:11" x14ac:dyDescent="0.25">
      <c r="B2964" s="25"/>
      <c r="C2964" s="8"/>
      <c r="D2964" s="7"/>
      <c r="E2964" s="27"/>
      <c r="F2964" s="27"/>
      <c r="G2964" s="7"/>
      <c r="H2964" s="28"/>
      <c r="I2964" s="28"/>
      <c r="J2964" s="28"/>
      <c r="K2964" s="28"/>
    </row>
    <row r="2965" spans="2:11" x14ac:dyDescent="0.25">
      <c r="B2965" s="25"/>
      <c r="C2965" s="8"/>
      <c r="D2965" s="7"/>
      <c r="E2965" s="27"/>
      <c r="F2965" s="27"/>
      <c r="G2965" s="7"/>
      <c r="H2965" s="28"/>
      <c r="I2965" s="28"/>
      <c r="J2965" s="28"/>
      <c r="K2965" s="28"/>
    </row>
    <row r="2966" spans="2:11" x14ac:dyDescent="0.25">
      <c r="B2966" s="25"/>
      <c r="C2966" s="8"/>
      <c r="D2966" s="7"/>
      <c r="E2966" s="27"/>
      <c r="F2966" s="27"/>
      <c r="G2966" s="7"/>
      <c r="H2966" s="28"/>
      <c r="I2966" s="28"/>
      <c r="J2966" s="28"/>
      <c r="K2966" s="28"/>
    </row>
    <row r="2967" spans="2:11" x14ac:dyDescent="0.25">
      <c r="B2967" s="25"/>
      <c r="C2967" s="8"/>
      <c r="D2967" s="7"/>
      <c r="E2967" s="27"/>
      <c r="F2967" s="27"/>
      <c r="G2967" s="7"/>
      <c r="H2967" s="28"/>
      <c r="I2967" s="28"/>
      <c r="J2967" s="28"/>
      <c r="K2967" s="28"/>
    </row>
    <row r="2968" spans="2:11" x14ac:dyDescent="0.25">
      <c r="B2968" s="25"/>
      <c r="C2968" s="8"/>
      <c r="D2968" s="7"/>
      <c r="E2968" s="27"/>
      <c r="F2968" s="27"/>
      <c r="G2968" s="7"/>
      <c r="H2968" s="28"/>
      <c r="I2968" s="28"/>
      <c r="J2968" s="28"/>
      <c r="K2968" s="28"/>
    </row>
    <row r="2969" spans="2:11" x14ac:dyDescent="0.25">
      <c r="B2969" s="25"/>
      <c r="C2969" s="8"/>
      <c r="D2969" s="7"/>
      <c r="E2969" s="27"/>
      <c r="F2969" s="27"/>
      <c r="G2969" s="7"/>
      <c r="H2969" s="28"/>
      <c r="I2969" s="28"/>
      <c r="J2969" s="28"/>
      <c r="K2969" s="28"/>
    </row>
    <row r="2970" spans="2:11" x14ac:dyDescent="0.25">
      <c r="B2970" s="25"/>
      <c r="C2970" s="8"/>
      <c r="D2970" s="7"/>
      <c r="E2970" s="27"/>
      <c r="F2970" s="27"/>
      <c r="G2970" s="7"/>
      <c r="H2970" s="28"/>
      <c r="I2970" s="28"/>
      <c r="J2970" s="28"/>
      <c r="K2970" s="28"/>
    </row>
    <row r="2971" spans="2:11" x14ac:dyDescent="0.25">
      <c r="B2971" s="25"/>
      <c r="C2971" s="8"/>
      <c r="D2971" s="7"/>
      <c r="E2971" s="27"/>
      <c r="F2971" s="27"/>
      <c r="G2971" s="7"/>
      <c r="H2971" s="28"/>
      <c r="I2971" s="28"/>
      <c r="J2971" s="28"/>
      <c r="K2971" s="28"/>
    </row>
    <row r="2972" spans="2:11" x14ac:dyDescent="0.25">
      <c r="B2972" s="25"/>
      <c r="C2972" s="8"/>
      <c r="D2972" s="7"/>
      <c r="E2972" s="27"/>
      <c r="F2972" s="27"/>
      <c r="G2972" s="7"/>
      <c r="H2972" s="28"/>
      <c r="I2972" s="28"/>
      <c r="J2972" s="28"/>
      <c r="K2972" s="28"/>
    </row>
    <row r="2973" spans="2:11" x14ac:dyDescent="0.25">
      <c r="B2973" s="25"/>
      <c r="C2973" s="8"/>
      <c r="D2973" s="7"/>
      <c r="E2973" s="27"/>
      <c r="F2973" s="27"/>
      <c r="G2973" s="7"/>
      <c r="H2973" s="28"/>
      <c r="I2973" s="28"/>
      <c r="J2973" s="28"/>
      <c r="K2973" s="28"/>
    </row>
    <row r="2974" spans="2:11" x14ac:dyDescent="0.25">
      <c r="B2974" s="25"/>
      <c r="C2974" s="8"/>
      <c r="D2974" s="7"/>
      <c r="E2974" s="27"/>
      <c r="F2974" s="27"/>
      <c r="G2974" s="7"/>
      <c r="H2974" s="28"/>
      <c r="I2974" s="28"/>
      <c r="J2974" s="28"/>
      <c r="K2974" s="28"/>
    </row>
    <row r="2975" spans="2:11" x14ac:dyDescent="0.25">
      <c r="B2975" s="25"/>
      <c r="C2975" s="8"/>
      <c r="D2975" s="7"/>
      <c r="E2975" s="27"/>
      <c r="F2975" s="27"/>
      <c r="G2975" s="7"/>
      <c r="H2975" s="28"/>
      <c r="I2975" s="28"/>
      <c r="J2975" s="28"/>
      <c r="K2975" s="28"/>
    </row>
    <row r="2976" spans="2:11" x14ac:dyDescent="0.25">
      <c r="B2976" s="25"/>
      <c r="C2976" s="8"/>
      <c r="D2976" s="7"/>
      <c r="E2976" s="27"/>
      <c r="F2976" s="27"/>
      <c r="G2976" s="7"/>
      <c r="H2976" s="28"/>
      <c r="I2976" s="28"/>
      <c r="J2976" s="28"/>
      <c r="K2976" s="28"/>
    </row>
    <row r="2977" spans="2:11" x14ac:dyDescent="0.25">
      <c r="B2977" s="25"/>
      <c r="C2977" s="8"/>
      <c r="D2977" s="7"/>
      <c r="E2977" s="27"/>
      <c r="F2977" s="27"/>
      <c r="G2977" s="7"/>
      <c r="H2977" s="28"/>
      <c r="I2977" s="28"/>
      <c r="J2977" s="28"/>
      <c r="K2977" s="28"/>
    </row>
    <row r="2978" spans="2:11" x14ac:dyDescent="0.25">
      <c r="B2978" s="25"/>
      <c r="C2978" s="8"/>
      <c r="D2978" s="7"/>
      <c r="E2978" s="27"/>
      <c r="F2978" s="27"/>
      <c r="G2978" s="7"/>
      <c r="H2978" s="28"/>
      <c r="I2978" s="28"/>
      <c r="J2978" s="28"/>
      <c r="K2978" s="28"/>
    </row>
    <row r="2979" spans="2:11" x14ac:dyDescent="0.25">
      <c r="B2979" s="25"/>
      <c r="C2979" s="8"/>
      <c r="D2979" s="7"/>
      <c r="E2979" s="27"/>
      <c r="F2979" s="27"/>
      <c r="G2979" s="7"/>
      <c r="H2979" s="28"/>
      <c r="I2979" s="28"/>
      <c r="J2979" s="28"/>
      <c r="K2979" s="28"/>
    </row>
    <row r="2980" spans="2:11" x14ac:dyDescent="0.25">
      <c r="B2980" s="25"/>
      <c r="C2980" s="8"/>
      <c r="D2980" s="7"/>
      <c r="E2980" s="27"/>
      <c r="F2980" s="27"/>
      <c r="G2980" s="7"/>
      <c r="H2980" s="28"/>
      <c r="I2980" s="28"/>
      <c r="J2980" s="28"/>
      <c r="K2980" s="28"/>
    </row>
    <row r="2981" spans="2:11" x14ac:dyDescent="0.25">
      <c r="B2981" s="25"/>
      <c r="C2981" s="8"/>
      <c r="D2981" s="7"/>
      <c r="E2981" s="27"/>
      <c r="F2981" s="27"/>
      <c r="G2981" s="7"/>
      <c r="H2981" s="28"/>
      <c r="I2981" s="28"/>
      <c r="J2981" s="28"/>
      <c r="K2981" s="28"/>
    </row>
    <row r="2982" spans="2:11" x14ac:dyDescent="0.25">
      <c r="B2982" s="25"/>
      <c r="C2982" s="8"/>
      <c r="D2982" s="7"/>
      <c r="E2982" s="27"/>
      <c r="F2982" s="27"/>
      <c r="G2982" s="7"/>
      <c r="H2982" s="28"/>
      <c r="I2982" s="28"/>
      <c r="J2982" s="28"/>
      <c r="K2982" s="28"/>
    </row>
    <row r="2983" spans="2:11" x14ac:dyDescent="0.25">
      <c r="B2983" s="25"/>
      <c r="C2983" s="8"/>
      <c r="D2983" s="7"/>
      <c r="E2983" s="27"/>
      <c r="F2983" s="27"/>
      <c r="G2983" s="7"/>
      <c r="H2983" s="28"/>
      <c r="I2983" s="28"/>
      <c r="J2983" s="28"/>
      <c r="K2983" s="28"/>
    </row>
    <row r="2984" spans="2:11" x14ac:dyDescent="0.25">
      <c r="B2984" s="25"/>
      <c r="C2984" s="8"/>
      <c r="D2984" s="7"/>
      <c r="E2984" s="27"/>
      <c r="F2984" s="27"/>
      <c r="G2984" s="7"/>
      <c r="H2984" s="28"/>
      <c r="I2984" s="28"/>
      <c r="J2984" s="28"/>
      <c r="K2984" s="28"/>
    </row>
    <row r="2985" spans="2:11" x14ac:dyDescent="0.25">
      <c r="B2985" s="25"/>
      <c r="C2985" s="8"/>
      <c r="D2985" s="7"/>
      <c r="E2985" s="27"/>
      <c r="F2985" s="27"/>
      <c r="G2985" s="7"/>
      <c r="H2985" s="28"/>
      <c r="I2985" s="28"/>
      <c r="J2985" s="28"/>
      <c r="K2985" s="28"/>
    </row>
    <row r="2986" spans="2:11" x14ac:dyDescent="0.25">
      <c r="B2986" s="25"/>
      <c r="C2986" s="8"/>
      <c r="D2986" s="7"/>
      <c r="E2986" s="27"/>
      <c r="F2986" s="27"/>
      <c r="G2986" s="7"/>
      <c r="H2986" s="28"/>
      <c r="I2986" s="28"/>
      <c r="J2986" s="28"/>
      <c r="K2986" s="28"/>
    </row>
    <row r="2987" spans="2:11" x14ac:dyDescent="0.25">
      <c r="B2987" s="25"/>
      <c r="C2987" s="8"/>
      <c r="D2987" s="7"/>
      <c r="E2987" s="27"/>
      <c r="F2987" s="27"/>
      <c r="G2987" s="7"/>
      <c r="H2987" s="28"/>
      <c r="I2987" s="28"/>
      <c r="J2987" s="28"/>
      <c r="K2987" s="28"/>
    </row>
    <row r="2988" spans="2:11" x14ac:dyDescent="0.25">
      <c r="B2988" s="25"/>
      <c r="C2988" s="8"/>
      <c r="D2988" s="7"/>
      <c r="E2988" s="27"/>
      <c r="F2988" s="27"/>
      <c r="G2988" s="7"/>
      <c r="H2988" s="28"/>
      <c r="I2988" s="28"/>
      <c r="J2988" s="28"/>
      <c r="K2988" s="28"/>
    </row>
    <row r="2989" spans="2:11" x14ac:dyDescent="0.25">
      <c r="B2989" s="25"/>
      <c r="C2989" s="8"/>
      <c r="D2989" s="7"/>
      <c r="E2989" s="27"/>
      <c r="F2989" s="27"/>
      <c r="G2989" s="7"/>
      <c r="H2989" s="28"/>
      <c r="I2989" s="28"/>
      <c r="J2989" s="28"/>
      <c r="K2989" s="28"/>
    </row>
    <row r="2990" spans="2:11" x14ac:dyDescent="0.25">
      <c r="B2990" s="25"/>
      <c r="C2990" s="8"/>
      <c r="D2990" s="7"/>
      <c r="E2990" s="27"/>
      <c r="F2990" s="27"/>
      <c r="G2990" s="7"/>
      <c r="H2990" s="28"/>
      <c r="I2990" s="28"/>
      <c r="J2990" s="28"/>
      <c r="K2990" s="28"/>
    </row>
    <row r="2991" spans="2:11" x14ac:dyDescent="0.25">
      <c r="B2991" s="25"/>
      <c r="C2991" s="8"/>
      <c r="D2991" s="7"/>
      <c r="E2991" s="27"/>
      <c r="F2991" s="27"/>
      <c r="G2991" s="7"/>
      <c r="H2991" s="28"/>
      <c r="I2991" s="28"/>
      <c r="J2991" s="28"/>
      <c r="K2991" s="28"/>
    </row>
    <row r="2992" spans="2:11" x14ac:dyDescent="0.25">
      <c r="B2992" s="25"/>
      <c r="C2992" s="8"/>
      <c r="D2992" s="7"/>
      <c r="E2992" s="27"/>
      <c r="F2992" s="27"/>
      <c r="G2992" s="7"/>
      <c r="H2992" s="28"/>
      <c r="I2992" s="28"/>
      <c r="J2992" s="28"/>
      <c r="K2992" s="28"/>
    </row>
    <row r="2993" spans="2:11" x14ac:dyDescent="0.25">
      <c r="B2993" s="25"/>
      <c r="C2993" s="8"/>
      <c r="D2993" s="7"/>
      <c r="E2993" s="27"/>
      <c r="F2993" s="27"/>
      <c r="G2993" s="7"/>
      <c r="H2993" s="28"/>
      <c r="I2993" s="28"/>
      <c r="J2993" s="28"/>
      <c r="K2993" s="28"/>
    </row>
    <row r="2994" spans="2:11" x14ac:dyDescent="0.25">
      <c r="B2994" s="25"/>
      <c r="C2994" s="8"/>
      <c r="D2994" s="7"/>
      <c r="E2994" s="27"/>
      <c r="F2994" s="27"/>
      <c r="G2994" s="7"/>
      <c r="H2994" s="28"/>
      <c r="I2994" s="28"/>
      <c r="J2994" s="28"/>
      <c r="K2994" s="28"/>
    </row>
    <row r="2995" spans="2:11" x14ac:dyDescent="0.25">
      <c r="B2995" s="25"/>
      <c r="C2995" s="8"/>
      <c r="D2995" s="7"/>
      <c r="E2995" s="27"/>
      <c r="F2995" s="27"/>
      <c r="G2995" s="7"/>
      <c r="H2995" s="28"/>
      <c r="I2995" s="28"/>
      <c r="J2995" s="28"/>
      <c r="K2995" s="28"/>
    </row>
    <row r="2996" spans="2:11" x14ac:dyDescent="0.25">
      <c r="B2996" s="25"/>
      <c r="C2996" s="8"/>
      <c r="D2996" s="7"/>
      <c r="E2996" s="27"/>
      <c r="F2996" s="27"/>
      <c r="G2996" s="7"/>
      <c r="H2996" s="28"/>
      <c r="I2996" s="28"/>
      <c r="J2996" s="28"/>
      <c r="K2996" s="28"/>
    </row>
    <row r="2997" spans="2:11" x14ac:dyDescent="0.25">
      <c r="B2997" s="25"/>
      <c r="C2997" s="8"/>
      <c r="D2997" s="7"/>
      <c r="E2997" s="27"/>
      <c r="F2997" s="27"/>
      <c r="G2997" s="7"/>
      <c r="H2997" s="28"/>
      <c r="I2997" s="28"/>
      <c r="J2997" s="28"/>
      <c r="K2997" s="28"/>
    </row>
    <row r="2998" spans="2:11" x14ac:dyDescent="0.25">
      <c r="B2998" s="25"/>
      <c r="C2998" s="8"/>
      <c r="D2998" s="7"/>
      <c r="E2998" s="27"/>
      <c r="F2998" s="27"/>
      <c r="G2998" s="7"/>
      <c r="H2998" s="28"/>
      <c r="I2998" s="28"/>
      <c r="J2998" s="28"/>
      <c r="K2998" s="28"/>
    </row>
    <row r="2999" spans="2:11" x14ac:dyDescent="0.25">
      <c r="B2999" s="25"/>
      <c r="C2999" s="8"/>
      <c r="D2999" s="7"/>
      <c r="E2999" s="27"/>
      <c r="F2999" s="27"/>
      <c r="G2999" s="7"/>
      <c r="H2999" s="28"/>
      <c r="I2999" s="28"/>
      <c r="J2999" s="28"/>
      <c r="K2999" s="28"/>
    </row>
    <row r="3000" spans="2:11" x14ac:dyDescent="0.25">
      <c r="B3000" s="25"/>
      <c r="C3000" s="8"/>
      <c r="D3000" s="7"/>
      <c r="E3000" s="27"/>
      <c r="F3000" s="27"/>
      <c r="G3000" s="7"/>
      <c r="H3000" s="28"/>
      <c r="I3000" s="28"/>
      <c r="J3000" s="28"/>
      <c r="K3000" s="28"/>
    </row>
    <row r="3001" spans="2:11" x14ac:dyDescent="0.25">
      <c r="B3001" s="25"/>
      <c r="C3001" s="8"/>
      <c r="D3001" s="7"/>
      <c r="E3001" s="27"/>
      <c r="F3001" s="27"/>
      <c r="G3001" s="7"/>
      <c r="H3001" s="28"/>
      <c r="I3001" s="28"/>
      <c r="J3001" s="28"/>
      <c r="K3001" s="28"/>
    </row>
    <row r="3002" spans="2:11" x14ac:dyDescent="0.25">
      <c r="B3002" s="25"/>
      <c r="C3002" s="8"/>
      <c r="D3002" s="7"/>
      <c r="E3002" s="27"/>
      <c r="F3002" s="27"/>
      <c r="G3002" s="7"/>
      <c r="H3002" s="28"/>
      <c r="I3002" s="28"/>
      <c r="J3002" s="28"/>
      <c r="K3002" s="28"/>
    </row>
    <row r="3003" spans="2:11" x14ac:dyDescent="0.25">
      <c r="B3003" s="25"/>
      <c r="C3003" s="8"/>
      <c r="D3003" s="7"/>
      <c r="E3003" s="27"/>
      <c r="F3003" s="27"/>
      <c r="G3003" s="7"/>
      <c r="H3003" s="28"/>
      <c r="I3003" s="28"/>
      <c r="J3003" s="28"/>
      <c r="K3003" s="28"/>
    </row>
    <row r="3004" spans="2:11" x14ac:dyDescent="0.25">
      <c r="B3004" s="25"/>
      <c r="C3004" s="8"/>
      <c r="D3004" s="7"/>
      <c r="E3004" s="27"/>
      <c r="F3004" s="27"/>
      <c r="G3004" s="7"/>
      <c r="H3004" s="28"/>
      <c r="I3004" s="28"/>
      <c r="J3004" s="28"/>
      <c r="K3004" s="28"/>
    </row>
    <row r="3005" spans="2:11" x14ac:dyDescent="0.25">
      <c r="B3005" s="25"/>
      <c r="C3005" s="7"/>
      <c r="D3005" s="7"/>
      <c r="E3005" s="27"/>
      <c r="F3005" s="27"/>
      <c r="G3005" s="7"/>
    </row>
    <row r="3006" spans="2:11" x14ac:dyDescent="0.25">
      <c r="B3006" s="25"/>
      <c r="C3006" s="7"/>
      <c r="D3006" s="7"/>
      <c r="E3006" s="27"/>
      <c r="F3006" s="27"/>
      <c r="G3006" s="7"/>
    </row>
    <row r="3007" spans="2:11" x14ac:dyDescent="0.25">
      <c r="B3007" s="25"/>
      <c r="C3007" s="7"/>
      <c r="D3007" s="7"/>
      <c r="E3007" s="27"/>
      <c r="F3007" s="27"/>
      <c r="G3007" s="7"/>
    </row>
    <row r="3008" spans="2:11" x14ac:dyDescent="0.25">
      <c r="B3008" s="25"/>
      <c r="C3008" s="7"/>
      <c r="D3008" s="7"/>
      <c r="E3008" s="27"/>
      <c r="F3008" s="27"/>
      <c r="G3008" s="7"/>
    </row>
    <row r="3009" spans="2:7" x14ac:dyDescent="0.25">
      <c r="B3009" s="25"/>
      <c r="C3009" s="7"/>
      <c r="D3009" s="7"/>
      <c r="E3009" s="27"/>
      <c r="F3009" s="27"/>
      <c r="G3009" s="7"/>
    </row>
    <row r="3010" spans="2:7" x14ac:dyDescent="0.25">
      <c r="B3010" s="25"/>
      <c r="C3010" s="7"/>
      <c r="D3010" s="7"/>
      <c r="E3010" s="27"/>
      <c r="F3010" s="27"/>
      <c r="G3010" s="7"/>
    </row>
    <row r="3011" spans="2:7" x14ac:dyDescent="0.25">
      <c r="B3011" s="25"/>
      <c r="C3011" s="7"/>
      <c r="D3011" s="7"/>
      <c r="E3011" s="27"/>
      <c r="F3011" s="27"/>
      <c r="G3011" s="7"/>
    </row>
    <row r="3012" spans="2:7" x14ac:dyDescent="0.25">
      <c r="B3012" s="25"/>
      <c r="C3012" s="7"/>
      <c r="D3012" s="7"/>
      <c r="E3012" s="27"/>
      <c r="F3012" s="27"/>
      <c r="G3012" s="7"/>
    </row>
    <row r="3013" spans="2:7" x14ac:dyDescent="0.25">
      <c r="B3013" s="25"/>
      <c r="C3013" s="7"/>
      <c r="D3013" s="7"/>
      <c r="E3013" s="27"/>
      <c r="F3013" s="27"/>
      <c r="G3013" s="7"/>
    </row>
    <row r="3014" spans="2:7" x14ac:dyDescent="0.25">
      <c r="B3014" s="25"/>
      <c r="C3014" s="7"/>
      <c r="D3014" s="7"/>
      <c r="E3014" s="27"/>
      <c r="F3014" s="27"/>
      <c r="G3014" s="7"/>
    </row>
    <row r="3015" spans="2:7" x14ac:dyDescent="0.25">
      <c r="B3015" s="25"/>
      <c r="C3015" s="7"/>
      <c r="D3015" s="7"/>
      <c r="E3015" s="27"/>
      <c r="F3015" s="27"/>
      <c r="G3015" s="7"/>
    </row>
    <row r="3016" spans="2:7" x14ac:dyDescent="0.25">
      <c r="B3016" s="25"/>
      <c r="C3016" s="7"/>
      <c r="D3016" s="7"/>
      <c r="E3016" s="27"/>
      <c r="F3016" s="27"/>
      <c r="G3016" s="7"/>
    </row>
    <row r="3017" spans="2:7" x14ac:dyDescent="0.25">
      <c r="B3017" s="25"/>
      <c r="C3017" s="7"/>
      <c r="D3017" s="7"/>
      <c r="E3017" s="27"/>
      <c r="F3017" s="27"/>
      <c r="G3017" s="7"/>
    </row>
    <row r="3018" spans="2:7" x14ac:dyDescent="0.25">
      <c r="B3018" s="25"/>
      <c r="C3018" s="7"/>
      <c r="D3018" s="7"/>
      <c r="E3018" s="27"/>
      <c r="F3018" s="27"/>
      <c r="G3018" s="7"/>
    </row>
    <row r="3019" spans="2:7" x14ac:dyDescent="0.25">
      <c r="B3019" s="25"/>
      <c r="C3019" s="7"/>
      <c r="D3019" s="7"/>
      <c r="E3019" s="27"/>
      <c r="F3019" s="27"/>
      <c r="G3019" s="7"/>
    </row>
    <row r="3020" spans="2:7" x14ac:dyDescent="0.25">
      <c r="B3020" s="25"/>
      <c r="C3020" s="7"/>
      <c r="D3020" s="7"/>
      <c r="E3020" s="27"/>
      <c r="F3020" s="27"/>
      <c r="G3020" s="7"/>
    </row>
    <row r="3021" spans="2:7" x14ac:dyDescent="0.25">
      <c r="B3021" s="25"/>
      <c r="C3021" s="7"/>
      <c r="D3021" s="7"/>
      <c r="E3021" s="27"/>
      <c r="F3021" s="27"/>
      <c r="G3021" s="7"/>
    </row>
    <row r="3022" spans="2:7" x14ac:dyDescent="0.25">
      <c r="B3022" s="25"/>
      <c r="C3022" s="7"/>
      <c r="D3022" s="7"/>
      <c r="E3022" s="27"/>
      <c r="F3022" s="27"/>
      <c r="G3022" s="7"/>
    </row>
    <row r="3023" spans="2:7" x14ac:dyDescent="0.25">
      <c r="B3023" s="25"/>
      <c r="C3023" s="7"/>
      <c r="D3023" s="7"/>
      <c r="E3023" s="27"/>
      <c r="F3023" s="27"/>
      <c r="G3023" s="7"/>
    </row>
    <row r="3024" spans="2:7" x14ac:dyDescent="0.25">
      <c r="B3024" s="25"/>
      <c r="C3024" s="7"/>
      <c r="D3024" s="7"/>
      <c r="E3024" s="27"/>
      <c r="F3024" s="27"/>
      <c r="G3024" s="7"/>
    </row>
    <row r="3025" spans="2:7" x14ac:dyDescent="0.25">
      <c r="B3025" s="25"/>
      <c r="C3025" s="7"/>
      <c r="D3025" s="7"/>
      <c r="E3025" s="27"/>
      <c r="F3025" s="27"/>
      <c r="G3025" s="7"/>
    </row>
    <row r="3026" spans="2:7" x14ac:dyDescent="0.25">
      <c r="B3026" s="25"/>
      <c r="C3026" s="7"/>
      <c r="D3026" s="7"/>
      <c r="E3026" s="27"/>
      <c r="F3026" s="27"/>
      <c r="G3026" s="7"/>
    </row>
    <row r="3027" spans="2:7" x14ac:dyDescent="0.25">
      <c r="B3027" s="25"/>
      <c r="C3027" s="7"/>
      <c r="D3027" s="7"/>
      <c r="E3027" s="27"/>
      <c r="F3027" s="27"/>
      <c r="G3027" s="7"/>
    </row>
    <row r="3028" spans="2:7" x14ac:dyDescent="0.25">
      <c r="B3028" s="25"/>
      <c r="C3028" s="7"/>
      <c r="D3028" s="7"/>
      <c r="E3028" s="27"/>
      <c r="F3028" s="27"/>
      <c r="G3028" s="7"/>
    </row>
    <row r="3029" spans="2:7" x14ac:dyDescent="0.25">
      <c r="B3029" s="25"/>
      <c r="C3029" s="7"/>
      <c r="D3029" s="7"/>
      <c r="E3029" s="27"/>
      <c r="F3029" s="27"/>
      <c r="G3029" s="7"/>
    </row>
    <row r="3030" spans="2:7" x14ac:dyDescent="0.25">
      <c r="B3030" s="25"/>
      <c r="C3030" s="7"/>
      <c r="D3030" s="7"/>
      <c r="E3030" s="27"/>
      <c r="F3030" s="27"/>
      <c r="G3030" s="7"/>
    </row>
    <row r="3031" spans="2:7" x14ac:dyDescent="0.25">
      <c r="B3031" s="25"/>
      <c r="C3031" s="7"/>
      <c r="D3031" s="7"/>
      <c r="E3031" s="27"/>
      <c r="F3031" s="27"/>
      <c r="G3031" s="7"/>
    </row>
    <row r="3032" spans="2:7" x14ac:dyDescent="0.25">
      <c r="B3032" s="25"/>
      <c r="C3032" s="7"/>
      <c r="D3032" s="7"/>
      <c r="E3032" s="27"/>
      <c r="F3032" s="27"/>
      <c r="G3032" s="7"/>
    </row>
    <row r="3033" spans="2:7" x14ac:dyDescent="0.25">
      <c r="B3033" s="25"/>
      <c r="C3033" s="7"/>
      <c r="D3033" s="7"/>
      <c r="E3033" s="27"/>
      <c r="F3033" s="27"/>
      <c r="G3033" s="7"/>
    </row>
    <row r="3034" spans="2:7" x14ac:dyDescent="0.25">
      <c r="B3034" s="25"/>
      <c r="C3034" s="7"/>
      <c r="D3034" s="7"/>
      <c r="E3034" s="27"/>
      <c r="F3034" s="27"/>
      <c r="G3034" s="7"/>
    </row>
    <row r="3035" spans="2:7" x14ac:dyDescent="0.25">
      <c r="B3035" s="25"/>
      <c r="C3035" s="7"/>
      <c r="D3035" s="7"/>
      <c r="E3035" s="27"/>
      <c r="F3035" s="27"/>
      <c r="G3035" s="7"/>
    </row>
    <row r="3036" spans="2:7" x14ac:dyDescent="0.25">
      <c r="B3036" s="25"/>
      <c r="C3036" s="7"/>
      <c r="D3036" s="7"/>
      <c r="E3036" s="27"/>
      <c r="F3036" s="27"/>
      <c r="G3036" s="7"/>
    </row>
    <row r="3037" spans="2:7" x14ac:dyDescent="0.25">
      <c r="B3037" s="25"/>
      <c r="C3037" s="7"/>
      <c r="D3037" s="7"/>
      <c r="E3037" s="27"/>
      <c r="F3037" s="27"/>
      <c r="G3037" s="7"/>
    </row>
    <row r="3038" spans="2:7" x14ac:dyDescent="0.25">
      <c r="B3038" s="25"/>
      <c r="C3038" s="7"/>
      <c r="D3038" s="7"/>
      <c r="E3038" s="27"/>
      <c r="F3038" s="27"/>
      <c r="G3038" s="7"/>
    </row>
    <row r="3039" spans="2:7" x14ac:dyDescent="0.25">
      <c r="B3039" s="25"/>
      <c r="C3039" s="7"/>
      <c r="D3039" s="7"/>
      <c r="E3039" s="27"/>
      <c r="F3039" s="27"/>
      <c r="G3039" s="7"/>
    </row>
    <row r="3040" spans="2:7" x14ac:dyDescent="0.25">
      <c r="B3040" s="25"/>
      <c r="C3040" s="7"/>
      <c r="D3040" s="7"/>
      <c r="E3040" s="27"/>
      <c r="F3040" s="27"/>
      <c r="G3040" s="7"/>
    </row>
    <row r="3041" spans="2:7" x14ac:dyDescent="0.25">
      <c r="B3041" s="25"/>
      <c r="C3041" s="7"/>
      <c r="D3041" s="7"/>
      <c r="E3041" s="27"/>
      <c r="F3041" s="27"/>
      <c r="G3041" s="7"/>
    </row>
    <row r="3042" spans="2:7" x14ac:dyDescent="0.25">
      <c r="B3042" s="25"/>
      <c r="C3042" s="7"/>
      <c r="D3042" s="7"/>
      <c r="E3042" s="27"/>
      <c r="F3042" s="27"/>
      <c r="G3042" s="7"/>
    </row>
    <row r="3043" spans="2:7" x14ac:dyDescent="0.25">
      <c r="B3043" s="25"/>
      <c r="C3043" s="7"/>
      <c r="D3043" s="7"/>
      <c r="E3043" s="27"/>
      <c r="F3043" s="27"/>
      <c r="G3043" s="7"/>
    </row>
    <row r="3044" spans="2:7" x14ac:dyDescent="0.25">
      <c r="B3044" s="25"/>
      <c r="C3044" s="7"/>
      <c r="D3044" s="7"/>
      <c r="E3044" s="27"/>
      <c r="F3044" s="27"/>
      <c r="G3044" s="7"/>
    </row>
    <row r="3045" spans="2:7" x14ac:dyDescent="0.25">
      <c r="B3045" s="25"/>
      <c r="C3045" s="7"/>
      <c r="D3045" s="7"/>
      <c r="E3045" s="27"/>
      <c r="F3045" s="27"/>
      <c r="G3045" s="7"/>
    </row>
    <row r="3046" spans="2:7" x14ac:dyDescent="0.25">
      <c r="B3046" s="25"/>
      <c r="C3046" s="7"/>
      <c r="D3046" s="7"/>
      <c r="E3046" s="27"/>
      <c r="F3046" s="27"/>
      <c r="G3046" s="7"/>
    </row>
    <row r="3047" spans="2:7" x14ac:dyDescent="0.25">
      <c r="B3047" s="25"/>
      <c r="C3047" s="7"/>
      <c r="D3047" s="7"/>
      <c r="E3047" s="27"/>
      <c r="F3047" s="27"/>
      <c r="G3047" s="7"/>
    </row>
    <row r="3048" spans="2:7" x14ac:dyDescent="0.25">
      <c r="B3048" s="25"/>
      <c r="C3048" s="7"/>
      <c r="D3048" s="7"/>
      <c r="E3048" s="27"/>
      <c r="F3048" s="27"/>
      <c r="G3048" s="7"/>
    </row>
    <row r="3049" spans="2:7" x14ac:dyDescent="0.25">
      <c r="B3049" s="25"/>
      <c r="C3049" s="7"/>
      <c r="D3049" s="7"/>
      <c r="E3049" s="27"/>
      <c r="F3049" s="27"/>
      <c r="G3049" s="7"/>
    </row>
    <row r="3050" spans="2:7" x14ac:dyDescent="0.25">
      <c r="B3050" s="25"/>
      <c r="C3050" s="7"/>
      <c r="D3050" s="7"/>
      <c r="E3050" s="27"/>
      <c r="F3050" s="27"/>
      <c r="G3050" s="7"/>
    </row>
    <row r="3051" spans="2:7" x14ac:dyDescent="0.25">
      <c r="B3051" s="25"/>
      <c r="C3051" s="7"/>
      <c r="D3051" s="7"/>
      <c r="E3051" s="27"/>
      <c r="F3051" s="27"/>
      <c r="G3051" s="7"/>
    </row>
    <row r="3052" spans="2:7" x14ac:dyDescent="0.25">
      <c r="B3052" s="25"/>
      <c r="C3052" s="7"/>
      <c r="D3052" s="7"/>
      <c r="E3052" s="27"/>
      <c r="F3052" s="27"/>
      <c r="G3052" s="7"/>
    </row>
    <row r="3053" spans="2:7" x14ac:dyDescent="0.25">
      <c r="B3053" s="25"/>
      <c r="C3053" s="7"/>
      <c r="D3053" s="7"/>
      <c r="E3053" s="27"/>
      <c r="F3053" s="27"/>
      <c r="G3053" s="7"/>
    </row>
    <row r="3054" spans="2:7" x14ac:dyDescent="0.25">
      <c r="B3054" s="25"/>
      <c r="C3054" s="7"/>
      <c r="D3054" s="7"/>
      <c r="E3054" s="27"/>
      <c r="F3054" s="27"/>
      <c r="G3054" s="7"/>
    </row>
    <row r="3055" spans="2:7" x14ac:dyDescent="0.25">
      <c r="B3055" s="25"/>
      <c r="C3055" s="7"/>
      <c r="D3055" s="7"/>
      <c r="E3055" s="27"/>
      <c r="F3055" s="27"/>
      <c r="G3055" s="7"/>
    </row>
    <row r="3056" spans="2:7" x14ac:dyDescent="0.25">
      <c r="B3056" s="25"/>
      <c r="C3056" s="7"/>
      <c r="D3056" s="7"/>
      <c r="E3056" s="27"/>
      <c r="F3056" s="27"/>
      <c r="G3056" s="7"/>
    </row>
    <row r="3057" spans="2:7" x14ac:dyDescent="0.25">
      <c r="B3057" s="25"/>
      <c r="C3057" s="7"/>
      <c r="D3057" s="7"/>
      <c r="E3057" s="27"/>
      <c r="F3057" s="27"/>
      <c r="G3057" s="7"/>
    </row>
    <row r="3058" spans="2:7" x14ac:dyDescent="0.25">
      <c r="B3058" s="25"/>
      <c r="C3058" s="7"/>
      <c r="D3058" s="7"/>
      <c r="E3058" s="27"/>
      <c r="F3058" s="27"/>
      <c r="G3058" s="7"/>
    </row>
    <row r="3059" spans="2:7" x14ac:dyDescent="0.25">
      <c r="B3059" s="25"/>
      <c r="C3059" s="7"/>
      <c r="D3059" s="7"/>
      <c r="E3059" s="27"/>
      <c r="F3059" s="27"/>
      <c r="G3059" s="7"/>
    </row>
    <row r="3060" spans="2:7" x14ac:dyDescent="0.25">
      <c r="B3060" s="25"/>
      <c r="C3060" s="7"/>
      <c r="D3060" s="7"/>
      <c r="E3060" s="27"/>
      <c r="F3060" s="27"/>
      <c r="G3060" s="7"/>
    </row>
    <row r="3061" spans="2:7" x14ac:dyDescent="0.25">
      <c r="B3061" s="25"/>
      <c r="C3061" s="7"/>
      <c r="D3061" s="7"/>
      <c r="E3061" s="27"/>
      <c r="F3061" s="27"/>
      <c r="G3061" s="7"/>
    </row>
    <row r="3062" spans="2:7" x14ac:dyDescent="0.25">
      <c r="B3062" s="25"/>
      <c r="C3062" s="7"/>
      <c r="D3062" s="7"/>
      <c r="E3062" s="27"/>
      <c r="F3062" s="27"/>
      <c r="G3062" s="7"/>
    </row>
    <row r="3063" spans="2:7" x14ac:dyDescent="0.25">
      <c r="B3063" s="25"/>
      <c r="C3063" s="7"/>
      <c r="D3063" s="7"/>
      <c r="E3063" s="27"/>
      <c r="F3063" s="27"/>
      <c r="G3063" s="7"/>
    </row>
    <row r="3064" spans="2:7" x14ac:dyDescent="0.25">
      <c r="B3064" s="25"/>
      <c r="C3064" s="7"/>
      <c r="D3064" s="7"/>
      <c r="E3064" s="27"/>
      <c r="F3064" s="27"/>
      <c r="G3064" s="7"/>
    </row>
    <row r="3065" spans="2:7" x14ac:dyDescent="0.25">
      <c r="B3065" s="25"/>
      <c r="C3065" s="7"/>
      <c r="D3065" s="7"/>
      <c r="E3065" s="27"/>
      <c r="F3065" s="27"/>
      <c r="G3065" s="7"/>
    </row>
    <row r="3066" spans="2:7" x14ac:dyDescent="0.25">
      <c r="B3066" s="25"/>
      <c r="C3066" s="7"/>
      <c r="D3066" s="7"/>
      <c r="E3066" s="27"/>
      <c r="F3066" s="27"/>
      <c r="G3066" s="7"/>
    </row>
    <row r="3067" spans="2:7" x14ac:dyDescent="0.25">
      <c r="B3067" s="25"/>
      <c r="C3067" s="7"/>
      <c r="D3067" s="7"/>
      <c r="E3067" s="27"/>
      <c r="F3067" s="27"/>
      <c r="G3067" s="7"/>
    </row>
    <row r="3068" spans="2:7" x14ac:dyDescent="0.25">
      <c r="B3068" s="25"/>
      <c r="C3068" s="7"/>
      <c r="D3068" s="7"/>
      <c r="E3068" s="27"/>
      <c r="F3068" s="27"/>
      <c r="G3068" s="7"/>
    </row>
    <row r="3069" spans="2:7" x14ac:dyDescent="0.25">
      <c r="B3069" s="25"/>
      <c r="C3069" s="7"/>
      <c r="D3069" s="7"/>
      <c r="E3069" s="27"/>
      <c r="F3069" s="27"/>
      <c r="G3069" s="7"/>
    </row>
    <row r="3070" spans="2:7" x14ac:dyDescent="0.25">
      <c r="B3070" s="25"/>
      <c r="C3070" s="7"/>
      <c r="D3070" s="7"/>
      <c r="E3070" s="27"/>
      <c r="F3070" s="27"/>
      <c r="G3070" s="7"/>
    </row>
    <row r="3071" spans="2:7" x14ac:dyDescent="0.25">
      <c r="B3071" s="25"/>
      <c r="C3071" s="7"/>
      <c r="D3071" s="7"/>
      <c r="E3071" s="27"/>
      <c r="F3071" s="27"/>
      <c r="G3071" s="7"/>
    </row>
    <row r="3072" spans="2:7" x14ac:dyDescent="0.25">
      <c r="B3072" s="25"/>
      <c r="C3072" s="7"/>
      <c r="D3072" s="7"/>
      <c r="E3072" s="27"/>
      <c r="F3072" s="27"/>
      <c r="G3072" s="7"/>
    </row>
    <row r="3073" spans="2:7" x14ac:dyDescent="0.25">
      <c r="B3073" s="25"/>
      <c r="C3073" s="7"/>
      <c r="D3073" s="7"/>
      <c r="E3073" s="27"/>
      <c r="F3073" s="27"/>
      <c r="G3073" s="7"/>
    </row>
    <row r="3074" spans="2:7" x14ac:dyDescent="0.25">
      <c r="B3074" s="25"/>
      <c r="C3074" s="7"/>
      <c r="D3074" s="7"/>
      <c r="E3074" s="27"/>
      <c r="F3074" s="27"/>
      <c r="G3074" s="7"/>
    </row>
    <row r="3075" spans="2:7" x14ac:dyDescent="0.25">
      <c r="B3075" s="25"/>
      <c r="C3075" s="7"/>
      <c r="D3075" s="7"/>
      <c r="E3075" s="27"/>
      <c r="F3075" s="27"/>
      <c r="G3075" s="7"/>
    </row>
    <row r="3076" spans="2:7" x14ac:dyDescent="0.25">
      <c r="B3076" s="25"/>
      <c r="C3076" s="7"/>
      <c r="D3076" s="7"/>
      <c r="E3076" s="27"/>
      <c r="F3076" s="27"/>
      <c r="G3076" s="7"/>
    </row>
    <row r="3077" spans="2:7" x14ac:dyDescent="0.25">
      <c r="B3077" s="25"/>
      <c r="C3077" s="7"/>
      <c r="D3077" s="7"/>
      <c r="E3077" s="27"/>
      <c r="F3077" s="27"/>
      <c r="G3077" s="7"/>
    </row>
    <row r="3078" spans="2:7" x14ac:dyDescent="0.25">
      <c r="B3078" s="25"/>
      <c r="C3078" s="7"/>
      <c r="D3078" s="7"/>
      <c r="E3078" s="27"/>
      <c r="F3078" s="27"/>
      <c r="G3078" s="7"/>
    </row>
    <row r="3079" spans="2:7" x14ac:dyDescent="0.25">
      <c r="B3079" s="25"/>
      <c r="C3079" s="7"/>
      <c r="D3079" s="7"/>
      <c r="E3079" s="27"/>
      <c r="F3079" s="27"/>
      <c r="G3079" s="7"/>
    </row>
    <row r="3080" spans="2:7" x14ac:dyDescent="0.25">
      <c r="B3080" s="25"/>
      <c r="C3080" s="7"/>
      <c r="D3080" s="7"/>
      <c r="E3080" s="27"/>
      <c r="F3080" s="27"/>
      <c r="G3080" s="7"/>
    </row>
    <row r="3081" spans="2:7" x14ac:dyDescent="0.25">
      <c r="B3081" s="25"/>
      <c r="C3081" s="7"/>
      <c r="D3081" s="7"/>
      <c r="E3081" s="27"/>
      <c r="F3081" s="27"/>
      <c r="G3081" s="7"/>
    </row>
    <row r="3082" spans="2:7" x14ac:dyDescent="0.25">
      <c r="B3082" s="25"/>
      <c r="C3082" s="7"/>
      <c r="D3082" s="7"/>
      <c r="E3082" s="27"/>
      <c r="F3082" s="27"/>
      <c r="G3082" s="7"/>
    </row>
    <row r="3083" spans="2:7" x14ac:dyDescent="0.25">
      <c r="B3083" s="25"/>
      <c r="C3083" s="7"/>
      <c r="D3083" s="7"/>
      <c r="E3083" s="27"/>
      <c r="F3083" s="27"/>
      <c r="G3083" s="7"/>
    </row>
    <row r="3084" spans="2:7" x14ac:dyDescent="0.25">
      <c r="B3084" s="25"/>
      <c r="C3084" s="7"/>
      <c r="D3084" s="7"/>
      <c r="E3084" s="27"/>
      <c r="F3084" s="27"/>
      <c r="G3084" s="7"/>
    </row>
    <row r="3085" spans="2:7" x14ac:dyDescent="0.25">
      <c r="B3085" s="25"/>
      <c r="C3085" s="7"/>
      <c r="D3085" s="7"/>
      <c r="E3085" s="27"/>
      <c r="F3085" s="27"/>
      <c r="G3085" s="7"/>
    </row>
    <row r="3086" spans="2:7" x14ac:dyDescent="0.25">
      <c r="B3086" s="25"/>
      <c r="C3086" s="7"/>
      <c r="D3086" s="7"/>
      <c r="E3086" s="27"/>
      <c r="F3086" s="27"/>
      <c r="G3086" s="7"/>
    </row>
    <row r="3087" spans="2:7" x14ac:dyDescent="0.25">
      <c r="B3087" s="25"/>
      <c r="C3087" s="7"/>
      <c r="D3087" s="7"/>
      <c r="E3087" s="27"/>
      <c r="F3087" s="27"/>
      <c r="G3087" s="7"/>
    </row>
    <row r="3088" spans="2:7" x14ac:dyDescent="0.25">
      <c r="B3088" s="25"/>
      <c r="C3088" s="7"/>
      <c r="D3088" s="7"/>
      <c r="E3088" s="27"/>
      <c r="F3088" s="27"/>
      <c r="G3088" s="7"/>
    </row>
    <row r="3089" spans="2:7" x14ac:dyDescent="0.25">
      <c r="B3089" s="25"/>
      <c r="C3089" s="7"/>
      <c r="D3089" s="7"/>
      <c r="E3089" s="27"/>
      <c r="F3089" s="27"/>
      <c r="G3089" s="7"/>
    </row>
    <row r="3090" spans="2:7" x14ac:dyDescent="0.25">
      <c r="B3090" s="25"/>
      <c r="C3090" s="7"/>
      <c r="D3090" s="7"/>
      <c r="E3090" s="27"/>
      <c r="F3090" s="27"/>
      <c r="G3090" s="7"/>
    </row>
    <row r="3091" spans="2:7" x14ac:dyDescent="0.25">
      <c r="B3091" s="25"/>
      <c r="C3091" s="7"/>
      <c r="D3091" s="7"/>
      <c r="E3091" s="27"/>
      <c r="F3091" s="27"/>
      <c r="G3091" s="7"/>
    </row>
    <row r="3092" spans="2:7" x14ac:dyDescent="0.25">
      <c r="B3092" s="25"/>
      <c r="C3092" s="7"/>
      <c r="D3092" s="7"/>
      <c r="E3092" s="27"/>
      <c r="F3092" s="27"/>
      <c r="G3092" s="7"/>
    </row>
    <row r="3093" spans="2:7" x14ac:dyDescent="0.25">
      <c r="B3093" s="25"/>
      <c r="C3093" s="7"/>
      <c r="D3093" s="7"/>
      <c r="E3093" s="27"/>
      <c r="F3093" s="27"/>
      <c r="G3093" s="7"/>
    </row>
    <row r="3094" spans="2:7" x14ac:dyDescent="0.25">
      <c r="B3094" s="25"/>
      <c r="C3094" s="7"/>
      <c r="D3094" s="7"/>
      <c r="E3094" s="27"/>
      <c r="F3094" s="27"/>
      <c r="G3094" s="7"/>
    </row>
    <row r="3095" spans="2:7" x14ac:dyDescent="0.25">
      <c r="B3095" s="25"/>
      <c r="C3095" s="7"/>
      <c r="D3095" s="7"/>
      <c r="E3095" s="27"/>
      <c r="F3095" s="27"/>
      <c r="G3095" s="7"/>
    </row>
    <row r="3096" spans="2:7" x14ac:dyDescent="0.25">
      <c r="B3096" s="25"/>
      <c r="C3096" s="7"/>
      <c r="D3096" s="7"/>
      <c r="E3096" s="27"/>
      <c r="F3096" s="27"/>
      <c r="G3096" s="7"/>
    </row>
    <row r="3097" spans="2:7" x14ac:dyDescent="0.25">
      <c r="B3097" s="25"/>
      <c r="C3097" s="7"/>
      <c r="D3097" s="7"/>
      <c r="E3097" s="27"/>
      <c r="F3097" s="27"/>
      <c r="G3097" s="7"/>
    </row>
    <row r="3098" spans="2:7" x14ac:dyDescent="0.25">
      <c r="B3098" s="25"/>
      <c r="C3098" s="7"/>
      <c r="D3098" s="7"/>
      <c r="E3098" s="27"/>
      <c r="F3098" s="27"/>
      <c r="G3098" s="7"/>
    </row>
    <row r="3099" spans="2:7" x14ac:dyDescent="0.25">
      <c r="B3099" s="25"/>
      <c r="C3099" s="7"/>
      <c r="D3099" s="7"/>
      <c r="E3099" s="27"/>
      <c r="F3099" s="27"/>
      <c r="G3099" s="7"/>
    </row>
    <row r="3100" spans="2:7" x14ac:dyDescent="0.25">
      <c r="B3100" s="25"/>
      <c r="C3100" s="7"/>
      <c r="D3100" s="7"/>
      <c r="E3100" s="27"/>
      <c r="F3100" s="27"/>
      <c r="G3100" s="7"/>
    </row>
    <row r="3101" spans="2:7" x14ac:dyDescent="0.25">
      <c r="B3101" s="25"/>
      <c r="C3101" s="7"/>
      <c r="D3101" s="7"/>
      <c r="E3101" s="27"/>
      <c r="F3101" s="27"/>
      <c r="G3101" s="7"/>
    </row>
    <row r="3102" spans="2:7" x14ac:dyDescent="0.25">
      <c r="B3102" s="25"/>
      <c r="C3102" s="7"/>
      <c r="D3102" s="7"/>
      <c r="E3102" s="27"/>
      <c r="F3102" s="27"/>
      <c r="G3102" s="7"/>
    </row>
    <row r="3103" spans="2:7" x14ac:dyDescent="0.25">
      <c r="B3103" s="25"/>
      <c r="C3103" s="7"/>
      <c r="D3103" s="7"/>
      <c r="E3103" s="27"/>
      <c r="F3103" s="27"/>
      <c r="G3103" s="7"/>
    </row>
    <row r="3104" spans="2:7" x14ac:dyDescent="0.25">
      <c r="B3104" s="25"/>
      <c r="C3104" s="7"/>
      <c r="D3104" s="7"/>
      <c r="E3104" s="27"/>
      <c r="F3104" s="27"/>
      <c r="G3104" s="7"/>
    </row>
    <row r="3105" spans="2:7" x14ac:dyDescent="0.25">
      <c r="B3105" s="25"/>
      <c r="C3105" s="7"/>
      <c r="D3105" s="7"/>
      <c r="E3105" s="27"/>
      <c r="F3105" s="27"/>
      <c r="G3105" s="7"/>
    </row>
    <row r="3106" spans="2:7" x14ac:dyDescent="0.25">
      <c r="B3106" s="25"/>
      <c r="C3106" s="7"/>
      <c r="D3106" s="7"/>
      <c r="E3106" s="27"/>
      <c r="F3106" s="27"/>
      <c r="G3106" s="7"/>
    </row>
    <row r="3107" spans="2:7" x14ac:dyDescent="0.25">
      <c r="B3107" s="25"/>
      <c r="C3107" s="7"/>
      <c r="D3107" s="7"/>
      <c r="E3107" s="27"/>
      <c r="F3107" s="27"/>
      <c r="G3107" s="7"/>
    </row>
    <row r="3108" spans="2:7" x14ac:dyDescent="0.25">
      <c r="B3108" s="25"/>
      <c r="C3108" s="7"/>
      <c r="D3108" s="7"/>
      <c r="E3108" s="27"/>
      <c r="F3108" s="27"/>
      <c r="G3108" s="7"/>
    </row>
    <row r="3109" spans="2:7" x14ac:dyDescent="0.25">
      <c r="B3109" s="25"/>
      <c r="C3109" s="7"/>
      <c r="D3109" s="7"/>
      <c r="E3109" s="27"/>
      <c r="F3109" s="27"/>
      <c r="G3109" s="7"/>
    </row>
    <row r="3110" spans="2:7" x14ac:dyDescent="0.25">
      <c r="B3110" s="25"/>
      <c r="C3110" s="7"/>
      <c r="D3110" s="7"/>
      <c r="E3110" s="27"/>
      <c r="F3110" s="27"/>
      <c r="G3110" s="7"/>
    </row>
    <row r="3111" spans="2:7" x14ac:dyDescent="0.25">
      <c r="B3111" s="25"/>
      <c r="C3111" s="7"/>
      <c r="D3111" s="7"/>
      <c r="E3111" s="27"/>
      <c r="F3111" s="27"/>
      <c r="G3111" s="7"/>
    </row>
    <row r="3112" spans="2:7" x14ac:dyDescent="0.25">
      <c r="B3112" s="25"/>
      <c r="C3112" s="7"/>
      <c r="D3112" s="7"/>
      <c r="E3112" s="27"/>
      <c r="F3112" s="27"/>
      <c r="G3112" s="7"/>
    </row>
    <row r="3113" spans="2:7" x14ac:dyDescent="0.25">
      <c r="B3113" s="25"/>
      <c r="C3113" s="7"/>
      <c r="D3113" s="7"/>
      <c r="E3113" s="27"/>
      <c r="F3113" s="27"/>
      <c r="G3113" s="7"/>
    </row>
    <row r="3114" spans="2:7" x14ac:dyDescent="0.25">
      <c r="B3114" s="25"/>
      <c r="C3114" s="7"/>
      <c r="D3114" s="7"/>
      <c r="E3114" s="27"/>
      <c r="F3114" s="27"/>
      <c r="G3114" s="7"/>
    </row>
    <row r="3115" spans="2:7" x14ac:dyDescent="0.25">
      <c r="B3115" s="25"/>
      <c r="C3115" s="7"/>
      <c r="D3115" s="7"/>
      <c r="E3115" s="27"/>
      <c r="F3115" s="27"/>
      <c r="G3115" s="7"/>
    </row>
    <row r="3116" spans="2:7" x14ac:dyDescent="0.25">
      <c r="B3116" s="25"/>
      <c r="C3116" s="7"/>
      <c r="D3116" s="7"/>
      <c r="E3116" s="27"/>
      <c r="F3116" s="27"/>
      <c r="G3116" s="7"/>
    </row>
    <row r="3117" spans="2:7" x14ac:dyDescent="0.25">
      <c r="B3117" s="25"/>
      <c r="C3117" s="7"/>
      <c r="D3117" s="7"/>
      <c r="E3117" s="27"/>
      <c r="F3117" s="27"/>
      <c r="G3117" s="7"/>
    </row>
    <row r="3118" spans="2:7" x14ac:dyDescent="0.25">
      <c r="B3118" s="25"/>
      <c r="C3118" s="7"/>
      <c r="D3118" s="7"/>
      <c r="E3118" s="27"/>
      <c r="F3118" s="27"/>
      <c r="G3118" s="7"/>
    </row>
    <row r="3119" spans="2:7" x14ac:dyDescent="0.25">
      <c r="B3119" s="25"/>
      <c r="C3119" s="7"/>
      <c r="D3119" s="7"/>
      <c r="E3119" s="27"/>
      <c r="F3119" s="27"/>
      <c r="G3119" s="7"/>
    </row>
    <row r="3120" spans="2:7" x14ac:dyDescent="0.25">
      <c r="B3120" s="25"/>
      <c r="C3120" s="7"/>
      <c r="D3120" s="7"/>
      <c r="E3120" s="27"/>
      <c r="F3120" s="27"/>
      <c r="G3120" s="7"/>
    </row>
    <row r="3121" spans="2:7" x14ac:dyDescent="0.25">
      <c r="B3121" s="25"/>
      <c r="C3121" s="7"/>
      <c r="D3121" s="7"/>
      <c r="E3121" s="27"/>
      <c r="F3121" s="27"/>
      <c r="G3121" s="7"/>
    </row>
    <row r="3122" spans="2:7" x14ac:dyDescent="0.25">
      <c r="B3122" s="25"/>
      <c r="C3122" s="7"/>
      <c r="D3122" s="7"/>
      <c r="E3122" s="27"/>
      <c r="F3122" s="27"/>
      <c r="G3122" s="7"/>
    </row>
    <row r="3123" spans="2:7" x14ac:dyDescent="0.25">
      <c r="B3123" s="25"/>
      <c r="C3123" s="7"/>
      <c r="D3123" s="7"/>
      <c r="E3123" s="27"/>
      <c r="F3123" s="27"/>
      <c r="G3123" s="7"/>
    </row>
    <row r="3124" spans="2:7" x14ac:dyDescent="0.25">
      <c r="B3124" s="25"/>
      <c r="C3124" s="7"/>
      <c r="D3124" s="7"/>
      <c r="E3124" s="27"/>
      <c r="F3124" s="27"/>
      <c r="G3124" s="7"/>
    </row>
    <row r="3125" spans="2:7" x14ac:dyDescent="0.25">
      <c r="B3125" s="25"/>
      <c r="C3125" s="7"/>
      <c r="D3125" s="7"/>
      <c r="E3125" s="27"/>
      <c r="F3125" s="27"/>
      <c r="G3125" s="7"/>
    </row>
    <row r="3126" spans="2:7" x14ac:dyDescent="0.25">
      <c r="B3126" s="25"/>
      <c r="C3126" s="7"/>
      <c r="D3126" s="7"/>
      <c r="E3126" s="27"/>
      <c r="F3126" s="27"/>
      <c r="G3126" s="7"/>
    </row>
    <row r="3127" spans="2:7" x14ac:dyDescent="0.25">
      <c r="B3127" s="25"/>
      <c r="C3127" s="7"/>
      <c r="D3127" s="7"/>
      <c r="E3127" s="27"/>
      <c r="F3127" s="27"/>
      <c r="G3127" s="7"/>
    </row>
    <row r="3128" spans="2:7" x14ac:dyDescent="0.25">
      <c r="B3128" s="25"/>
      <c r="C3128" s="7"/>
      <c r="D3128" s="7"/>
      <c r="E3128" s="27"/>
      <c r="F3128" s="27"/>
      <c r="G3128" s="7"/>
    </row>
    <row r="3129" spans="2:7" x14ac:dyDescent="0.25">
      <c r="B3129" s="25"/>
      <c r="C3129" s="7"/>
      <c r="D3129" s="7"/>
      <c r="E3129" s="27"/>
      <c r="F3129" s="27"/>
      <c r="G3129" s="7"/>
    </row>
    <row r="3130" spans="2:7" x14ac:dyDescent="0.25">
      <c r="B3130" s="25"/>
      <c r="C3130" s="7"/>
      <c r="D3130" s="7"/>
      <c r="E3130" s="27"/>
      <c r="F3130" s="27"/>
      <c r="G3130" s="7"/>
    </row>
    <row r="3131" spans="2:7" x14ac:dyDescent="0.25">
      <c r="B3131" s="25"/>
      <c r="C3131" s="7"/>
      <c r="D3131" s="7"/>
      <c r="E3131" s="27"/>
      <c r="F3131" s="27"/>
      <c r="G3131" s="7"/>
    </row>
    <row r="3132" spans="2:7" x14ac:dyDescent="0.25">
      <c r="B3132" s="25"/>
      <c r="C3132" s="7"/>
      <c r="D3132" s="7"/>
      <c r="E3132" s="27"/>
      <c r="F3132" s="27"/>
      <c r="G3132" s="7"/>
    </row>
    <row r="3133" spans="2:7" x14ac:dyDescent="0.25">
      <c r="B3133" s="25"/>
      <c r="C3133" s="7"/>
      <c r="D3133" s="7"/>
      <c r="E3133" s="27"/>
      <c r="F3133" s="27"/>
      <c r="G3133" s="7"/>
    </row>
    <row r="3134" spans="2:7" x14ac:dyDescent="0.25">
      <c r="B3134" s="25"/>
      <c r="C3134" s="7"/>
      <c r="D3134" s="7"/>
      <c r="E3134" s="27"/>
      <c r="F3134" s="27"/>
      <c r="G3134" s="7"/>
    </row>
    <row r="3135" spans="2:7" x14ac:dyDescent="0.25">
      <c r="B3135" s="25"/>
      <c r="C3135" s="7"/>
      <c r="D3135" s="7"/>
      <c r="E3135" s="27"/>
      <c r="F3135" s="27"/>
      <c r="G3135" s="7"/>
    </row>
    <row r="3136" spans="2:7" x14ac:dyDescent="0.25">
      <c r="B3136" s="25"/>
      <c r="C3136" s="7"/>
      <c r="D3136" s="7"/>
      <c r="E3136" s="27"/>
      <c r="F3136" s="27"/>
      <c r="G3136" s="7"/>
    </row>
    <row r="3137" spans="2:7" x14ac:dyDescent="0.25">
      <c r="B3137" s="25"/>
      <c r="C3137" s="7"/>
      <c r="D3137" s="7"/>
      <c r="E3137" s="27"/>
      <c r="F3137" s="27"/>
      <c r="G3137" s="7"/>
    </row>
    <row r="3138" spans="2:7" x14ac:dyDescent="0.25">
      <c r="B3138" s="25"/>
      <c r="C3138" s="7"/>
      <c r="D3138" s="7"/>
      <c r="E3138" s="27"/>
      <c r="F3138" s="27"/>
      <c r="G3138" s="7"/>
    </row>
    <row r="3139" spans="2:7" x14ac:dyDescent="0.25">
      <c r="B3139" s="25"/>
      <c r="C3139" s="7"/>
      <c r="D3139" s="7"/>
      <c r="E3139" s="27"/>
      <c r="F3139" s="27"/>
      <c r="G3139" s="7"/>
    </row>
    <row r="3140" spans="2:7" x14ac:dyDescent="0.25">
      <c r="B3140" s="25"/>
      <c r="C3140" s="7"/>
      <c r="D3140" s="7"/>
      <c r="E3140" s="27"/>
      <c r="F3140" s="27"/>
      <c r="G3140" s="7"/>
    </row>
    <row r="3141" spans="2:7" x14ac:dyDescent="0.25">
      <c r="B3141" s="25"/>
      <c r="C3141" s="7"/>
      <c r="D3141" s="7"/>
      <c r="E3141" s="27"/>
      <c r="F3141" s="27"/>
      <c r="G3141" s="7"/>
    </row>
    <row r="3142" spans="2:7" x14ac:dyDescent="0.25">
      <c r="B3142" s="25"/>
      <c r="C3142" s="7"/>
      <c r="D3142" s="7"/>
      <c r="E3142" s="27"/>
      <c r="F3142" s="27"/>
      <c r="G3142" s="7"/>
    </row>
    <row r="3143" spans="2:7" x14ac:dyDescent="0.25">
      <c r="B3143" s="25"/>
      <c r="C3143" s="7"/>
      <c r="D3143" s="7"/>
      <c r="E3143" s="27"/>
      <c r="F3143" s="27"/>
      <c r="G3143" s="7"/>
    </row>
    <row r="3144" spans="2:7" x14ac:dyDescent="0.25">
      <c r="B3144" s="25"/>
      <c r="C3144" s="7"/>
      <c r="D3144" s="7"/>
      <c r="E3144" s="27"/>
      <c r="F3144" s="27"/>
      <c r="G3144" s="7"/>
    </row>
    <row r="3145" spans="2:7" x14ac:dyDescent="0.25">
      <c r="B3145" s="25"/>
      <c r="C3145" s="7"/>
      <c r="D3145" s="7"/>
      <c r="E3145" s="27"/>
      <c r="F3145" s="27"/>
      <c r="G3145" s="7"/>
    </row>
    <row r="3146" spans="2:7" x14ac:dyDescent="0.25">
      <c r="B3146" s="25"/>
      <c r="C3146" s="7"/>
      <c r="D3146" s="7"/>
      <c r="E3146" s="27"/>
      <c r="F3146" s="27"/>
      <c r="G3146" s="7"/>
    </row>
    <row r="3147" spans="2:7" x14ac:dyDescent="0.25">
      <c r="B3147" s="25"/>
      <c r="C3147" s="7"/>
      <c r="D3147" s="7"/>
      <c r="E3147" s="27"/>
      <c r="F3147" s="27"/>
      <c r="G3147" s="7"/>
    </row>
    <row r="3148" spans="2:7" x14ac:dyDescent="0.25">
      <c r="B3148" s="25"/>
      <c r="C3148" s="7"/>
      <c r="D3148" s="7"/>
      <c r="E3148" s="27"/>
      <c r="F3148" s="27"/>
      <c r="G3148" s="7"/>
    </row>
    <row r="3149" spans="2:7" x14ac:dyDescent="0.25">
      <c r="B3149" s="25"/>
      <c r="C3149" s="7"/>
      <c r="D3149" s="7"/>
      <c r="E3149" s="27"/>
      <c r="F3149" s="27"/>
      <c r="G3149" s="7"/>
    </row>
    <row r="3150" spans="2:7" x14ac:dyDescent="0.25">
      <c r="B3150" s="25"/>
      <c r="C3150" s="7"/>
      <c r="D3150" s="7"/>
      <c r="E3150" s="27"/>
      <c r="F3150" s="27"/>
      <c r="G3150" s="7"/>
    </row>
    <row r="3151" spans="2:7" x14ac:dyDescent="0.25">
      <c r="B3151" s="25"/>
      <c r="C3151" s="7"/>
      <c r="D3151" s="7"/>
      <c r="E3151" s="27"/>
      <c r="F3151" s="27"/>
      <c r="G3151" s="7"/>
    </row>
    <row r="3152" spans="2:7" x14ac:dyDescent="0.25">
      <c r="B3152" s="25"/>
      <c r="C3152" s="7"/>
      <c r="D3152" s="7"/>
      <c r="E3152" s="27"/>
      <c r="F3152" s="27"/>
      <c r="G3152" s="7"/>
    </row>
    <row r="3153" spans="2:7" x14ac:dyDescent="0.25">
      <c r="B3153" s="25"/>
      <c r="C3153" s="7"/>
      <c r="D3153" s="7"/>
      <c r="E3153" s="27"/>
      <c r="F3153" s="27"/>
      <c r="G3153" s="7"/>
    </row>
    <row r="3154" spans="2:7" x14ac:dyDescent="0.25">
      <c r="B3154" s="25"/>
      <c r="C3154" s="7"/>
      <c r="D3154" s="7"/>
      <c r="E3154" s="27"/>
      <c r="F3154" s="27"/>
      <c r="G3154" s="7"/>
    </row>
    <row r="3155" spans="2:7" x14ac:dyDescent="0.25">
      <c r="B3155" s="25"/>
      <c r="C3155" s="7"/>
      <c r="D3155" s="7"/>
      <c r="E3155" s="27"/>
      <c r="F3155" s="27"/>
      <c r="G3155" s="7"/>
    </row>
    <row r="3156" spans="2:7" x14ac:dyDescent="0.25">
      <c r="B3156" s="25"/>
      <c r="C3156" s="7"/>
      <c r="D3156" s="7"/>
      <c r="E3156" s="27"/>
      <c r="F3156" s="27"/>
      <c r="G3156" s="7"/>
    </row>
    <row r="3157" spans="2:7" x14ac:dyDescent="0.25">
      <c r="B3157" s="25"/>
      <c r="C3157" s="7"/>
      <c r="D3157" s="7"/>
      <c r="E3157" s="27"/>
      <c r="F3157" s="27"/>
      <c r="G3157" s="7"/>
    </row>
    <row r="3158" spans="2:7" x14ac:dyDescent="0.25">
      <c r="B3158" s="25"/>
      <c r="C3158" s="7"/>
      <c r="D3158" s="7"/>
      <c r="E3158" s="27"/>
      <c r="F3158" s="27"/>
      <c r="G3158" s="7"/>
    </row>
    <row r="3159" spans="2:7" x14ac:dyDescent="0.25">
      <c r="B3159" s="25"/>
      <c r="C3159" s="7"/>
      <c r="D3159" s="7"/>
      <c r="E3159" s="27"/>
      <c r="F3159" s="27"/>
      <c r="G3159" s="7"/>
    </row>
    <row r="3160" spans="2:7" x14ac:dyDescent="0.25">
      <c r="B3160" s="25"/>
      <c r="C3160" s="7"/>
      <c r="D3160" s="7"/>
      <c r="E3160" s="27"/>
      <c r="F3160" s="27"/>
      <c r="G3160" s="7"/>
    </row>
    <row r="3161" spans="2:7" x14ac:dyDescent="0.25">
      <c r="B3161" s="25"/>
      <c r="C3161" s="7"/>
      <c r="D3161" s="7"/>
      <c r="E3161" s="27"/>
      <c r="F3161" s="27"/>
      <c r="G3161" s="7"/>
    </row>
    <row r="3162" spans="2:7" x14ac:dyDescent="0.25">
      <c r="B3162" s="25"/>
      <c r="C3162" s="7"/>
      <c r="D3162" s="7"/>
      <c r="E3162" s="27"/>
      <c r="F3162" s="27"/>
      <c r="G3162" s="7"/>
    </row>
    <row r="3163" spans="2:7" x14ac:dyDescent="0.25">
      <c r="B3163" s="25"/>
      <c r="C3163" s="7"/>
      <c r="D3163" s="7"/>
      <c r="E3163" s="27"/>
      <c r="F3163" s="27"/>
      <c r="G3163" s="7"/>
    </row>
    <row r="3164" spans="2:7" x14ac:dyDescent="0.25">
      <c r="B3164" s="25"/>
      <c r="C3164" s="7"/>
      <c r="D3164" s="7"/>
      <c r="E3164" s="27"/>
      <c r="F3164" s="27"/>
      <c r="G3164" s="7"/>
    </row>
    <row r="3165" spans="2:7" x14ac:dyDescent="0.25">
      <c r="B3165" s="25"/>
      <c r="C3165" s="7"/>
      <c r="D3165" s="7"/>
      <c r="E3165" s="27"/>
      <c r="F3165" s="27"/>
      <c r="G3165" s="7"/>
    </row>
    <row r="3166" spans="2:7" x14ac:dyDescent="0.25">
      <c r="B3166" s="25"/>
      <c r="C3166" s="7"/>
      <c r="D3166" s="7"/>
      <c r="E3166" s="27"/>
      <c r="F3166" s="27"/>
      <c r="G3166" s="7"/>
    </row>
    <row r="3167" spans="2:7" x14ac:dyDescent="0.25">
      <c r="B3167" s="25"/>
      <c r="C3167" s="7"/>
      <c r="D3167" s="7"/>
      <c r="E3167" s="27"/>
      <c r="F3167" s="27"/>
      <c r="G3167" s="7"/>
    </row>
    <row r="3168" spans="2:7" x14ac:dyDescent="0.25">
      <c r="B3168" s="25"/>
      <c r="C3168" s="7"/>
      <c r="D3168" s="7"/>
      <c r="E3168" s="27"/>
      <c r="F3168" s="27"/>
      <c r="G3168" s="7"/>
    </row>
    <row r="3169" spans="2:7" x14ac:dyDescent="0.25">
      <c r="B3169" s="25"/>
      <c r="C3169" s="7"/>
      <c r="D3169" s="7"/>
      <c r="E3169" s="27"/>
      <c r="F3169" s="27"/>
      <c r="G3169" s="7"/>
    </row>
    <row r="3170" spans="2:7" x14ac:dyDescent="0.25">
      <c r="B3170" s="25"/>
      <c r="C3170" s="7"/>
      <c r="D3170" s="7"/>
      <c r="E3170" s="27"/>
      <c r="F3170" s="27"/>
      <c r="G3170" s="7"/>
    </row>
    <row r="3171" spans="2:7" x14ac:dyDescent="0.25">
      <c r="B3171" s="25"/>
      <c r="C3171" s="7"/>
      <c r="D3171" s="7"/>
      <c r="E3171" s="27"/>
      <c r="F3171" s="27"/>
      <c r="G3171" s="7"/>
    </row>
    <row r="3172" spans="2:7" x14ac:dyDescent="0.25">
      <c r="B3172" s="25"/>
      <c r="C3172" s="7"/>
      <c r="D3172" s="7"/>
      <c r="E3172" s="27"/>
      <c r="F3172" s="27"/>
      <c r="G3172" s="7"/>
    </row>
    <row r="3173" spans="2:7" x14ac:dyDescent="0.25">
      <c r="B3173" s="25"/>
      <c r="C3173" s="7"/>
      <c r="D3173" s="7"/>
      <c r="E3173" s="27"/>
      <c r="F3173" s="27"/>
      <c r="G3173" s="7"/>
    </row>
    <row r="3174" spans="2:7" x14ac:dyDescent="0.25">
      <c r="B3174" s="25"/>
      <c r="C3174" s="7"/>
      <c r="D3174" s="7"/>
      <c r="E3174" s="27"/>
      <c r="F3174" s="27"/>
      <c r="G3174" s="7"/>
    </row>
    <row r="3175" spans="2:7" x14ac:dyDescent="0.25">
      <c r="B3175" s="25"/>
      <c r="C3175" s="7"/>
      <c r="D3175" s="7"/>
      <c r="E3175" s="27"/>
      <c r="F3175" s="27"/>
      <c r="G3175" s="7"/>
    </row>
    <row r="3176" spans="2:7" x14ac:dyDescent="0.25">
      <c r="B3176" s="25"/>
      <c r="C3176" s="7"/>
      <c r="D3176" s="7"/>
      <c r="E3176" s="27"/>
      <c r="F3176" s="27"/>
      <c r="G3176" s="7"/>
    </row>
    <row r="3177" spans="2:7" x14ac:dyDescent="0.25">
      <c r="B3177" s="25"/>
      <c r="C3177" s="7"/>
      <c r="D3177" s="7"/>
      <c r="E3177" s="27"/>
      <c r="F3177" s="27"/>
      <c r="G3177" s="7"/>
    </row>
    <row r="3178" spans="2:7" x14ac:dyDescent="0.25">
      <c r="B3178" s="25"/>
      <c r="C3178" s="7"/>
      <c r="D3178" s="7"/>
      <c r="E3178" s="27"/>
      <c r="F3178" s="27"/>
      <c r="G3178" s="7"/>
    </row>
    <row r="3179" spans="2:7" x14ac:dyDescent="0.25">
      <c r="B3179" s="25"/>
      <c r="C3179" s="7"/>
      <c r="D3179" s="7"/>
      <c r="E3179" s="27"/>
      <c r="F3179" s="27"/>
      <c r="G3179" s="7"/>
    </row>
    <row r="3180" spans="2:7" x14ac:dyDescent="0.25">
      <c r="B3180" s="25"/>
      <c r="C3180" s="7"/>
      <c r="D3180" s="7"/>
      <c r="E3180" s="27"/>
      <c r="F3180" s="27"/>
      <c r="G3180" s="7"/>
    </row>
    <row r="3181" spans="2:7" x14ac:dyDescent="0.25">
      <c r="B3181" s="25"/>
      <c r="C3181" s="7"/>
      <c r="D3181" s="7"/>
      <c r="E3181" s="27"/>
      <c r="F3181" s="27"/>
      <c r="G3181" s="7"/>
    </row>
    <row r="3182" spans="2:7" x14ac:dyDescent="0.25">
      <c r="B3182" s="25"/>
      <c r="C3182" s="7"/>
      <c r="D3182" s="7"/>
      <c r="E3182" s="27"/>
      <c r="F3182" s="27"/>
      <c r="G3182" s="7"/>
    </row>
    <row r="3183" spans="2:7" x14ac:dyDescent="0.25">
      <c r="B3183" s="25"/>
      <c r="C3183" s="7"/>
      <c r="D3183" s="7"/>
      <c r="E3183" s="27"/>
      <c r="F3183" s="27"/>
      <c r="G3183" s="7"/>
    </row>
    <row r="3184" spans="2:7" x14ac:dyDescent="0.25">
      <c r="B3184" s="25"/>
      <c r="C3184" s="7"/>
      <c r="D3184" s="7"/>
      <c r="E3184" s="27"/>
      <c r="F3184" s="27"/>
      <c r="G3184" s="7"/>
    </row>
    <row r="3185" spans="2:7" x14ac:dyDescent="0.25">
      <c r="B3185" s="25"/>
      <c r="C3185" s="7"/>
      <c r="D3185" s="7"/>
      <c r="E3185" s="27"/>
      <c r="F3185" s="27"/>
      <c r="G3185" s="7"/>
    </row>
    <row r="3186" spans="2:7" x14ac:dyDescent="0.25">
      <c r="B3186" s="25"/>
      <c r="C3186" s="7"/>
      <c r="D3186" s="7"/>
      <c r="E3186" s="27"/>
      <c r="F3186" s="27"/>
      <c r="G3186" s="7"/>
    </row>
    <row r="3187" spans="2:7" x14ac:dyDescent="0.25">
      <c r="B3187" s="25"/>
      <c r="C3187" s="7"/>
      <c r="D3187" s="7"/>
      <c r="E3187" s="27"/>
      <c r="F3187" s="27"/>
      <c r="G3187" s="7"/>
    </row>
    <row r="3188" spans="2:7" x14ac:dyDescent="0.25">
      <c r="B3188" s="25"/>
      <c r="C3188" s="7"/>
      <c r="D3188" s="7"/>
      <c r="E3188" s="27"/>
      <c r="F3188" s="27"/>
      <c r="G3188" s="7"/>
    </row>
    <row r="3189" spans="2:7" x14ac:dyDescent="0.25">
      <c r="B3189" s="25"/>
      <c r="C3189" s="7"/>
      <c r="D3189" s="7"/>
      <c r="E3189" s="27"/>
      <c r="F3189" s="27"/>
      <c r="G3189" s="7"/>
    </row>
    <row r="3190" spans="2:7" x14ac:dyDescent="0.25">
      <c r="B3190" s="25"/>
      <c r="C3190" s="7"/>
      <c r="D3190" s="7"/>
      <c r="E3190" s="27"/>
      <c r="F3190" s="27"/>
      <c r="G3190" s="7"/>
    </row>
    <row r="3191" spans="2:7" x14ac:dyDescent="0.25">
      <c r="B3191" s="25"/>
      <c r="C3191" s="7"/>
      <c r="D3191" s="7"/>
      <c r="E3191" s="27"/>
      <c r="F3191" s="27"/>
      <c r="G3191" s="7"/>
    </row>
    <row r="3192" spans="2:7" x14ac:dyDescent="0.25">
      <c r="B3192" s="25"/>
      <c r="C3192" s="7"/>
      <c r="D3192" s="7"/>
      <c r="E3192" s="27"/>
      <c r="F3192" s="27"/>
      <c r="G3192" s="7"/>
    </row>
    <row r="3193" spans="2:7" x14ac:dyDescent="0.25">
      <c r="B3193" s="25"/>
      <c r="C3193" s="7"/>
      <c r="D3193" s="7"/>
      <c r="E3193" s="27"/>
      <c r="F3193" s="27"/>
      <c r="G3193" s="7"/>
    </row>
    <row r="3194" spans="2:7" x14ac:dyDescent="0.25">
      <c r="B3194" s="25"/>
      <c r="C3194" s="7"/>
      <c r="D3194" s="7"/>
      <c r="E3194" s="27"/>
      <c r="F3194" s="27"/>
      <c r="G3194" s="7"/>
    </row>
    <row r="3195" spans="2:7" x14ac:dyDescent="0.25">
      <c r="B3195" s="25"/>
      <c r="C3195" s="7"/>
      <c r="D3195" s="7"/>
      <c r="E3195" s="27"/>
      <c r="F3195" s="27"/>
      <c r="G3195" s="7"/>
    </row>
    <row r="3196" spans="2:7" x14ac:dyDescent="0.25">
      <c r="B3196" s="25"/>
      <c r="C3196" s="7"/>
      <c r="D3196" s="7"/>
      <c r="E3196" s="27"/>
      <c r="F3196" s="27"/>
      <c r="G3196" s="7"/>
    </row>
    <row r="3197" spans="2:7" x14ac:dyDescent="0.25">
      <c r="B3197" s="25"/>
      <c r="C3197" s="7"/>
      <c r="D3197" s="7"/>
      <c r="E3197" s="27"/>
      <c r="F3197" s="27"/>
      <c r="G3197" s="7"/>
    </row>
    <row r="3198" spans="2:7" x14ac:dyDescent="0.25">
      <c r="B3198" s="25"/>
      <c r="C3198" s="7"/>
      <c r="D3198" s="7"/>
      <c r="E3198" s="27"/>
      <c r="F3198" s="27"/>
      <c r="G3198" s="7"/>
    </row>
    <row r="3199" spans="2:7" x14ac:dyDescent="0.25">
      <c r="B3199" s="25"/>
      <c r="C3199" s="7"/>
      <c r="D3199" s="7"/>
      <c r="E3199" s="27"/>
      <c r="F3199" s="27"/>
      <c r="G3199" s="7"/>
    </row>
    <row r="3200" spans="2:7" x14ac:dyDescent="0.25">
      <c r="B3200" s="25"/>
      <c r="C3200" s="7"/>
      <c r="D3200" s="7"/>
      <c r="E3200" s="27"/>
      <c r="F3200" s="27"/>
      <c r="G3200" s="7"/>
    </row>
    <row r="3201" spans="2:7" x14ac:dyDescent="0.25">
      <c r="B3201" s="25"/>
      <c r="C3201" s="7"/>
      <c r="D3201" s="7"/>
      <c r="E3201" s="27"/>
      <c r="F3201" s="27"/>
      <c r="G3201" s="7"/>
    </row>
    <row r="3202" spans="2:7" x14ac:dyDescent="0.25">
      <c r="B3202" s="25"/>
      <c r="C3202" s="7"/>
      <c r="D3202" s="7"/>
      <c r="E3202" s="27"/>
      <c r="F3202" s="27"/>
      <c r="G3202" s="7"/>
    </row>
    <row r="3203" spans="2:7" x14ac:dyDescent="0.25">
      <c r="B3203" s="25"/>
      <c r="C3203" s="7"/>
      <c r="D3203" s="7"/>
      <c r="E3203" s="27"/>
      <c r="F3203" s="27"/>
      <c r="G3203" s="7"/>
    </row>
    <row r="3204" spans="2:7" x14ac:dyDescent="0.25">
      <c r="B3204" s="25"/>
      <c r="C3204" s="7"/>
      <c r="D3204" s="7"/>
      <c r="E3204" s="27"/>
      <c r="F3204" s="27"/>
      <c r="G3204" s="7"/>
    </row>
    <row r="3205" spans="2:7" x14ac:dyDescent="0.25">
      <c r="B3205" s="25"/>
      <c r="C3205" s="7"/>
      <c r="D3205" s="7"/>
      <c r="E3205" s="27"/>
      <c r="F3205" s="27"/>
      <c r="G3205" s="7"/>
    </row>
    <row r="3206" spans="2:7" x14ac:dyDescent="0.25">
      <c r="B3206" s="25"/>
      <c r="C3206" s="7"/>
      <c r="D3206" s="7"/>
      <c r="E3206" s="27"/>
      <c r="F3206" s="27"/>
      <c r="G3206" s="7"/>
    </row>
    <row r="3207" spans="2:7" x14ac:dyDescent="0.25">
      <c r="B3207" s="25"/>
      <c r="C3207" s="7"/>
      <c r="D3207" s="7"/>
      <c r="E3207" s="27"/>
      <c r="F3207" s="27"/>
      <c r="G3207" s="7"/>
    </row>
    <row r="3208" spans="2:7" x14ac:dyDescent="0.25">
      <c r="B3208" s="25"/>
      <c r="C3208" s="7"/>
      <c r="D3208" s="7"/>
      <c r="E3208" s="27"/>
      <c r="F3208" s="27"/>
      <c r="G3208" s="7"/>
    </row>
    <row r="3209" spans="2:7" x14ac:dyDescent="0.25">
      <c r="B3209" s="25"/>
      <c r="C3209" s="7"/>
      <c r="D3209" s="7"/>
      <c r="E3209" s="27"/>
      <c r="F3209" s="27"/>
      <c r="G3209" s="7"/>
    </row>
    <row r="3210" spans="2:7" x14ac:dyDescent="0.25">
      <c r="B3210" s="25"/>
      <c r="C3210" s="7"/>
      <c r="D3210" s="7"/>
      <c r="E3210" s="27"/>
      <c r="F3210" s="27"/>
      <c r="G3210" s="7"/>
    </row>
    <row r="3211" spans="2:7" x14ac:dyDescent="0.25">
      <c r="B3211" s="25"/>
      <c r="C3211" s="7"/>
      <c r="D3211" s="7"/>
      <c r="E3211" s="27"/>
      <c r="F3211" s="27"/>
      <c r="G3211" s="7"/>
    </row>
    <row r="3212" spans="2:7" x14ac:dyDescent="0.25">
      <c r="B3212" s="25"/>
      <c r="C3212" s="7"/>
      <c r="D3212" s="7"/>
      <c r="E3212" s="27"/>
      <c r="F3212" s="27"/>
      <c r="G3212" s="7"/>
    </row>
    <row r="3213" spans="2:7" x14ac:dyDescent="0.25">
      <c r="B3213" s="25"/>
      <c r="C3213" s="7"/>
      <c r="D3213" s="7"/>
      <c r="E3213" s="27"/>
      <c r="F3213" s="27"/>
      <c r="G3213" s="7"/>
    </row>
    <row r="3214" spans="2:7" x14ac:dyDescent="0.25">
      <c r="B3214" s="25"/>
      <c r="C3214" s="7"/>
      <c r="D3214" s="7"/>
      <c r="E3214" s="27"/>
      <c r="F3214" s="27"/>
      <c r="G3214" s="7"/>
    </row>
    <row r="3215" spans="2:7" x14ac:dyDescent="0.25">
      <c r="B3215" s="25"/>
      <c r="C3215" s="7"/>
      <c r="D3215" s="7"/>
      <c r="E3215" s="27"/>
      <c r="F3215" s="27"/>
      <c r="G3215" s="7"/>
    </row>
    <row r="3216" spans="2:7" x14ac:dyDescent="0.25">
      <c r="B3216" s="25"/>
      <c r="C3216" s="7"/>
      <c r="D3216" s="7"/>
      <c r="E3216" s="27"/>
      <c r="F3216" s="27"/>
      <c r="G3216" s="7"/>
    </row>
    <row r="3217" spans="2:7" x14ac:dyDescent="0.25">
      <c r="B3217" s="25"/>
      <c r="C3217" s="7"/>
      <c r="D3217" s="7"/>
      <c r="E3217" s="27"/>
      <c r="F3217" s="27"/>
      <c r="G3217" s="7"/>
    </row>
    <row r="3218" spans="2:7" x14ac:dyDescent="0.25">
      <c r="B3218" s="25"/>
      <c r="C3218" s="7"/>
      <c r="D3218" s="7"/>
      <c r="E3218" s="27"/>
      <c r="F3218" s="27"/>
      <c r="G3218" s="7"/>
    </row>
    <row r="3219" spans="2:7" x14ac:dyDescent="0.25">
      <c r="B3219" s="25"/>
      <c r="C3219" s="7"/>
      <c r="D3219" s="7"/>
      <c r="E3219" s="27"/>
      <c r="F3219" s="27"/>
      <c r="G3219" s="7"/>
    </row>
    <row r="3220" spans="2:7" x14ac:dyDescent="0.25">
      <c r="B3220" s="25"/>
      <c r="C3220" s="7"/>
      <c r="D3220" s="7"/>
      <c r="E3220" s="27"/>
      <c r="F3220" s="27"/>
      <c r="G3220" s="7"/>
    </row>
    <row r="3221" spans="2:7" x14ac:dyDescent="0.25">
      <c r="B3221" s="25"/>
      <c r="C3221" s="7"/>
      <c r="D3221" s="7"/>
      <c r="E3221" s="27"/>
      <c r="F3221" s="27"/>
      <c r="G3221" s="7"/>
    </row>
    <row r="3222" spans="2:7" x14ac:dyDescent="0.25">
      <c r="B3222" s="25"/>
      <c r="C3222" s="7"/>
      <c r="D3222" s="7"/>
      <c r="E3222" s="27"/>
      <c r="F3222" s="27"/>
      <c r="G3222" s="7"/>
    </row>
    <row r="3223" spans="2:7" x14ac:dyDescent="0.25">
      <c r="B3223" s="25"/>
      <c r="C3223" s="7"/>
      <c r="D3223" s="7"/>
      <c r="E3223" s="27"/>
      <c r="F3223" s="27"/>
      <c r="G3223" s="7"/>
    </row>
    <row r="3224" spans="2:7" x14ac:dyDescent="0.25">
      <c r="B3224" s="25"/>
      <c r="C3224" s="7"/>
      <c r="D3224" s="7"/>
      <c r="E3224" s="27"/>
      <c r="F3224" s="27"/>
      <c r="G3224" s="7"/>
    </row>
    <row r="3225" spans="2:7" x14ac:dyDescent="0.25">
      <c r="B3225" s="25"/>
      <c r="C3225" s="7"/>
      <c r="D3225" s="7"/>
      <c r="E3225" s="27"/>
      <c r="F3225" s="27"/>
      <c r="G3225" s="7"/>
    </row>
    <row r="3226" spans="2:7" x14ac:dyDescent="0.25">
      <c r="B3226" s="25"/>
      <c r="C3226" s="7"/>
      <c r="D3226" s="7"/>
      <c r="E3226" s="27"/>
      <c r="F3226" s="27"/>
      <c r="G3226" s="7"/>
    </row>
    <row r="3227" spans="2:7" x14ac:dyDescent="0.25">
      <c r="B3227" s="25"/>
      <c r="C3227" s="7"/>
      <c r="D3227" s="7"/>
      <c r="E3227" s="27"/>
      <c r="F3227" s="27"/>
      <c r="G3227" s="7"/>
    </row>
    <row r="3228" spans="2:7" x14ac:dyDescent="0.25">
      <c r="B3228" s="25"/>
      <c r="C3228" s="7"/>
      <c r="D3228" s="7"/>
      <c r="E3228" s="27"/>
      <c r="F3228" s="27"/>
      <c r="G3228" s="7"/>
    </row>
    <row r="3229" spans="2:7" x14ac:dyDescent="0.25">
      <c r="B3229" s="25"/>
      <c r="C3229" s="7"/>
      <c r="D3229" s="7"/>
      <c r="E3229" s="27"/>
      <c r="F3229" s="27"/>
      <c r="G3229" s="7"/>
    </row>
    <row r="3230" spans="2:7" x14ac:dyDescent="0.25">
      <c r="B3230" s="25"/>
      <c r="C3230" s="7"/>
      <c r="D3230" s="7"/>
      <c r="E3230" s="27"/>
      <c r="F3230" s="27"/>
      <c r="G3230" s="7"/>
    </row>
    <row r="3231" spans="2:7" x14ac:dyDescent="0.25">
      <c r="B3231" s="25"/>
      <c r="C3231" s="7"/>
      <c r="D3231" s="7"/>
      <c r="E3231" s="27"/>
      <c r="F3231" s="27"/>
      <c r="G3231" s="7"/>
    </row>
    <row r="3232" spans="2:7" x14ac:dyDescent="0.25">
      <c r="B3232" s="25"/>
      <c r="C3232" s="7"/>
      <c r="D3232" s="7"/>
      <c r="E3232" s="27"/>
      <c r="F3232" s="27"/>
      <c r="G3232" s="7"/>
    </row>
    <row r="3233" spans="2:7" x14ac:dyDescent="0.25">
      <c r="B3233" s="25"/>
      <c r="C3233" s="7"/>
      <c r="D3233" s="7"/>
      <c r="E3233" s="27"/>
      <c r="F3233" s="27"/>
      <c r="G3233" s="7"/>
    </row>
    <row r="3234" spans="2:7" x14ac:dyDescent="0.25">
      <c r="B3234" s="25"/>
      <c r="C3234" s="7"/>
      <c r="D3234" s="7"/>
      <c r="E3234" s="27"/>
      <c r="F3234" s="27"/>
      <c r="G3234" s="7"/>
    </row>
    <row r="3235" spans="2:7" x14ac:dyDescent="0.25">
      <c r="B3235" s="25"/>
      <c r="C3235" s="7"/>
      <c r="D3235" s="7"/>
      <c r="E3235" s="27"/>
      <c r="F3235" s="27"/>
      <c r="G3235" s="7"/>
    </row>
    <row r="3236" spans="2:7" x14ac:dyDescent="0.25">
      <c r="B3236" s="25"/>
      <c r="C3236" s="7"/>
      <c r="D3236" s="7"/>
      <c r="E3236" s="27"/>
      <c r="F3236" s="27"/>
      <c r="G3236" s="7"/>
    </row>
    <row r="3237" spans="2:7" x14ac:dyDescent="0.25">
      <c r="B3237" s="25"/>
      <c r="C3237" s="7"/>
      <c r="D3237" s="7"/>
      <c r="E3237" s="27"/>
      <c r="F3237" s="27"/>
      <c r="G3237" s="7"/>
    </row>
    <row r="3238" spans="2:7" x14ac:dyDescent="0.25">
      <c r="B3238" s="25"/>
      <c r="C3238" s="7"/>
      <c r="D3238" s="7"/>
      <c r="E3238" s="27"/>
      <c r="F3238" s="27"/>
      <c r="G3238" s="7"/>
    </row>
    <row r="3239" spans="2:7" x14ac:dyDescent="0.25">
      <c r="B3239" s="25"/>
      <c r="C3239" s="7"/>
      <c r="D3239" s="7"/>
      <c r="E3239" s="27"/>
      <c r="F3239" s="27"/>
      <c r="G3239" s="7"/>
    </row>
    <row r="3240" spans="2:7" x14ac:dyDescent="0.25">
      <c r="B3240" s="25"/>
      <c r="C3240" s="7"/>
      <c r="D3240" s="7"/>
      <c r="E3240" s="27"/>
      <c r="F3240" s="27"/>
      <c r="G3240" s="7"/>
    </row>
    <row r="3241" spans="2:7" x14ac:dyDescent="0.25">
      <c r="B3241" s="25"/>
      <c r="C3241" s="7"/>
      <c r="D3241" s="7"/>
      <c r="E3241" s="27"/>
      <c r="F3241" s="27"/>
      <c r="G3241" s="7"/>
    </row>
    <row r="3242" spans="2:7" x14ac:dyDescent="0.25">
      <c r="B3242" s="25"/>
      <c r="C3242" s="7"/>
      <c r="D3242" s="7"/>
      <c r="E3242" s="27"/>
      <c r="F3242" s="27"/>
      <c r="G3242" s="7"/>
    </row>
    <row r="3243" spans="2:7" x14ac:dyDescent="0.25">
      <c r="B3243" s="25"/>
      <c r="C3243" s="7"/>
      <c r="D3243" s="7"/>
      <c r="E3243" s="27"/>
      <c r="F3243" s="27"/>
      <c r="G3243" s="7"/>
    </row>
    <row r="3244" spans="2:7" x14ac:dyDescent="0.25">
      <c r="B3244" s="25"/>
      <c r="C3244" s="7"/>
      <c r="D3244" s="7"/>
      <c r="E3244" s="27"/>
      <c r="F3244" s="27"/>
      <c r="G3244" s="7"/>
    </row>
    <row r="3245" spans="2:7" x14ac:dyDescent="0.25">
      <c r="B3245" s="25"/>
      <c r="C3245" s="7"/>
      <c r="D3245" s="7"/>
      <c r="E3245" s="27"/>
      <c r="F3245" s="27"/>
      <c r="G3245" s="7"/>
    </row>
    <row r="3246" spans="2:7" x14ac:dyDescent="0.25">
      <c r="B3246" s="25"/>
      <c r="C3246" s="7"/>
      <c r="D3246" s="7"/>
      <c r="E3246" s="27"/>
      <c r="F3246" s="27"/>
      <c r="G3246" s="7"/>
    </row>
    <row r="3247" spans="2:7" x14ac:dyDescent="0.25">
      <c r="B3247" s="25"/>
      <c r="C3247" s="7"/>
      <c r="D3247" s="7"/>
      <c r="E3247" s="27"/>
      <c r="F3247" s="27"/>
      <c r="G3247" s="7"/>
    </row>
    <row r="3248" spans="2:7" x14ac:dyDescent="0.25">
      <c r="B3248" s="25"/>
      <c r="C3248" s="7"/>
      <c r="D3248" s="7"/>
      <c r="E3248" s="27"/>
      <c r="F3248" s="27"/>
      <c r="G3248" s="7"/>
    </row>
    <row r="3249" spans="2:7" x14ac:dyDescent="0.25">
      <c r="B3249" s="25"/>
      <c r="C3249" s="7"/>
      <c r="D3249" s="7"/>
      <c r="E3249" s="27"/>
      <c r="F3249" s="27"/>
      <c r="G3249" s="7"/>
    </row>
    <row r="3250" spans="2:7" x14ac:dyDescent="0.25">
      <c r="B3250" s="25"/>
      <c r="C3250" s="7"/>
      <c r="D3250" s="7"/>
      <c r="E3250" s="27"/>
      <c r="F3250" s="27"/>
      <c r="G3250" s="7"/>
    </row>
    <row r="3251" spans="2:7" x14ac:dyDescent="0.25">
      <c r="B3251" s="25"/>
      <c r="C3251" s="7"/>
      <c r="D3251" s="7"/>
      <c r="E3251" s="27"/>
      <c r="F3251" s="27"/>
      <c r="G3251" s="7"/>
    </row>
    <row r="3252" spans="2:7" x14ac:dyDescent="0.25">
      <c r="B3252" s="25"/>
      <c r="C3252" s="7"/>
      <c r="D3252" s="7"/>
      <c r="E3252" s="27"/>
      <c r="F3252" s="27"/>
      <c r="G3252" s="7"/>
    </row>
    <row r="3253" spans="2:7" x14ac:dyDescent="0.25">
      <c r="B3253" s="25"/>
      <c r="C3253" s="7"/>
      <c r="D3253" s="7"/>
      <c r="E3253" s="27"/>
      <c r="F3253" s="27"/>
      <c r="G3253" s="7"/>
    </row>
    <row r="3254" spans="2:7" x14ac:dyDescent="0.25">
      <c r="B3254" s="25"/>
      <c r="C3254" s="7"/>
      <c r="D3254" s="7"/>
      <c r="E3254" s="27"/>
      <c r="F3254" s="27"/>
      <c r="G3254" s="7"/>
    </row>
    <row r="3255" spans="2:7" x14ac:dyDescent="0.25">
      <c r="B3255" s="25"/>
      <c r="C3255" s="7"/>
      <c r="D3255" s="7"/>
      <c r="E3255" s="27"/>
      <c r="F3255" s="27"/>
      <c r="G3255" s="7"/>
    </row>
    <row r="3256" spans="2:7" x14ac:dyDescent="0.25">
      <c r="B3256" s="25"/>
      <c r="C3256" s="7"/>
      <c r="D3256" s="7"/>
      <c r="E3256" s="27"/>
      <c r="F3256" s="27"/>
      <c r="G3256" s="7"/>
    </row>
    <row r="3257" spans="2:7" x14ac:dyDescent="0.25">
      <c r="B3257" s="25"/>
      <c r="C3257" s="7"/>
      <c r="D3257" s="7"/>
      <c r="E3257" s="27"/>
      <c r="F3257" s="27"/>
      <c r="G3257" s="7"/>
    </row>
    <row r="3258" spans="2:7" x14ac:dyDescent="0.25">
      <c r="B3258" s="25"/>
      <c r="C3258" s="7"/>
      <c r="D3258" s="7"/>
      <c r="E3258" s="27"/>
      <c r="F3258" s="27"/>
      <c r="G3258" s="7"/>
    </row>
    <row r="3259" spans="2:7" x14ac:dyDescent="0.25">
      <c r="B3259" s="25"/>
      <c r="C3259" s="7"/>
      <c r="D3259" s="7"/>
      <c r="E3259" s="27"/>
      <c r="F3259" s="27"/>
      <c r="G3259" s="7"/>
    </row>
    <row r="3260" spans="2:7" x14ac:dyDescent="0.25">
      <c r="B3260" s="25"/>
      <c r="C3260" s="7"/>
      <c r="D3260" s="7"/>
      <c r="E3260" s="27"/>
      <c r="F3260" s="27"/>
      <c r="G3260" s="7"/>
    </row>
    <row r="3261" spans="2:7" x14ac:dyDescent="0.25">
      <c r="B3261" s="25"/>
      <c r="C3261" s="7"/>
      <c r="D3261" s="7"/>
      <c r="E3261" s="27"/>
      <c r="F3261" s="27"/>
      <c r="G3261" s="7"/>
    </row>
    <row r="3262" spans="2:7" x14ac:dyDescent="0.25">
      <c r="B3262" s="25"/>
      <c r="C3262" s="7"/>
      <c r="D3262" s="7"/>
      <c r="E3262" s="27"/>
      <c r="F3262" s="27"/>
      <c r="G3262" s="7"/>
    </row>
    <row r="3263" spans="2:7" x14ac:dyDescent="0.25">
      <c r="B3263" s="25"/>
      <c r="C3263" s="7"/>
      <c r="D3263" s="7"/>
      <c r="E3263" s="27"/>
      <c r="F3263" s="27"/>
      <c r="G3263" s="7"/>
    </row>
    <row r="3264" spans="2:7" x14ac:dyDescent="0.25">
      <c r="B3264" s="25"/>
      <c r="C3264" s="7"/>
      <c r="D3264" s="7"/>
      <c r="E3264" s="27"/>
      <c r="F3264" s="27"/>
      <c r="G3264" s="7"/>
    </row>
    <row r="3265" spans="2:7" x14ac:dyDescent="0.25">
      <c r="B3265" s="25"/>
      <c r="C3265" s="7"/>
      <c r="D3265" s="7"/>
      <c r="E3265" s="27"/>
      <c r="F3265" s="27"/>
      <c r="G3265" s="7"/>
    </row>
    <row r="3266" spans="2:7" x14ac:dyDescent="0.25">
      <c r="B3266" s="25"/>
      <c r="C3266" s="7"/>
      <c r="D3266" s="7"/>
      <c r="E3266" s="27"/>
      <c r="F3266" s="27"/>
      <c r="G3266" s="7"/>
    </row>
    <row r="3267" spans="2:7" x14ac:dyDescent="0.25">
      <c r="B3267" s="25"/>
      <c r="C3267" s="7"/>
      <c r="D3267" s="7"/>
      <c r="E3267" s="27"/>
      <c r="F3267" s="27"/>
      <c r="G3267" s="7"/>
    </row>
    <row r="3268" spans="2:7" x14ac:dyDescent="0.25">
      <c r="B3268" s="25"/>
      <c r="C3268" s="7"/>
      <c r="D3268" s="7"/>
      <c r="E3268" s="27"/>
      <c r="F3268" s="27"/>
      <c r="G3268" s="7"/>
    </row>
    <row r="3269" spans="2:7" x14ac:dyDescent="0.25">
      <c r="B3269" s="25"/>
      <c r="C3269" s="7"/>
      <c r="D3269" s="7"/>
      <c r="E3269" s="27"/>
      <c r="F3269" s="27"/>
      <c r="G3269" s="7"/>
    </row>
    <row r="3270" spans="2:7" x14ac:dyDescent="0.25">
      <c r="B3270" s="25"/>
      <c r="C3270" s="7"/>
      <c r="D3270" s="7"/>
      <c r="E3270" s="27"/>
      <c r="F3270" s="27"/>
      <c r="G3270" s="7"/>
    </row>
    <row r="3271" spans="2:7" x14ac:dyDescent="0.25">
      <c r="B3271" s="25"/>
      <c r="C3271" s="7"/>
      <c r="D3271" s="7"/>
      <c r="E3271" s="27"/>
      <c r="F3271" s="27"/>
      <c r="G3271" s="7"/>
    </row>
    <row r="3272" spans="2:7" x14ac:dyDescent="0.25">
      <c r="B3272" s="25"/>
      <c r="C3272" s="7"/>
      <c r="D3272" s="7"/>
      <c r="E3272" s="27"/>
      <c r="F3272" s="27"/>
      <c r="G3272" s="7"/>
    </row>
    <row r="3273" spans="2:7" x14ac:dyDescent="0.25">
      <c r="B3273" s="25"/>
      <c r="C3273" s="7"/>
      <c r="D3273" s="7"/>
      <c r="E3273" s="27"/>
      <c r="F3273" s="27"/>
      <c r="G3273" s="7"/>
    </row>
    <row r="3274" spans="2:7" x14ac:dyDescent="0.25">
      <c r="B3274" s="25"/>
      <c r="C3274" s="7"/>
      <c r="D3274" s="7"/>
      <c r="E3274" s="27"/>
      <c r="F3274" s="27"/>
      <c r="G3274" s="7"/>
    </row>
    <row r="3275" spans="2:7" x14ac:dyDescent="0.25">
      <c r="B3275" s="25"/>
      <c r="C3275" s="7"/>
      <c r="D3275" s="7"/>
      <c r="E3275" s="27"/>
      <c r="F3275" s="27"/>
      <c r="G3275" s="7"/>
    </row>
    <row r="3276" spans="2:7" x14ac:dyDescent="0.25">
      <c r="B3276" s="25"/>
      <c r="C3276" s="7"/>
      <c r="D3276" s="7"/>
      <c r="E3276" s="27"/>
      <c r="F3276" s="27"/>
      <c r="G3276" s="7"/>
    </row>
    <row r="3277" spans="2:7" x14ac:dyDescent="0.25">
      <c r="B3277" s="25"/>
      <c r="C3277" s="7"/>
      <c r="D3277" s="7"/>
      <c r="E3277" s="27"/>
      <c r="F3277" s="27"/>
      <c r="G3277" s="7"/>
    </row>
    <row r="3278" spans="2:7" x14ac:dyDescent="0.25">
      <c r="B3278" s="25"/>
      <c r="C3278" s="7"/>
      <c r="D3278" s="7"/>
      <c r="E3278" s="27"/>
      <c r="F3278" s="27"/>
      <c r="G3278" s="7"/>
    </row>
    <row r="3279" spans="2:7" x14ac:dyDescent="0.25">
      <c r="B3279" s="25"/>
      <c r="C3279" s="7"/>
      <c r="D3279" s="7"/>
      <c r="E3279" s="27"/>
      <c r="F3279" s="27"/>
      <c r="G3279" s="7"/>
    </row>
    <row r="3280" spans="2:7" x14ac:dyDescent="0.25">
      <c r="B3280" s="25"/>
      <c r="C3280" s="7"/>
      <c r="D3280" s="7"/>
      <c r="E3280" s="27"/>
      <c r="F3280" s="27"/>
      <c r="G3280" s="7"/>
    </row>
    <row r="3281" spans="2:7" x14ac:dyDescent="0.25">
      <c r="B3281" s="25"/>
      <c r="C3281" s="7"/>
      <c r="D3281" s="7"/>
      <c r="E3281" s="27"/>
      <c r="F3281" s="27"/>
      <c r="G3281" s="7"/>
    </row>
    <row r="3282" spans="2:7" x14ac:dyDescent="0.25">
      <c r="B3282" s="25"/>
      <c r="C3282" s="7"/>
      <c r="D3282" s="7"/>
      <c r="E3282" s="27"/>
      <c r="F3282" s="27"/>
      <c r="G3282" s="7"/>
    </row>
    <row r="3283" spans="2:7" x14ac:dyDescent="0.25">
      <c r="B3283" s="25"/>
      <c r="C3283" s="7"/>
      <c r="D3283" s="7"/>
      <c r="E3283" s="27"/>
      <c r="F3283" s="27"/>
      <c r="G3283" s="7"/>
    </row>
    <row r="3284" spans="2:7" x14ac:dyDescent="0.25">
      <c r="B3284" s="25"/>
      <c r="C3284" s="7"/>
      <c r="D3284" s="7"/>
      <c r="E3284" s="27"/>
      <c r="F3284" s="27"/>
      <c r="G3284" s="7"/>
    </row>
    <row r="3285" spans="2:7" x14ac:dyDescent="0.25">
      <c r="B3285" s="25"/>
      <c r="C3285" s="7"/>
      <c r="D3285" s="7"/>
      <c r="E3285" s="27"/>
      <c r="F3285" s="27"/>
      <c r="G3285" s="7"/>
    </row>
    <row r="3286" spans="2:7" x14ac:dyDescent="0.25">
      <c r="B3286" s="25"/>
      <c r="C3286" s="7"/>
      <c r="D3286" s="7"/>
      <c r="E3286" s="27"/>
      <c r="F3286" s="27"/>
      <c r="G3286" s="7"/>
    </row>
    <row r="3287" spans="2:7" x14ac:dyDescent="0.25">
      <c r="B3287" s="25"/>
      <c r="C3287" s="7"/>
      <c r="D3287" s="7"/>
      <c r="E3287" s="27"/>
      <c r="F3287" s="27"/>
      <c r="G3287" s="7"/>
    </row>
    <row r="3288" spans="2:7" x14ac:dyDescent="0.25">
      <c r="B3288" s="25"/>
      <c r="C3288" s="7"/>
      <c r="D3288" s="7"/>
      <c r="E3288" s="27"/>
      <c r="F3288" s="27"/>
      <c r="G3288" s="7"/>
    </row>
    <row r="3289" spans="2:7" x14ac:dyDescent="0.25">
      <c r="B3289" s="25"/>
      <c r="C3289" s="7"/>
      <c r="D3289" s="7"/>
      <c r="E3289" s="27"/>
      <c r="F3289" s="27"/>
      <c r="G3289" s="7"/>
    </row>
    <row r="3290" spans="2:7" x14ac:dyDescent="0.25">
      <c r="B3290" s="25"/>
      <c r="C3290" s="7"/>
      <c r="D3290" s="7"/>
      <c r="E3290" s="27"/>
      <c r="F3290" s="27"/>
      <c r="G3290" s="7"/>
    </row>
    <row r="3291" spans="2:7" x14ac:dyDescent="0.25">
      <c r="B3291" s="25"/>
      <c r="C3291" s="7"/>
      <c r="D3291" s="7"/>
      <c r="E3291" s="27"/>
      <c r="F3291" s="27"/>
      <c r="G3291" s="7"/>
    </row>
    <row r="3292" spans="2:7" x14ac:dyDescent="0.25">
      <c r="B3292" s="25"/>
      <c r="C3292" s="7"/>
      <c r="D3292" s="7"/>
      <c r="E3292" s="27"/>
      <c r="F3292" s="27"/>
      <c r="G3292" s="7"/>
    </row>
    <row r="3293" spans="2:7" x14ac:dyDescent="0.25">
      <c r="B3293" s="25"/>
      <c r="C3293" s="7"/>
      <c r="D3293" s="7"/>
      <c r="E3293" s="27"/>
      <c r="F3293" s="27"/>
      <c r="G3293" s="7"/>
    </row>
    <row r="3294" spans="2:7" x14ac:dyDescent="0.25">
      <c r="B3294" s="25"/>
      <c r="C3294" s="7"/>
      <c r="D3294" s="7"/>
      <c r="E3294" s="27"/>
      <c r="F3294" s="27"/>
      <c r="G3294" s="7"/>
    </row>
    <row r="3295" spans="2:7" x14ac:dyDescent="0.25">
      <c r="B3295" s="25"/>
      <c r="C3295" s="7"/>
      <c r="D3295" s="7"/>
      <c r="E3295" s="27"/>
      <c r="F3295" s="27"/>
      <c r="G3295" s="7"/>
    </row>
    <row r="3296" spans="2:7" x14ac:dyDescent="0.25">
      <c r="B3296" s="25"/>
      <c r="C3296" s="7"/>
      <c r="D3296" s="7"/>
      <c r="E3296" s="27"/>
      <c r="F3296" s="27"/>
      <c r="G3296" s="7"/>
    </row>
    <row r="3297" spans="2:7" x14ac:dyDescent="0.25">
      <c r="B3297" s="25"/>
      <c r="C3297" s="7"/>
      <c r="D3297" s="7"/>
      <c r="E3297" s="27"/>
      <c r="F3297" s="27"/>
      <c r="G3297" s="7"/>
    </row>
    <row r="3298" spans="2:7" x14ac:dyDescent="0.25">
      <c r="B3298" s="25"/>
      <c r="C3298" s="7"/>
      <c r="D3298" s="7"/>
      <c r="E3298" s="27"/>
      <c r="F3298" s="27"/>
      <c r="G3298" s="7"/>
    </row>
    <row r="3299" spans="2:7" x14ac:dyDescent="0.25">
      <c r="B3299" s="25"/>
      <c r="C3299" s="7"/>
      <c r="D3299" s="7"/>
      <c r="E3299" s="27"/>
      <c r="F3299" s="27"/>
      <c r="G3299" s="7"/>
    </row>
    <row r="3300" spans="2:7" x14ac:dyDescent="0.25">
      <c r="B3300" s="25"/>
      <c r="C3300" s="7"/>
      <c r="D3300" s="7"/>
      <c r="E3300" s="27"/>
      <c r="F3300" s="27"/>
      <c r="G3300" s="7"/>
    </row>
    <row r="3301" spans="2:7" x14ac:dyDescent="0.25">
      <c r="B3301" s="25"/>
      <c r="C3301" s="7"/>
      <c r="D3301" s="7"/>
      <c r="E3301" s="27"/>
      <c r="F3301" s="27"/>
      <c r="G3301" s="7"/>
    </row>
    <row r="3302" spans="2:7" x14ac:dyDescent="0.25">
      <c r="B3302" s="25"/>
      <c r="C3302" s="7"/>
      <c r="D3302" s="7"/>
      <c r="E3302" s="27"/>
      <c r="F3302" s="27"/>
      <c r="G3302" s="7"/>
    </row>
    <row r="3303" spans="2:7" x14ac:dyDescent="0.25">
      <c r="B3303" s="25"/>
      <c r="C3303" s="7"/>
      <c r="D3303" s="7"/>
      <c r="E3303" s="27"/>
      <c r="F3303" s="27"/>
      <c r="G3303" s="7"/>
    </row>
    <row r="3304" spans="2:7" x14ac:dyDescent="0.25">
      <c r="B3304" s="25"/>
      <c r="C3304" s="7"/>
      <c r="D3304" s="7"/>
      <c r="E3304" s="27"/>
      <c r="F3304" s="27"/>
      <c r="G3304" s="7"/>
    </row>
    <row r="3305" spans="2:7" x14ac:dyDescent="0.25">
      <c r="B3305" s="25"/>
      <c r="C3305" s="7"/>
      <c r="D3305" s="7"/>
      <c r="E3305" s="27"/>
      <c r="F3305" s="27"/>
      <c r="G3305" s="7"/>
    </row>
    <row r="3306" spans="2:7" x14ac:dyDescent="0.25">
      <c r="B3306" s="25"/>
      <c r="C3306" s="7"/>
      <c r="D3306" s="7"/>
      <c r="E3306" s="27"/>
      <c r="F3306" s="27"/>
      <c r="G3306" s="7"/>
    </row>
    <row r="3307" spans="2:7" x14ac:dyDescent="0.25">
      <c r="B3307" s="25"/>
      <c r="C3307" s="7"/>
      <c r="D3307" s="7"/>
      <c r="E3307" s="27"/>
      <c r="F3307" s="27"/>
      <c r="G3307" s="7"/>
    </row>
    <row r="3308" spans="2:7" x14ac:dyDescent="0.25">
      <c r="B3308" s="25"/>
      <c r="C3308" s="7"/>
      <c r="D3308" s="7"/>
      <c r="E3308" s="27"/>
      <c r="F3308" s="27"/>
      <c r="G3308" s="7"/>
    </row>
    <row r="3309" spans="2:7" x14ac:dyDescent="0.25">
      <c r="B3309" s="25"/>
      <c r="C3309" s="7"/>
      <c r="D3309" s="7"/>
      <c r="E3309" s="27"/>
      <c r="F3309" s="27"/>
      <c r="G3309" s="7"/>
    </row>
    <row r="3310" spans="2:7" x14ac:dyDescent="0.25">
      <c r="B3310" s="25"/>
      <c r="C3310" s="7"/>
      <c r="D3310" s="7"/>
      <c r="E3310" s="27"/>
      <c r="F3310" s="27"/>
      <c r="G3310" s="7"/>
    </row>
    <row r="3311" spans="2:7" x14ac:dyDescent="0.25">
      <c r="B3311" s="25"/>
      <c r="C3311" s="7"/>
      <c r="D3311" s="7"/>
      <c r="E3311" s="27"/>
      <c r="F3311" s="27"/>
      <c r="G3311" s="7"/>
    </row>
    <row r="3312" spans="2:7" x14ac:dyDescent="0.25">
      <c r="B3312" s="25"/>
      <c r="C3312" s="7"/>
      <c r="D3312" s="7"/>
      <c r="E3312" s="27"/>
      <c r="F3312" s="27"/>
      <c r="G3312" s="7"/>
    </row>
    <row r="3313" spans="2:7" x14ac:dyDescent="0.25">
      <c r="B3313" s="25"/>
      <c r="C3313" s="7"/>
      <c r="D3313" s="7"/>
      <c r="E3313" s="27"/>
      <c r="F3313" s="27"/>
      <c r="G3313" s="7"/>
    </row>
    <row r="3314" spans="2:7" x14ac:dyDescent="0.25">
      <c r="B3314" s="25"/>
      <c r="C3314" s="7"/>
      <c r="D3314" s="7"/>
      <c r="E3314" s="27"/>
      <c r="F3314" s="27"/>
      <c r="G3314" s="7"/>
    </row>
    <row r="3315" spans="2:7" x14ac:dyDescent="0.25">
      <c r="B3315" s="25"/>
      <c r="C3315" s="7"/>
      <c r="D3315" s="7"/>
      <c r="E3315" s="27"/>
      <c r="F3315" s="27"/>
      <c r="G3315" s="7"/>
    </row>
    <row r="3316" spans="2:7" x14ac:dyDescent="0.25">
      <c r="B3316" s="25"/>
      <c r="C3316" s="7"/>
      <c r="D3316" s="7"/>
      <c r="E3316" s="27"/>
      <c r="F3316" s="27"/>
      <c r="G3316" s="7"/>
    </row>
    <row r="3317" spans="2:7" x14ac:dyDescent="0.25">
      <c r="B3317" s="25"/>
      <c r="C3317" s="7"/>
      <c r="D3317" s="7"/>
      <c r="E3317" s="27"/>
      <c r="F3317" s="27"/>
      <c r="G3317" s="7"/>
    </row>
    <row r="3318" spans="2:7" x14ac:dyDescent="0.25">
      <c r="B3318" s="25"/>
      <c r="C3318" s="7"/>
      <c r="D3318" s="7"/>
      <c r="E3318" s="27"/>
      <c r="F3318" s="27"/>
      <c r="G3318" s="7"/>
    </row>
    <row r="3319" spans="2:7" x14ac:dyDescent="0.25">
      <c r="B3319" s="25"/>
      <c r="C3319" s="7"/>
      <c r="D3319" s="7"/>
      <c r="E3319" s="27"/>
      <c r="F3319" s="27"/>
      <c r="G3319" s="7"/>
    </row>
    <row r="3320" spans="2:7" x14ac:dyDescent="0.25">
      <c r="B3320" s="25"/>
      <c r="C3320" s="7"/>
      <c r="D3320" s="7"/>
      <c r="E3320" s="27"/>
      <c r="F3320" s="27"/>
      <c r="G3320" s="7"/>
    </row>
    <row r="3321" spans="2:7" x14ac:dyDescent="0.25">
      <c r="B3321" s="25"/>
      <c r="C3321" s="7"/>
      <c r="D3321" s="7"/>
      <c r="E3321" s="27"/>
      <c r="F3321" s="27"/>
      <c r="G3321" s="7"/>
    </row>
    <row r="3322" spans="2:7" x14ac:dyDescent="0.25">
      <c r="B3322" s="25"/>
      <c r="C3322" s="7"/>
      <c r="D3322" s="7"/>
      <c r="E3322" s="27"/>
      <c r="F3322" s="27"/>
      <c r="G3322" s="7"/>
    </row>
    <row r="3323" spans="2:7" x14ac:dyDescent="0.25">
      <c r="B3323" s="25"/>
      <c r="C3323" s="7"/>
      <c r="D3323" s="7"/>
      <c r="E3323" s="27"/>
      <c r="F3323" s="27"/>
      <c r="G3323" s="7"/>
    </row>
    <row r="3324" spans="2:7" x14ac:dyDescent="0.25">
      <c r="B3324" s="25"/>
      <c r="C3324" s="7"/>
      <c r="D3324" s="7"/>
      <c r="E3324" s="27"/>
      <c r="F3324" s="27"/>
      <c r="G3324" s="7"/>
    </row>
    <row r="3325" spans="2:7" x14ac:dyDescent="0.25">
      <c r="B3325" s="25"/>
      <c r="C3325" s="7"/>
      <c r="D3325" s="7"/>
      <c r="E3325" s="27"/>
      <c r="F3325" s="27"/>
      <c r="G3325" s="7"/>
    </row>
    <row r="3326" spans="2:7" x14ac:dyDescent="0.25">
      <c r="B3326" s="25"/>
      <c r="C3326" s="7"/>
      <c r="D3326" s="7"/>
      <c r="E3326" s="27"/>
      <c r="F3326" s="27"/>
      <c r="G3326" s="7"/>
    </row>
    <row r="3327" spans="2:7" x14ac:dyDescent="0.25">
      <c r="B3327" s="25"/>
      <c r="C3327" s="7"/>
      <c r="D3327" s="7"/>
      <c r="E3327" s="27"/>
      <c r="F3327" s="27"/>
      <c r="G3327" s="7"/>
    </row>
    <row r="3328" spans="2:7" x14ac:dyDescent="0.25">
      <c r="B3328" s="25"/>
      <c r="C3328" s="7"/>
      <c r="D3328" s="7"/>
      <c r="E3328" s="27"/>
      <c r="F3328" s="27"/>
      <c r="G3328" s="7"/>
    </row>
    <row r="3329" spans="2:7" x14ac:dyDescent="0.25">
      <c r="B3329" s="25"/>
      <c r="C3329" s="7"/>
      <c r="D3329" s="7"/>
      <c r="E3329" s="27"/>
      <c r="F3329" s="27"/>
      <c r="G3329" s="7"/>
    </row>
    <row r="3330" spans="2:7" x14ac:dyDescent="0.25">
      <c r="B3330" s="25"/>
      <c r="C3330" s="7"/>
      <c r="D3330" s="7"/>
      <c r="E3330" s="27"/>
      <c r="F3330" s="27"/>
      <c r="G3330" s="7"/>
    </row>
    <row r="3331" spans="2:7" x14ac:dyDescent="0.25">
      <c r="B3331" s="25"/>
      <c r="C3331" s="7"/>
      <c r="D3331" s="7"/>
      <c r="E3331" s="27"/>
      <c r="F3331" s="27"/>
      <c r="G3331" s="7"/>
    </row>
    <row r="3332" spans="2:7" x14ac:dyDescent="0.25">
      <c r="B3332" s="25"/>
      <c r="C3332" s="7"/>
      <c r="D3332" s="7"/>
      <c r="E3332" s="27"/>
      <c r="F3332" s="27"/>
      <c r="G3332" s="7"/>
    </row>
    <row r="3333" spans="2:7" x14ac:dyDescent="0.25">
      <c r="B3333" s="25"/>
      <c r="C3333" s="7"/>
      <c r="D3333" s="7"/>
      <c r="E3333" s="27"/>
      <c r="F3333" s="27"/>
      <c r="G3333" s="7"/>
    </row>
    <row r="3334" spans="2:7" x14ac:dyDescent="0.25">
      <c r="B3334" s="25"/>
      <c r="C3334" s="7"/>
      <c r="D3334" s="7"/>
      <c r="E3334" s="27"/>
      <c r="F3334" s="27"/>
      <c r="G3334" s="7"/>
    </row>
    <row r="3335" spans="2:7" x14ac:dyDescent="0.25">
      <c r="B3335" s="25"/>
      <c r="C3335" s="7"/>
      <c r="D3335" s="7"/>
      <c r="E3335" s="27"/>
      <c r="F3335" s="27"/>
      <c r="G3335" s="7"/>
    </row>
    <row r="3336" spans="2:7" x14ac:dyDescent="0.25">
      <c r="B3336" s="25"/>
      <c r="C3336" s="7"/>
      <c r="D3336" s="7"/>
      <c r="E3336" s="27"/>
      <c r="F3336" s="27"/>
      <c r="G3336" s="7"/>
    </row>
    <row r="3337" spans="2:7" x14ac:dyDescent="0.25">
      <c r="B3337" s="25"/>
      <c r="C3337" s="7"/>
      <c r="D3337" s="7"/>
      <c r="E3337" s="27"/>
      <c r="F3337" s="27"/>
      <c r="G3337" s="7"/>
    </row>
    <row r="3338" spans="2:7" x14ac:dyDescent="0.25">
      <c r="B3338" s="25"/>
      <c r="C3338" s="7"/>
      <c r="D3338" s="7"/>
      <c r="E3338" s="27"/>
      <c r="F3338" s="27"/>
      <c r="G3338" s="7"/>
    </row>
    <row r="3339" spans="2:7" x14ac:dyDescent="0.25">
      <c r="B3339" s="25"/>
      <c r="C3339" s="7"/>
      <c r="D3339" s="7"/>
      <c r="E3339" s="27"/>
      <c r="F3339" s="27"/>
      <c r="G3339" s="7"/>
    </row>
    <row r="3340" spans="2:7" x14ac:dyDescent="0.25">
      <c r="B3340" s="25"/>
      <c r="C3340" s="7"/>
      <c r="D3340" s="7"/>
      <c r="E3340" s="27"/>
      <c r="F3340" s="27"/>
      <c r="G3340" s="7"/>
    </row>
    <row r="3341" spans="2:7" x14ac:dyDescent="0.25">
      <c r="B3341" s="25"/>
      <c r="C3341" s="7"/>
      <c r="D3341" s="7"/>
      <c r="E3341" s="27"/>
      <c r="F3341" s="27"/>
      <c r="G3341" s="7"/>
    </row>
    <row r="3342" spans="2:7" x14ac:dyDescent="0.25">
      <c r="B3342" s="25"/>
      <c r="C3342" s="7"/>
      <c r="D3342" s="7"/>
      <c r="E3342" s="27"/>
      <c r="F3342" s="27"/>
      <c r="G3342" s="7"/>
    </row>
    <row r="3343" spans="2:7" x14ac:dyDescent="0.25">
      <c r="B3343" s="25"/>
      <c r="C3343" s="7"/>
      <c r="D3343" s="7"/>
      <c r="E3343" s="27"/>
      <c r="F3343" s="27"/>
      <c r="G3343" s="7"/>
    </row>
    <row r="3344" spans="2:7" x14ac:dyDescent="0.25">
      <c r="B3344" s="25"/>
      <c r="C3344" s="7"/>
      <c r="D3344" s="7"/>
      <c r="E3344" s="27"/>
      <c r="F3344" s="27"/>
      <c r="G3344" s="7"/>
    </row>
    <row r="3345" spans="2:7" x14ac:dyDescent="0.25">
      <c r="B3345" s="25"/>
      <c r="C3345" s="7"/>
      <c r="D3345" s="7"/>
      <c r="E3345" s="27"/>
      <c r="F3345" s="27"/>
      <c r="G3345" s="7"/>
    </row>
    <row r="3346" spans="2:7" x14ac:dyDescent="0.25">
      <c r="B3346" s="25"/>
      <c r="C3346" s="7"/>
      <c r="D3346" s="7"/>
      <c r="E3346" s="27"/>
      <c r="F3346" s="27"/>
      <c r="G3346" s="7"/>
    </row>
    <row r="3347" spans="2:7" x14ac:dyDescent="0.25">
      <c r="B3347" s="25"/>
      <c r="C3347" s="7"/>
      <c r="D3347" s="7"/>
      <c r="E3347" s="27"/>
      <c r="F3347" s="27"/>
      <c r="G3347" s="7"/>
    </row>
    <row r="3348" spans="2:7" x14ac:dyDescent="0.25">
      <c r="B3348" s="25"/>
      <c r="C3348" s="7"/>
      <c r="D3348" s="7"/>
      <c r="E3348" s="27"/>
      <c r="F3348" s="27"/>
      <c r="G3348" s="7"/>
    </row>
    <row r="3349" spans="2:7" x14ac:dyDescent="0.25">
      <c r="B3349" s="25"/>
      <c r="C3349" s="7"/>
      <c r="D3349" s="7"/>
      <c r="E3349" s="27"/>
      <c r="F3349" s="27"/>
      <c r="G3349" s="7"/>
    </row>
    <row r="3350" spans="2:7" x14ac:dyDescent="0.25">
      <c r="B3350" s="25"/>
      <c r="C3350" s="7"/>
      <c r="D3350" s="7"/>
      <c r="E3350" s="27"/>
      <c r="F3350" s="27"/>
      <c r="G3350" s="7"/>
    </row>
    <row r="3351" spans="2:7" x14ac:dyDescent="0.25">
      <c r="B3351" s="25"/>
      <c r="C3351" s="7"/>
      <c r="D3351" s="7"/>
      <c r="E3351" s="27"/>
      <c r="F3351" s="27"/>
      <c r="G3351" s="7"/>
    </row>
    <row r="3352" spans="2:7" x14ac:dyDescent="0.25">
      <c r="B3352" s="25"/>
      <c r="C3352" s="7"/>
      <c r="D3352" s="7"/>
      <c r="E3352" s="27"/>
      <c r="F3352" s="27"/>
      <c r="G3352" s="7"/>
    </row>
    <row r="3353" spans="2:7" x14ac:dyDescent="0.25">
      <c r="B3353" s="25"/>
      <c r="C3353" s="7"/>
      <c r="D3353" s="7"/>
      <c r="E3353" s="27"/>
      <c r="F3353" s="27"/>
      <c r="G3353" s="7"/>
    </row>
    <row r="3354" spans="2:7" x14ac:dyDescent="0.25">
      <c r="B3354" s="25"/>
      <c r="C3354" s="7"/>
      <c r="D3354" s="7"/>
      <c r="E3354" s="27"/>
      <c r="F3354" s="27"/>
      <c r="G3354" s="7"/>
    </row>
    <row r="3355" spans="2:7" x14ac:dyDescent="0.25">
      <c r="B3355" s="25"/>
      <c r="C3355" s="7"/>
      <c r="D3355" s="7"/>
      <c r="E3355" s="27"/>
      <c r="F3355" s="27"/>
      <c r="G3355" s="7"/>
    </row>
    <row r="3356" spans="2:7" x14ac:dyDescent="0.25">
      <c r="B3356" s="25"/>
      <c r="C3356" s="7"/>
      <c r="D3356" s="7"/>
      <c r="E3356" s="27"/>
      <c r="F3356" s="27"/>
      <c r="G3356" s="7"/>
    </row>
    <row r="3357" spans="2:7" x14ac:dyDescent="0.25">
      <c r="B3357" s="25"/>
      <c r="C3357" s="7"/>
      <c r="D3357" s="7"/>
      <c r="E3357" s="27"/>
      <c r="F3357" s="27"/>
      <c r="G3357" s="7"/>
    </row>
    <row r="3358" spans="2:7" x14ac:dyDescent="0.25">
      <c r="B3358" s="25"/>
      <c r="C3358" s="7"/>
      <c r="D3358" s="7"/>
      <c r="E3358" s="27"/>
      <c r="F3358" s="27"/>
      <c r="G3358" s="7"/>
    </row>
    <row r="3359" spans="2:7" x14ac:dyDescent="0.25">
      <c r="B3359" s="25"/>
      <c r="C3359" s="7"/>
      <c r="D3359" s="7"/>
      <c r="E3359" s="27"/>
      <c r="F3359" s="27"/>
      <c r="G3359" s="7"/>
    </row>
    <row r="3360" spans="2:7" x14ac:dyDescent="0.25">
      <c r="B3360" s="25"/>
      <c r="C3360" s="7"/>
      <c r="D3360" s="7"/>
      <c r="E3360" s="27"/>
      <c r="F3360" s="27"/>
      <c r="G3360" s="7"/>
    </row>
    <row r="3361" spans="2:7" x14ac:dyDescent="0.25">
      <c r="B3361" s="25"/>
      <c r="C3361" s="7"/>
      <c r="D3361" s="7"/>
      <c r="E3361" s="27"/>
      <c r="F3361" s="27"/>
      <c r="G3361" s="7"/>
    </row>
    <row r="3362" spans="2:7" x14ac:dyDescent="0.25">
      <c r="B3362" s="25"/>
      <c r="C3362" s="7"/>
      <c r="D3362" s="7"/>
      <c r="E3362" s="27"/>
      <c r="F3362" s="27"/>
      <c r="G3362" s="7"/>
    </row>
    <row r="3363" spans="2:7" x14ac:dyDescent="0.25">
      <c r="B3363" s="25"/>
      <c r="C3363" s="7"/>
      <c r="D3363" s="7"/>
      <c r="E3363" s="27"/>
      <c r="F3363" s="27"/>
      <c r="G3363" s="7"/>
    </row>
    <row r="3364" spans="2:7" x14ac:dyDescent="0.25">
      <c r="B3364" s="25"/>
      <c r="C3364" s="7"/>
      <c r="D3364" s="7"/>
      <c r="E3364" s="27"/>
      <c r="F3364" s="27"/>
      <c r="G3364" s="7"/>
    </row>
    <row r="3365" spans="2:7" x14ac:dyDescent="0.25">
      <c r="B3365" s="25"/>
      <c r="C3365" s="7"/>
      <c r="D3365" s="7"/>
      <c r="E3365" s="27"/>
      <c r="F3365" s="27"/>
      <c r="G3365" s="7"/>
    </row>
    <row r="3366" spans="2:7" x14ac:dyDescent="0.25">
      <c r="B3366" s="25"/>
      <c r="C3366" s="7"/>
      <c r="D3366" s="7"/>
      <c r="E3366" s="27"/>
      <c r="F3366" s="27"/>
      <c r="G3366" s="7"/>
    </row>
    <row r="3367" spans="2:7" x14ac:dyDescent="0.25">
      <c r="B3367" s="25"/>
      <c r="C3367" s="7"/>
      <c r="D3367" s="7"/>
      <c r="E3367" s="27"/>
      <c r="F3367" s="27"/>
      <c r="G3367" s="7"/>
    </row>
    <row r="3368" spans="2:7" x14ac:dyDescent="0.25">
      <c r="B3368" s="25"/>
      <c r="C3368" s="7"/>
      <c r="D3368" s="7"/>
      <c r="E3368" s="27"/>
      <c r="F3368" s="27"/>
      <c r="G3368" s="7"/>
    </row>
    <row r="3369" spans="2:7" x14ac:dyDescent="0.25">
      <c r="B3369" s="25"/>
      <c r="C3369" s="7"/>
      <c r="D3369" s="7"/>
      <c r="E3369" s="27"/>
      <c r="F3369" s="27"/>
      <c r="G3369" s="7"/>
    </row>
    <row r="3370" spans="2:7" x14ac:dyDescent="0.25">
      <c r="B3370" s="25"/>
      <c r="C3370" s="7"/>
      <c r="D3370" s="7"/>
      <c r="E3370" s="27"/>
      <c r="F3370" s="27"/>
      <c r="G3370" s="7"/>
    </row>
    <row r="3371" spans="2:7" x14ac:dyDescent="0.25">
      <c r="B3371" s="25"/>
      <c r="C3371" s="7"/>
      <c r="D3371" s="7"/>
      <c r="E3371" s="27"/>
      <c r="F3371" s="27"/>
      <c r="G3371" s="7"/>
    </row>
    <row r="3372" spans="2:7" x14ac:dyDescent="0.25">
      <c r="B3372" s="25"/>
      <c r="C3372" s="7"/>
      <c r="D3372" s="7"/>
      <c r="E3372" s="27"/>
      <c r="F3372" s="27"/>
      <c r="G3372" s="7"/>
    </row>
    <row r="3373" spans="2:7" x14ac:dyDescent="0.25">
      <c r="B3373" s="25"/>
      <c r="C3373" s="7"/>
      <c r="D3373" s="7"/>
      <c r="E3373" s="27"/>
      <c r="F3373" s="27"/>
      <c r="G3373" s="7"/>
    </row>
    <row r="3374" spans="2:7" x14ac:dyDescent="0.25">
      <c r="B3374" s="25"/>
      <c r="C3374" s="7"/>
      <c r="D3374" s="7"/>
      <c r="E3374" s="27"/>
      <c r="F3374" s="27"/>
      <c r="G3374" s="7"/>
    </row>
    <row r="3375" spans="2:7" x14ac:dyDescent="0.25">
      <c r="B3375" s="25"/>
      <c r="C3375" s="7"/>
      <c r="D3375" s="7"/>
      <c r="E3375" s="27"/>
      <c r="F3375" s="27"/>
      <c r="G3375" s="7"/>
    </row>
    <row r="3376" spans="2:7" x14ac:dyDescent="0.25">
      <c r="B3376" s="25"/>
      <c r="C3376" s="7"/>
      <c r="D3376" s="7"/>
      <c r="E3376" s="27"/>
      <c r="F3376" s="27"/>
      <c r="G3376" s="7"/>
    </row>
    <row r="3377" spans="2:7" x14ac:dyDescent="0.25">
      <c r="B3377" s="25"/>
      <c r="C3377" s="7"/>
      <c r="D3377" s="7"/>
      <c r="E3377" s="27"/>
      <c r="F3377" s="27"/>
      <c r="G3377" s="7"/>
    </row>
    <row r="3378" spans="2:7" x14ac:dyDescent="0.25">
      <c r="B3378" s="25"/>
      <c r="C3378" s="7"/>
      <c r="D3378" s="7"/>
      <c r="E3378" s="27"/>
      <c r="F3378" s="27"/>
      <c r="G3378" s="7"/>
    </row>
    <row r="3379" spans="2:7" x14ac:dyDescent="0.25">
      <c r="B3379" s="25"/>
      <c r="C3379" s="7"/>
      <c r="D3379" s="7"/>
      <c r="E3379" s="27"/>
      <c r="F3379" s="27"/>
      <c r="G3379" s="7"/>
    </row>
    <row r="3380" spans="2:7" x14ac:dyDescent="0.25">
      <c r="B3380" s="25"/>
      <c r="C3380" s="7"/>
      <c r="D3380" s="7"/>
      <c r="E3380" s="27"/>
      <c r="F3380" s="27"/>
      <c r="G3380" s="7"/>
    </row>
    <row r="3381" spans="2:7" x14ac:dyDescent="0.25">
      <c r="B3381" s="25"/>
      <c r="C3381" s="7"/>
      <c r="D3381" s="7"/>
      <c r="E3381" s="27"/>
      <c r="F3381" s="27"/>
      <c r="G3381" s="7"/>
    </row>
    <row r="3382" spans="2:7" x14ac:dyDescent="0.25">
      <c r="B3382" s="25"/>
      <c r="C3382" s="7"/>
      <c r="D3382" s="7"/>
      <c r="E3382" s="27"/>
      <c r="F3382" s="27"/>
      <c r="G3382" s="7"/>
    </row>
    <row r="3383" spans="2:7" x14ac:dyDescent="0.25">
      <c r="B3383" s="25"/>
      <c r="C3383" s="7"/>
      <c r="D3383" s="7"/>
      <c r="E3383" s="27"/>
      <c r="F3383" s="27"/>
      <c r="G3383" s="7"/>
    </row>
    <row r="3384" spans="2:7" x14ac:dyDescent="0.25">
      <c r="B3384" s="25"/>
      <c r="C3384" s="7"/>
      <c r="D3384" s="7"/>
      <c r="E3384" s="27"/>
      <c r="F3384" s="27"/>
      <c r="G3384" s="7"/>
    </row>
    <row r="3385" spans="2:7" x14ac:dyDescent="0.25">
      <c r="B3385" s="25"/>
      <c r="C3385" s="7"/>
      <c r="D3385" s="7"/>
      <c r="E3385" s="27"/>
      <c r="F3385" s="27"/>
      <c r="G3385" s="7"/>
    </row>
    <row r="3386" spans="2:7" x14ac:dyDescent="0.25">
      <c r="B3386" s="25"/>
      <c r="C3386" s="7"/>
      <c r="D3386" s="7"/>
      <c r="E3386" s="27"/>
      <c r="F3386" s="27"/>
      <c r="G3386" s="7"/>
    </row>
    <row r="3387" spans="2:7" x14ac:dyDescent="0.25">
      <c r="B3387" s="25"/>
      <c r="C3387" s="7"/>
      <c r="D3387" s="7"/>
      <c r="E3387" s="27"/>
      <c r="F3387" s="27"/>
      <c r="G3387" s="7"/>
    </row>
    <row r="3388" spans="2:7" x14ac:dyDescent="0.25">
      <c r="B3388" s="25"/>
      <c r="C3388" s="7"/>
      <c r="D3388" s="7"/>
      <c r="E3388" s="27"/>
      <c r="F3388" s="27"/>
      <c r="G3388" s="7"/>
    </row>
    <row r="3389" spans="2:7" x14ac:dyDescent="0.25">
      <c r="B3389" s="25"/>
      <c r="C3389" s="7"/>
      <c r="D3389" s="7"/>
      <c r="E3389" s="27"/>
      <c r="F3389" s="27"/>
      <c r="G3389" s="7"/>
    </row>
    <row r="3390" spans="2:7" x14ac:dyDescent="0.25">
      <c r="B3390" s="25"/>
      <c r="C3390" s="7"/>
      <c r="D3390" s="7"/>
      <c r="E3390" s="27"/>
      <c r="F3390" s="27"/>
      <c r="G3390" s="7"/>
    </row>
    <row r="3391" spans="2:7" x14ac:dyDescent="0.25">
      <c r="B3391" s="25"/>
      <c r="C3391" s="7"/>
      <c r="D3391" s="7"/>
      <c r="E3391" s="27"/>
      <c r="F3391" s="27"/>
      <c r="G3391" s="7"/>
    </row>
    <row r="3392" spans="2:7" x14ac:dyDescent="0.25">
      <c r="B3392" s="25"/>
      <c r="C3392" s="7"/>
      <c r="D3392" s="7"/>
      <c r="E3392" s="27"/>
      <c r="F3392" s="27"/>
      <c r="G3392" s="7"/>
    </row>
    <row r="3393" spans="2:7" x14ac:dyDescent="0.25">
      <c r="B3393" s="25"/>
      <c r="C3393" s="7"/>
      <c r="D3393" s="7"/>
      <c r="E3393" s="27"/>
      <c r="F3393" s="27"/>
      <c r="G3393" s="7"/>
    </row>
    <row r="3394" spans="2:7" x14ac:dyDescent="0.25">
      <c r="B3394" s="25"/>
      <c r="C3394" s="7"/>
      <c r="D3394" s="7"/>
      <c r="E3394" s="27"/>
      <c r="F3394" s="27"/>
      <c r="G3394" s="7"/>
    </row>
    <row r="3395" spans="2:7" x14ac:dyDescent="0.25">
      <c r="B3395" s="25"/>
      <c r="C3395" s="7"/>
      <c r="D3395" s="7"/>
      <c r="E3395" s="27"/>
      <c r="F3395" s="27"/>
      <c r="G3395" s="7"/>
    </row>
    <row r="3396" spans="2:7" x14ac:dyDescent="0.25">
      <c r="B3396" s="25"/>
      <c r="C3396" s="7"/>
      <c r="D3396" s="7"/>
      <c r="E3396" s="27"/>
      <c r="F3396" s="27"/>
      <c r="G3396" s="7"/>
    </row>
    <row r="3397" spans="2:7" x14ac:dyDescent="0.25">
      <c r="B3397" s="25"/>
      <c r="C3397" s="7"/>
      <c r="D3397" s="7"/>
      <c r="E3397" s="27"/>
      <c r="F3397" s="27"/>
      <c r="G3397" s="7"/>
    </row>
    <row r="3398" spans="2:7" x14ac:dyDescent="0.25">
      <c r="B3398" s="25"/>
      <c r="C3398" s="7"/>
      <c r="D3398" s="7"/>
      <c r="E3398" s="27"/>
      <c r="F3398" s="27"/>
      <c r="G3398" s="7"/>
    </row>
    <row r="3399" spans="2:7" x14ac:dyDescent="0.25">
      <c r="B3399" s="25"/>
      <c r="C3399" s="7"/>
      <c r="D3399" s="7"/>
      <c r="E3399" s="27"/>
      <c r="F3399" s="27"/>
      <c r="G3399" s="7"/>
    </row>
    <row r="3400" spans="2:7" x14ac:dyDescent="0.25">
      <c r="B3400" s="25"/>
      <c r="C3400" s="7"/>
      <c r="D3400" s="7"/>
      <c r="E3400" s="27"/>
      <c r="F3400" s="27"/>
      <c r="G3400" s="7"/>
    </row>
    <row r="3401" spans="2:7" x14ac:dyDescent="0.25">
      <c r="B3401" s="25"/>
      <c r="C3401" s="7"/>
      <c r="D3401" s="7"/>
      <c r="E3401" s="27"/>
      <c r="F3401" s="27"/>
      <c r="G3401" s="7"/>
    </row>
    <row r="3402" spans="2:7" x14ac:dyDescent="0.25">
      <c r="B3402" s="25"/>
      <c r="C3402" s="7"/>
      <c r="D3402" s="7"/>
      <c r="E3402" s="27"/>
      <c r="F3402" s="27"/>
      <c r="G3402" s="7"/>
    </row>
    <row r="3403" spans="2:7" x14ac:dyDescent="0.25">
      <c r="B3403" s="25"/>
      <c r="C3403" s="7"/>
      <c r="D3403" s="7"/>
      <c r="E3403" s="27"/>
      <c r="F3403" s="27"/>
      <c r="G3403" s="7"/>
    </row>
    <row r="3404" spans="2:7" x14ac:dyDescent="0.25">
      <c r="B3404" s="25"/>
      <c r="C3404" s="7"/>
      <c r="D3404" s="7"/>
      <c r="E3404" s="27"/>
      <c r="F3404" s="27"/>
      <c r="G3404" s="7"/>
    </row>
    <row r="3405" spans="2:7" x14ac:dyDescent="0.25">
      <c r="B3405" s="25"/>
      <c r="C3405" s="7"/>
      <c r="D3405" s="7"/>
      <c r="E3405" s="27"/>
      <c r="F3405" s="27"/>
      <c r="G3405" s="7"/>
    </row>
    <row r="3406" spans="2:7" x14ac:dyDescent="0.25">
      <c r="B3406" s="25"/>
      <c r="C3406" s="7"/>
      <c r="D3406" s="7"/>
      <c r="E3406" s="27"/>
      <c r="F3406" s="27"/>
      <c r="G3406" s="7"/>
    </row>
    <row r="3407" spans="2:7" x14ac:dyDescent="0.25">
      <c r="B3407" s="25"/>
      <c r="C3407" s="7"/>
      <c r="D3407" s="7"/>
      <c r="E3407" s="27"/>
      <c r="F3407" s="27"/>
      <c r="G3407" s="7"/>
    </row>
    <row r="3408" spans="2:7" x14ac:dyDescent="0.25">
      <c r="B3408" s="25"/>
      <c r="C3408" s="7"/>
      <c r="D3408" s="7"/>
      <c r="E3408" s="27"/>
      <c r="F3408" s="27"/>
      <c r="G3408" s="7"/>
    </row>
    <row r="3409" spans="2:7" x14ac:dyDescent="0.25">
      <c r="B3409" s="25"/>
      <c r="C3409" s="7"/>
      <c r="D3409" s="7"/>
      <c r="E3409" s="27"/>
      <c r="F3409" s="27"/>
      <c r="G3409" s="7"/>
    </row>
    <row r="3410" spans="2:7" x14ac:dyDescent="0.25">
      <c r="B3410" s="25"/>
      <c r="C3410" s="7"/>
      <c r="D3410" s="7"/>
      <c r="E3410" s="27"/>
      <c r="F3410" s="27"/>
      <c r="G3410" s="7"/>
    </row>
    <row r="3411" spans="2:7" x14ac:dyDescent="0.25">
      <c r="B3411" s="25"/>
      <c r="C3411" s="7"/>
      <c r="D3411" s="7"/>
      <c r="E3411" s="27"/>
      <c r="F3411" s="27"/>
      <c r="G3411" s="7"/>
    </row>
    <row r="3412" spans="2:7" x14ac:dyDescent="0.25">
      <c r="B3412" s="25"/>
      <c r="C3412" s="7"/>
      <c r="D3412" s="7"/>
      <c r="E3412" s="27"/>
      <c r="F3412" s="27"/>
      <c r="G3412" s="7"/>
    </row>
    <row r="3413" spans="2:7" x14ac:dyDescent="0.25">
      <c r="B3413" s="25"/>
      <c r="C3413" s="7"/>
      <c r="D3413" s="7"/>
      <c r="E3413" s="27"/>
      <c r="F3413" s="27"/>
      <c r="G3413" s="7"/>
    </row>
    <row r="3414" spans="2:7" x14ac:dyDescent="0.25">
      <c r="B3414" s="25"/>
      <c r="C3414" s="7"/>
      <c r="D3414" s="7"/>
      <c r="E3414" s="27"/>
      <c r="F3414" s="27"/>
      <c r="G3414" s="7"/>
    </row>
    <row r="3415" spans="2:7" x14ac:dyDescent="0.25">
      <c r="B3415" s="25"/>
      <c r="C3415" s="7"/>
      <c r="D3415" s="7"/>
      <c r="E3415" s="27"/>
      <c r="F3415" s="27"/>
      <c r="G3415" s="7"/>
    </row>
    <row r="3416" spans="2:7" x14ac:dyDescent="0.25">
      <c r="B3416" s="25"/>
      <c r="C3416" s="7"/>
      <c r="D3416" s="7"/>
      <c r="E3416" s="27"/>
      <c r="F3416" s="27"/>
      <c r="G3416" s="7"/>
    </row>
    <row r="3417" spans="2:7" x14ac:dyDescent="0.25">
      <c r="B3417" s="25"/>
      <c r="C3417" s="7"/>
      <c r="D3417" s="7"/>
      <c r="E3417" s="27"/>
      <c r="F3417" s="27"/>
      <c r="G3417" s="7"/>
    </row>
    <row r="3418" spans="2:7" x14ac:dyDescent="0.25">
      <c r="B3418" s="25"/>
      <c r="C3418" s="7"/>
      <c r="D3418" s="7"/>
      <c r="E3418" s="27"/>
      <c r="F3418" s="27"/>
      <c r="G3418" s="7"/>
    </row>
    <row r="3419" spans="2:7" x14ac:dyDescent="0.25">
      <c r="B3419" s="25"/>
      <c r="C3419" s="7"/>
      <c r="D3419" s="7"/>
      <c r="E3419" s="27"/>
      <c r="F3419" s="27"/>
      <c r="G3419" s="7"/>
    </row>
    <row r="3420" spans="2:7" x14ac:dyDescent="0.25">
      <c r="B3420" s="25"/>
      <c r="C3420" s="7"/>
      <c r="D3420" s="7"/>
      <c r="E3420" s="27"/>
      <c r="F3420" s="27"/>
      <c r="G3420" s="7"/>
    </row>
    <row r="3421" spans="2:7" x14ac:dyDescent="0.25">
      <c r="B3421" s="25"/>
      <c r="C3421" s="7"/>
      <c r="D3421" s="7"/>
      <c r="E3421" s="27"/>
      <c r="F3421" s="27"/>
      <c r="G3421" s="7"/>
    </row>
    <row r="3422" spans="2:7" x14ac:dyDescent="0.25">
      <c r="B3422" s="25"/>
      <c r="C3422" s="7"/>
      <c r="D3422" s="7"/>
      <c r="E3422" s="27"/>
      <c r="F3422" s="27"/>
      <c r="G3422" s="7"/>
    </row>
    <row r="3423" spans="2:7" x14ac:dyDescent="0.25">
      <c r="B3423" s="25"/>
      <c r="C3423" s="7"/>
      <c r="D3423" s="7"/>
      <c r="E3423" s="27"/>
      <c r="F3423" s="27"/>
      <c r="G3423" s="7"/>
    </row>
    <row r="3424" spans="2:7" x14ac:dyDescent="0.25">
      <c r="B3424" s="25"/>
      <c r="C3424" s="7"/>
      <c r="D3424" s="7"/>
      <c r="E3424" s="27"/>
      <c r="F3424" s="27"/>
      <c r="G3424" s="7"/>
    </row>
    <row r="3425" spans="2:7" x14ac:dyDescent="0.25">
      <c r="B3425" s="25"/>
      <c r="C3425" s="7"/>
      <c r="D3425" s="7"/>
      <c r="E3425" s="27"/>
      <c r="F3425" s="27"/>
      <c r="G3425" s="7"/>
    </row>
    <row r="3426" spans="2:7" x14ac:dyDescent="0.25">
      <c r="B3426" s="25"/>
      <c r="C3426" s="7"/>
      <c r="D3426" s="7"/>
      <c r="E3426" s="27"/>
      <c r="F3426" s="27"/>
      <c r="G3426" s="7"/>
    </row>
    <row r="3427" spans="2:7" x14ac:dyDescent="0.25">
      <c r="B3427" s="25"/>
      <c r="C3427" s="7"/>
      <c r="D3427" s="7"/>
      <c r="E3427" s="27"/>
      <c r="F3427" s="27"/>
      <c r="G3427" s="7"/>
    </row>
    <row r="3428" spans="2:7" x14ac:dyDescent="0.25">
      <c r="B3428" s="25"/>
      <c r="C3428" s="7"/>
      <c r="D3428" s="7"/>
      <c r="E3428" s="27"/>
      <c r="F3428" s="27"/>
      <c r="G3428" s="7"/>
    </row>
    <row r="3429" spans="2:7" x14ac:dyDescent="0.25">
      <c r="B3429" s="25"/>
      <c r="C3429" s="7"/>
      <c r="D3429" s="7"/>
      <c r="E3429" s="27"/>
      <c r="F3429" s="27"/>
      <c r="G3429" s="7"/>
    </row>
    <row r="3430" spans="2:7" x14ac:dyDescent="0.25">
      <c r="B3430" s="25"/>
      <c r="C3430" s="7"/>
      <c r="D3430" s="7"/>
      <c r="E3430" s="27"/>
      <c r="F3430" s="27"/>
      <c r="G3430" s="7"/>
    </row>
    <row r="3431" spans="2:7" x14ac:dyDescent="0.25">
      <c r="B3431" s="25"/>
      <c r="C3431" s="7"/>
      <c r="D3431" s="7"/>
      <c r="E3431" s="27"/>
      <c r="F3431" s="27"/>
      <c r="G3431" s="7"/>
    </row>
    <row r="3432" spans="2:7" x14ac:dyDescent="0.25">
      <c r="B3432" s="25"/>
      <c r="C3432" s="7"/>
      <c r="D3432" s="7"/>
      <c r="E3432" s="27"/>
      <c r="F3432" s="27"/>
      <c r="G3432" s="7"/>
    </row>
    <row r="3433" spans="2:7" x14ac:dyDescent="0.25">
      <c r="B3433" s="25"/>
      <c r="C3433" s="7"/>
      <c r="D3433" s="7"/>
      <c r="E3433" s="27"/>
      <c r="F3433" s="27"/>
      <c r="G3433" s="7"/>
    </row>
    <row r="3434" spans="2:7" x14ac:dyDescent="0.25">
      <c r="B3434" s="25"/>
      <c r="C3434" s="7"/>
      <c r="D3434" s="7"/>
      <c r="E3434" s="27"/>
      <c r="F3434" s="27"/>
      <c r="G3434" s="7"/>
    </row>
    <row r="3435" spans="2:7" x14ac:dyDescent="0.25">
      <c r="B3435" s="25"/>
      <c r="C3435" s="7"/>
      <c r="D3435" s="7"/>
      <c r="E3435" s="27"/>
      <c r="F3435" s="27"/>
      <c r="G3435" s="7"/>
    </row>
    <row r="3436" spans="2:7" x14ac:dyDescent="0.25">
      <c r="B3436" s="25"/>
      <c r="C3436" s="7"/>
      <c r="D3436" s="7"/>
      <c r="E3436" s="27"/>
      <c r="F3436" s="27"/>
      <c r="G3436" s="7"/>
    </row>
    <row r="3437" spans="2:7" x14ac:dyDescent="0.25">
      <c r="B3437" s="25"/>
      <c r="C3437" s="7"/>
      <c r="D3437" s="7"/>
      <c r="E3437" s="27"/>
      <c r="F3437" s="27"/>
      <c r="G3437" s="7"/>
    </row>
    <row r="3438" spans="2:7" x14ac:dyDescent="0.25">
      <c r="B3438" s="25"/>
      <c r="C3438" s="7"/>
      <c r="D3438" s="7"/>
      <c r="E3438" s="27"/>
      <c r="F3438" s="27"/>
      <c r="G3438" s="7"/>
    </row>
    <row r="3439" spans="2:7" x14ac:dyDescent="0.25">
      <c r="B3439" s="25"/>
      <c r="C3439" s="7"/>
      <c r="D3439" s="7"/>
      <c r="E3439" s="27"/>
      <c r="F3439" s="27"/>
      <c r="G3439" s="7"/>
    </row>
    <row r="3440" spans="2:7" x14ac:dyDescent="0.25">
      <c r="B3440" s="25"/>
      <c r="C3440" s="7"/>
      <c r="D3440" s="7"/>
      <c r="E3440" s="27"/>
      <c r="F3440" s="27"/>
      <c r="G3440" s="7"/>
    </row>
    <row r="3441" spans="2:7" x14ac:dyDescent="0.25">
      <c r="B3441" s="25"/>
      <c r="C3441" s="7"/>
      <c r="D3441" s="7"/>
      <c r="E3441" s="27"/>
      <c r="F3441" s="27"/>
      <c r="G3441" s="7"/>
    </row>
    <row r="3442" spans="2:7" x14ac:dyDescent="0.25">
      <c r="B3442" s="25"/>
      <c r="C3442" s="7"/>
      <c r="D3442" s="7"/>
      <c r="E3442" s="27"/>
      <c r="F3442" s="27"/>
      <c r="G3442" s="7"/>
    </row>
    <row r="3443" spans="2:7" x14ac:dyDescent="0.25">
      <c r="B3443" s="25"/>
      <c r="C3443" s="7"/>
      <c r="D3443" s="7"/>
      <c r="E3443" s="27"/>
      <c r="F3443" s="27"/>
      <c r="G3443" s="7"/>
    </row>
    <row r="3444" spans="2:7" x14ac:dyDescent="0.25">
      <c r="B3444" s="25"/>
      <c r="C3444" s="7"/>
      <c r="D3444" s="7"/>
      <c r="E3444" s="27"/>
      <c r="F3444" s="27"/>
      <c r="G3444" s="7"/>
    </row>
    <row r="3445" spans="2:7" x14ac:dyDescent="0.25">
      <c r="B3445" s="25"/>
      <c r="C3445" s="7"/>
      <c r="D3445" s="7"/>
      <c r="E3445" s="27"/>
      <c r="F3445" s="27"/>
      <c r="G3445" s="7"/>
    </row>
    <row r="3446" spans="2:7" x14ac:dyDescent="0.25">
      <c r="B3446" s="25"/>
      <c r="C3446" s="7"/>
      <c r="D3446" s="7"/>
      <c r="E3446" s="27"/>
      <c r="F3446" s="27"/>
      <c r="G3446" s="7"/>
    </row>
    <row r="3447" spans="2:7" x14ac:dyDescent="0.25">
      <c r="B3447" s="25"/>
      <c r="C3447" s="7"/>
      <c r="D3447" s="7"/>
      <c r="E3447" s="27"/>
      <c r="F3447" s="27"/>
      <c r="G3447" s="7"/>
    </row>
    <row r="3448" spans="2:7" x14ac:dyDescent="0.25">
      <c r="B3448" s="25"/>
      <c r="C3448" s="7"/>
      <c r="D3448" s="7"/>
      <c r="E3448" s="27"/>
      <c r="F3448" s="27"/>
      <c r="G3448" s="7"/>
    </row>
    <row r="3449" spans="2:7" x14ac:dyDescent="0.25">
      <c r="B3449" s="25"/>
      <c r="C3449" s="7"/>
      <c r="D3449" s="7"/>
      <c r="E3449" s="27"/>
      <c r="F3449" s="27"/>
      <c r="G3449" s="7"/>
    </row>
    <row r="3450" spans="2:7" x14ac:dyDescent="0.25">
      <c r="B3450" s="25"/>
      <c r="C3450" s="7"/>
      <c r="D3450" s="7"/>
      <c r="E3450" s="27"/>
      <c r="F3450" s="27"/>
      <c r="G3450" s="7"/>
    </row>
    <row r="3451" spans="2:7" x14ac:dyDescent="0.25">
      <c r="B3451" s="25"/>
      <c r="C3451" s="7"/>
      <c r="D3451" s="7"/>
      <c r="E3451" s="27"/>
      <c r="F3451" s="27"/>
      <c r="G3451" s="7"/>
    </row>
    <row r="3452" spans="2:7" x14ac:dyDescent="0.25">
      <c r="B3452" s="25"/>
      <c r="C3452" s="7"/>
      <c r="D3452" s="7"/>
      <c r="E3452" s="27"/>
      <c r="F3452" s="27"/>
      <c r="G3452" s="7"/>
    </row>
    <row r="3453" spans="2:7" x14ac:dyDescent="0.25">
      <c r="B3453" s="25"/>
      <c r="C3453" s="7"/>
      <c r="D3453" s="7"/>
      <c r="E3453" s="27"/>
      <c r="F3453" s="27"/>
      <c r="G3453" s="7"/>
    </row>
    <row r="3454" spans="2:7" x14ac:dyDescent="0.25">
      <c r="B3454" s="25"/>
      <c r="C3454" s="7"/>
      <c r="D3454" s="7"/>
      <c r="E3454" s="27"/>
      <c r="F3454" s="27"/>
      <c r="G3454" s="7"/>
    </row>
    <row r="3455" spans="2:7" x14ac:dyDescent="0.25">
      <c r="B3455" s="25"/>
      <c r="C3455" s="7"/>
      <c r="D3455" s="7"/>
      <c r="E3455" s="27"/>
      <c r="F3455" s="27"/>
      <c r="G3455" s="7"/>
    </row>
    <row r="3456" spans="2:7" x14ac:dyDescent="0.25">
      <c r="B3456" s="25"/>
      <c r="C3456" s="7"/>
      <c r="D3456" s="7"/>
      <c r="E3456" s="27"/>
      <c r="F3456" s="27"/>
      <c r="G3456" s="7"/>
    </row>
    <row r="3457" spans="2:7" x14ac:dyDescent="0.25">
      <c r="B3457" s="25"/>
      <c r="C3457" s="7"/>
      <c r="D3457" s="7"/>
      <c r="E3457" s="27"/>
      <c r="F3457" s="27"/>
      <c r="G3457" s="7"/>
    </row>
    <row r="3458" spans="2:7" x14ac:dyDescent="0.25">
      <c r="B3458" s="25"/>
      <c r="C3458" s="7"/>
      <c r="D3458" s="7"/>
      <c r="E3458" s="27"/>
      <c r="F3458" s="27"/>
      <c r="G3458" s="7"/>
    </row>
    <row r="3459" spans="2:7" x14ac:dyDescent="0.25">
      <c r="B3459" s="25"/>
      <c r="C3459" s="7"/>
      <c r="D3459" s="7"/>
      <c r="E3459" s="27"/>
      <c r="F3459" s="27"/>
      <c r="G3459" s="7"/>
    </row>
    <row r="3460" spans="2:7" x14ac:dyDescent="0.25">
      <c r="B3460" s="25"/>
      <c r="C3460" s="7"/>
      <c r="D3460" s="7"/>
      <c r="E3460" s="27"/>
      <c r="F3460" s="27"/>
      <c r="G3460" s="7"/>
    </row>
    <row r="3461" spans="2:7" x14ac:dyDescent="0.25">
      <c r="B3461" s="25"/>
      <c r="C3461" s="7"/>
      <c r="D3461" s="7"/>
      <c r="E3461" s="27"/>
      <c r="F3461" s="27"/>
      <c r="G3461" s="7"/>
    </row>
    <row r="3462" spans="2:7" x14ac:dyDescent="0.25">
      <c r="B3462" s="25"/>
      <c r="C3462" s="7"/>
      <c r="D3462" s="7"/>
      <c r="E3462" s="27"/>
      <c r="F3462" s="27"/>
      <c r="G3462" s="7"/>
    </row>
    <row r="3463" spans="2:7" x14ac:dyDescent="0.25">
      <c r="B3463" s="25"/>
      <c r="C3463" s="7"/>
      <c r="D3463" s="7"/>
      <c r="E3463" s="27"/>
      <c r="F3463" s="27"/>
      <c r="G3463" s="7"/>
    </row>
    <row r="3464" spans="2:7" x14ac:dyDescent="0.25">
      <c r="B3464" s="25"/>
      <c r="C3464" s="7"/>
      <c r="D3464" s="7"/>
      <c r="E3464" s="27"/>
      <c r="F3464" s="27"/>
      <c r="G3464" s="7"/>
    </row>
    <row r="3465" spans="2:7" x14ac:dyDescent="0.25">
      <c r="B3465" s="25"/>
      <c r="C3465" s="7"/>
      <c r="D3465" s="7"/>
      <c r="E3465" s="27"/>
      <c r="F3465" s="27"/>
      <c r="G3465" s="7"/>
    </row>
    <row r="3466" spans="2:7" x14ac:dyDescent="0.25">
      <c r="B3466" s="25"/>
      <c r="C3466" s="7"/>
      <c r="D3466" s="7"/>
      <c r="E3466" s="27"/>
      <c r="F3466" s="27"/>
      <c r="G3466" s="7"/>
    </row>
    <row r="3467" spans="2:7" x14ac:dyDescent="0.25">
      <c r="B3467" s="25"/>
      <c r="C3467" s="7"/>
      <c r="D3467" s="7"/>
      <c r="E3467" s="27"/>
      <c r="F3467" s="27"/>
      <c r="G3467" s="7"/>
    </row>
    <row r="3468" spans="2:7" x14ac:dyDescent="0.25">
      <c r="B3468" s="25"/>
      <c r="C3468" s="7"/>
      <c r="D3468" s="7"/>
      <c r="E3468" s="27"/>
      <c r="F3468" s="27"/>
      <c r="G3468" s="7"/>
    </row>
    <row r="3469" spans="2:7" x14ac:dyDescent="0.25">
      <c r="B3469" s="25"/>
      <c r="C3469" s="7"/>
      <c r="D3469" s="7"/>
      <c r="E3469" s="27"/>
      <c r="F3469" s="27"/>
      <c r="G3469" s="7"/>
    </row>
    <row r="3470" spans="2:7" x14ac:dyDescent="0.25">
      <c r="B3470" s="25"/>
      <c r="C3470" s="7"/>
      <c r="D3470" s="7"/>
      <c r="E3470" s="27"/>
      <c r="F3470" s="27"/>
      <c r="G3470" s="7"/>
    </row>
    <row r="3471" spans="2:7" x14ac:dyDescent="0.25">
      <c r="B3471" s="25"/>
      <c r="C3471" s="7"/>
      <c r="D3471" s="7"/>
      <c r="E3471" s="27"/>
      <c r="F3471" s="27"/>
      <c r="G3471" s="7"/>
    </row>
    <row r="3472" spans="2:7" x14ac:dyDescent="0.25">
      <c r="B3472" s="25"/>
      <c r="C3472" s="7"/>
      <c r="D3472" s="7"/>
      <c r="E3472" s="27"/>
      <c r="F3472" s="27"/>
      <c r="G3472" s="7"/>
    </row>
    <row r="3473" spans="2:7" x14ac:dyDescent="0.25">
      <c r="B3473" s="25"/>
      <c r="C3473" s="7"/>
      <c r="D3473" s="7"/>
      <c r="E3473" s="27"/>
      <c r="F3473" s="27"/>
      <c r="G3473" s="7"/>
    </row>
    <row r="3474" spans="2:7" x14ac:dyDescent="0.25">
      <c r="B3474" s="25"/>
      <c r="C3474" s="7"/>
      <c r="D3474" s="7"/>
      <c r="E3474" s="27"/>
      <c r="F3474" s="27"/>
      <c r="G3474" s="7"/>
    </row>
    <row r="3475" spans="2:7" x14ac:dyDescent="0.25">
      <c r="B3475" s="25"/>
      <c r="C3475" s="7"/>
      <c r="D3475" s="7"/>
      <c r="E3475" s="27"/>
      <c r="F3475" s="27"/>
      <c r="G3475" s="7"/>
    </row>
    <row r="3476" spans="2:7" x14ac:dyDescent="0.25">
      <c r="B3476" s="25"/>
      <c r="C3476" s="7"/>
      <c r="D3476" s="7"/>
      <c r="E3476" s="27"/>
      <c r="F3476" s="27"/>
      <c r="G3476" s="7"/>
    </row>
    <row r="3477" spans="2:7" x14ac:dyDescent="0.25">
      <c r="B3477" s="25"/>
      <c r="C3477" s="7"/>
      <c r="D3477" s="7"/>
      <c r="E3477" s="27"/>
      <c r="F3477" s="27"/>
      <c r="G3477" s="7"/>
    </row>
    <row r="3478" spans="2:7" x14ac:dyDescent="0.25">
      <c r="B3478" s="25"/>
      <c r="C3478" s="7"/>
      <c r="D3478" s="7"/>
      <c r="E3478" s="27"/>
      <c r="F3478" s="27"/>
      <c r="G3478" s="7"/>
    </row>
    <row r="3479" spans="2:7" x14ac:dyDescent="0.25">
      <c r="B3479" s="25"/>
      <c r="C3479" s="7"/>
      <c r="D3479" s="7"/>
      <c r="E3479" s="27"/>
      <c r="F3479" s="27"/>
      <c r="G3479" s="7"/>
    </row>
    <row r="3480" spans="2:7" x14ac:dyDescent="0.25">
      <c r="B3480" s="25"/>
      <c r="C3480" s="7"/>
      <c r="D3480" s="7"/>
      <c r="E3480" s="27"/>
      <c r="F3480" s="27"/>
      <c r="G3480" s="7"/>
    </row>
    <row r="3481" spans="2:7" x14ac:dyDescent="0.25">
      <c r="B3481" s="25"/>
      <c r="C3481" s="7"/>
      <c r="D3481" s="7"/>
      <c r="E3481" s="27"/>
      <c r="F3481" s="27"/>
      <c r="G3481" s="7"/>
    </row>
    <row r="3482" spans="2:7" x14ac:dyDescent="0.25">
      <c r="B3482" s="25"/>
      <c r="C3482" s="7"/>
      <c r="D3482" s="7"/>
      <c r="E3482" s="27"/>
      <c r="F3482" s="27"/>
      <c r="G3482" s="7"/>
    </row>
    <row r="3483" spans="2:7" x14ac:dyDescent="0.25">
      <c r="B3483" s="25"/>
      <c r="C3483" s="7"/>
      <c r="D3483" s="7"/>
      <c r="E3483" s="27"/>
      <c r="F3483" s="27"/>
      <c r="G3483" s="7"/>
    </row>
    <row r="3484" spans="2:7" x14ac:dyDescent="0.25">
      <c r="B3484" s="25"/>
      <c r="C3484" s="7"/>
      <c r="D3484" s="7"/>
      <c r="E3484" s="27"/>
      <c r="F3484" s="27"/>
      <c r="G3484" s="7"/>
    </row>
    <row r="3485" spans="2:7" x14ac:dyDescent="0.25">
      <c r="B3485" s="25"/>
      <c r="C3485" s="7"/>
      <c r="D3485" s="7"/>
      <c r="E3485" s="27"/>
      <c r="F3485" s="27"/>
      <c r="G3485" s="7"/>
    </row>
    <row r="3486" spans="2:7" x14ac:dyDescent="0.25">
      <c r="B3486" s="25"/>
      <c r="C3486" s="7"/>
      <c r="D3486" s="7"/>
      <c r="E3486" s="27"/>
      <c r="F3486" s="27"/>
      <c r="G3486" s="7"/>
    </row>
    <row r="3487" spans="2:7" x14ac:dyDescent="0.25">
      <c r="B3487" s="25"/>
      <c r="C3487" s="7"/>
      <c r="D3487" s="7"/>
      <c r="E3487" s="27"/>
      <c r="F3487" s="27"/>
      <c r="G3487" s="7"/>
    </row>
    <row r="3488" spans="2:7" x14ac:dyDescent="0.25">
      <c r="B3488" s="25"/>
      <c r="C3488" s="7"/>
      <c r="D3488" s="7"/>
      <c r="E3488" s="27"/>
      <c r="F3488" s="27"/>
      <c r="G3488" s="7"/>
    </row>
    <row r="3489" spans="2:7" x14ac:dyDescent="0.25">
      <c r="B3489" s="25"/>
      <c r="C3489" s="7"/>
      <c r="D3489" s="7"/>
      <c r="E3489" s="27"/>
      <c r="F3489" s="27"/>
      <c r="G3489" s="7"/>
    </row>
    <row r="3490" spans="2:7" x14ac:dyDescent="0.25">
      <c r="B3490" s="25"/>
      <c r="C3490" s="7"/>
      <c r="D3490" s="7"/>
      <c r="E3490" s="27"/>
      <c r="F3490" s="27"/>
      <c r="G3490" s="7"/>
    </row>
    <row r="3491" spans="2:7" x14ac:dyDescent="0.25">
      <c r="B3491" s="25"/>
      <c r="C3491" s="7"/>
      <c r="D3491" s="7"/>
      <c r="E3491" s="27"/>
      <c r="F3491" s="27"/>
      <c r="G3491" s="7"/>
    </row>
    <row r="3492" spans="2:7" x14ac:dyDescent="0.25">
      <c r="B3492" s="25"/>
      <c r="C3492" s="7"/>
      <c r="D3492" s="7"/>
      <c r="E3492" s="27"/>
      <c r="F3492" s="27"/>
      <c r="G3492" s="7"/>
    </row>
    <row r="3493" spans="2:7" x14ac:dyDescent="0.25">
      <c r="B3493" s="25"/>
      <c r="C3493" s="7"/>
      <c r="D3493" s="7"/>
      <c r="E3493" s="27"/>
      <c r="F3493" s="27"/>
      <c r="G3493" s="7"/>
    </row>
    <row r="3494" spans="2:7" x14ac:dyDescent="0.25">
      <c r="B3494" s="25"/>
      <c r="C3494" s="7"/>
      <c r="D3494" s="7"/>
      <c r="E3494" s="27"/>
      <c r="F3494" s="27"/>
      <c r="G3494" s="7"/>
    </row>
    <row r="3495" spans="2:7" x14ac:dyDescent="0.25">
      <c r="B3495" s="25"/>
      <c r="C3495" s="7"/>
      <c r="D3495" s="7"/>
      <c r="E3495" s="27"/>
      <c r="F3495" s="27"/>
      <c r="G3495" s="7"/>
    </row>
    <row r="3496" spans="2:7" x14ac:dyDescent="0.25">
      <c r="B3496" s="25"/>
      <c r="C3496" s="7"/>
      <c r="D3496" s="7"/>
      <c r="E3496" s="27"/>
      <c r="F3496" s="27"/>
      <c r="G3496" s="7"/>
    </row>
    <row r="3497" spans="2:7" x14ac:dyDescent="0.25">
      <c r="B3497" s="25"/>
      <c r="C3497" s="7"/>
      <c r="D3497" s="7"/>
      <c r="E3497" s="27"/>
      <c r="F3497" s="27"/>
      <c r="G3497" s="7"/>
    </row>
    <row r="3498" spans="2:7" x14ac:dyDescent="0.25">
      <c r="B3498" s="25"/>
      <c r="C3498" s="7"/>
      <c r="D3498" s="7"/>
      <c r="E3498" s="27"/>
      <c r="F3498" s="27"/>
      <c r="G3498" s="7"/>
    </row>
    <row r="3499" spans="2:7" x14ac:dyDescent="0.25">
      <c r="B3499" s="25"/>
      <c r="C3499" s="7"/>
      <c r="D3499" s="7"/>
      <c r="E3499" s="27"/>
      <c r="F3499" s="27"/>
      <c r="G3499" s="7"/>
    </row>
    <row r="3500" spans="2:7" x14ac:dyDescent="0.25">
      <c r="B3500" s="25"/>
      <c r="C3500" s="7"/>
      <c r="D3500" s="7"/>
      <c r="E3500" s="27"/>
      <c r="F3500" s="27"/>
      <c r="G3500" s="7"/>
    </row>
    <row r="3501" spans="2:7" x14ac:dyDescent="0.25">
      <c r="B3501" s="25"/>
      <c r="C3501" s="7"/>
      <c r="D3501" s="7"/>
      <c r="E3501" s="27"/>
      <c r="F3501" s="27"/>
      <c r="G3501" s="7"/>
    </row>
    <row r="3502" spans="2:7" x14ac:dyDescent="0.25">
      <c r="B3502" s="25"/>
      <c r="C3502" s="7"/>
      <c r="D3502" s="7"/>
      <c r="E3502" s="27"/>
      <c r="F3502" s="27"/>
      <c r="G3502" s="7"/>
    </row>
    <row r="3503" spans="2:7" x14ac:dyDescent="0.25">
      <c r="B3503" s="25"/>
      <c r="C3503" s="7"/>
      <c r="D3503" s="7"/>
      <c r="E3503" s="27"/>
      <c r="F3503" s="27"/>
      <c r="G3503" s="7"/>
    </row>
    <row r="3504" spans="2:7" x14ac:dyDescent="0.25">
      <c r="B3504" s="25"/>
      <c r="C3504" s="7"/>
      <c r="D3504" s="7"/>
      <c r="E3504" s="27"/>
      <c r="F3504" s="27"/>
      <c r="G3504" s="7"/>
    </row>
    <row r="3505" spans="2:7" x14ac:dyDescent="0.25">
      <c r="B3505" s="25"/>
      <c r="C3505" s="7"/>
      <c r="D3505" s="7"/>
      <c r="E3505" s="27"/>
      <c r="F3505" s="27"/>
      <c r="G3505" s="7"/>
    </row>
    <row r="3506" spans="2:7" x14ac:dyDescent="0.25">
      <c r="B3506" s="25"/>
      <c r="C3506" s="7"/>
      <c r="D3506" s="7"/>
      <c r="E3506" s="27"/>
      <c r="F3506" s="27"/>
      <c r="G3506" s="7"/>
    </row>
    <row r="3507" spans="2:7" x14ac:dyDescent="0.25">
      <c r="B3507" s="25"/>
      <c r="C3507" s="7"/>
      <c r="D3507" s="7"/>
      <c r="E3507" s="27"/>
      <c r="F3507" s="27"/>
      <c r="G3507" s="7"/>
    </row>
    <row r="3508" spans="2:7" x14ac:dyDescent="0.25">
      <c r="B3508" s="25"/>
      <c r="C3508" s="7"/>
      <c r="D3508" s="7"/>
      <c r="E3508" s="27"/>
      <c r="F3508" s="27"/>
      <c r="G3508" s="7"/>
    </row>
    <row r="3509" spans="2:7" x14ac:dyDescent="0.25">
      <c r="B3509" s="25"/>
      <c r="C3509" s="7"/>
      <c r="D3509" s="7"/>
      <c r="E3509" s="27"/>
      <c r="F3509" s="27"/>
      <c r="G3509" s="7"/>
    </row>
    <row r="3510" spans="2:7" x14ac:dyDescent="0.25">
      <c r="B3510" s="25"/>
      <c r="C3510" s="7"/>
      <c r="D3510" s="7"/>
      <c r="E3510" s="27"/>
      <c r="F3510" s="27"/>
      <c r="G3510" s="7"/>
    </row>
    <row r="3511" spans="2:7" x14ac:dyDescent="0.25">
      <c r="B3511" s="25"/>
      <c r="C3511" s="7"/>
      <c r="D3511" s="7"/>
      <c r="E3511" s="27"/>
      <c r="F3511" s="27"/>
      <c r="G3511" s="7"/>
    </row>
    <row r="3512" spans="2:7" x14ac:dyDescent="0.25">
      <c r="B3512" s="25"/>
      <c r="C3512" s="7"/>
      <c r="D3512" s="7"/>
      <c r="E3512" s="27"/>
      <c r="F3512" s="27"/>
      <c r="G3512" s="7"/>
    </row>
    <row r="3513" spans="2:7" x14ac:dyDescent="0.25">
      <c r="B3513" s="25"/>
      <c r="C3513" s="7"/>
      <c r="D3513" s="7"/>
      <c r="E3513" s="27"/>
      <c r="F3513" s="27"/>
      <c r="G3513" s="7"/>
    </row>
    <row r="3514" spans="2:7" x14ac:dyDescent="0.25">
      <c r="B3514" s="25"/>
      <c r="C3514" s="7"/>
      <c r="D3514" s="7"/>
      <c r="E3514" s="27"/>
      <c r="F3514" s="27"/>
      <c r="G3514" s="7"/>
    </row>
    <row r="3515" spans="2:7" x14ac:dyDescent="0.25">
      <c r="B3515" s="25"/>
      <c r="C3515" s="7"/>
      <c r="D3515" s="7"/>
      <c r="E3515" s="27"/>
      <c r="F3515" s="27"/>
      <c r="G3515" s="7"/>
    </row>
    <row r="3516" spans="2:7" x14ac:dyDescent="0.25">
      <c r="B3516" s="25"/>
      <c r="C3516" s="7"/>
      <c r="D3516" s="7"/>
      <c r="E3516" s="27"/>
      <c r="F3516" s="27"/>
      <c r="G3516" s="7"/>
    </row>
    <row r="3517" spans="2:7" x14ac:dyDescent="0.25">
      <c r="B3517" s="25"/>
      <c r="C3517" s="7"/>
      <c r="D3517" s="7"/>
      <c r="E3517" s="27"/>
      <c r="F3517" s="27"/>
      <c r="G3517" s="7"/>
    </row>
    <row r="3518" spans="2:7" x14ac:dyDescent="0.25">
      <c r="B3518" s="25"/>
      <c r="C3518" s="7"/>
      <c r="D3518" s="7"/>
      <c r="E3518" s="27"/>
      <c r="F3518" s="27"/>
      <c r="G3518" s="7"/>
    </row>
    <row r="3519" spans="2:7" x14ac:dyDescent="0.25">
      <c r="B3519" s="25"/>
      <c r="C3519" s="7"/>
      <c r="D3519" s="7"/>
      <c r="E3519" s="27"/>
      <c r="F3519" s="27"/>
      <c r="G3519" s="7"/>
    </row>
    <row r="3520" spans="2:7" x14ac:dyDescent="0.25">
      <c r="B3520" s="25"/>
      <c r="C3520" s="7"/>
      <c r="D3520" s="7"/>
      <c r="E3520" s="27"/>
      <c r="F3520" s="27"/>
      <c r="G3520" s="7"/>
    </row>
    <row r="3521" spans="2:7" x14ac:dyDescent="0.25">
      <c r="B3521" s="25"/>
      <c r="C3521" s="7"/>
      <c r="D3521" s="7"/>
      <c r="E3521" s="27"/>
      <c r="F3521" s="27"/>
      <c r="G3521" s="7"/>
    </row>
    <row r="3522" spans="2:7" x14ac:dyDescent="0.25">
      <c r="B3522" s="25"/>
      <c r="C3522" s="7"/>
      <c r="D3522" s="7"/>
      <c r="E3522" s="27"/>
      <c r="F3522" s="27"/>
      <c r="G3522" s="7"/>
    </row>
    <row r="3523" spans="2:7" x14ac:dyDescent="0.25">
      <c r="B3523" s="25"/>
      <c r="C3523" s="7"/>
      <c r="D3523" s="7"/>
      <c r="E3523" s="27"/>
      <c r="F3523" s="27"/>
      <c r="G3523" s="7"/>
    </row>
    <row r="3524" spans="2:7" x14ac:dyDescent="0.25">
      <c r="B3524" s="25"/>
      <c r="C3524" s="7"/>
      <c r="D3524" s="7"/>
      <c r="E3524" s="27"/>
      <c r="F3524" s="27"/>
      <c r="G3524" s="7"/>
    </row>
    <row r="3525" spans="2:7" x14ac:dyDescent="0.25">
      <c r="B3525" s="25"/>
      <c r="C3525" s="7"/>
      <c r="D3525" s="7"/>
      <c r="E3525" s="27"/>
      <c r="F3525" s="27"/>
      <c r="G3525" s="7"/>
    </row>
    <row r="3526" spans="2:7" x14ac:dyDescent="0.25">
      <c r="B3526" s="25"/>
      <c r="C3526" s="7"/>
      <c r="D3526" s="7"/>
      <c r="E3526" s="27"/>
      <c r="F3526" s="27"/>
      <c r="G3526" s="7"/>
    </row>
    <row r="3527" spans="2:7" x14ac:dyDescent="0.25">
      <c r="B3527" s="25"/>
      <c r="C3527" s="7"/>
      <c r="D3527" s="7"/>
      <c r="E3527" s="27"/>
      <c r="F3527" s="27"/>
      <c r="G3527" s="7"/>
    </row>
    <row r="3528" spans="2:7" x14ac:dyDescent="0.25">
      <c r="B3528" s="25"/>
      <c r="C3528" s="7"/>
      <c r="D3528" s="7"/>
      <c r="E3528" s="27"/>
      <c r="F3528" s="27"/>
      <c r="G3528" s="7"/>
    </row>
    <row r="3529" spans="2:7" x14ac:dyDescent="0.25">
      <c r="B3529" s="25"/>
      <c r="C3529" s="7"/>
      <c r="D3529" s="7"/>
      <c r="E3529" s="27"/>
      <c r="F3529" s="27"/>
      <c r="G3529" s="7"/>
    </row>
    <row r="3530" spans="2:7" x14ac:dyDescent="0.25">
      <c r="B3530" s="25"/>
      <c r="C3530" s="7"/>
      <c r="D3530" s="7"/>
      <c r="E3530" s="27"/>
      <c r="F3530" s="27"/>
      <c r="G3530" s="7"/>
    </row>
    <row r="3531" spans="2:7" x14ac:dyDescent="0.25">
      <c r="B3531" s="25"/>
      <c r="C3531" s="7"/>
      <c r="D3531" s="7"/>
      <c r="E3531" s="27"/>
      <c r="F3531" s="27"/>
      <c r="G3531" s="7"/>
    </row>
    <row r="3532" spans="2:7" x14ac:dyDescent="0.25">
      <c r="B3532" s="25"/>
      <c r="C3532" s="7"/>
      <c r="D3532" s="7"/>
      <c r="E3532" s="27"/>
      <c r="F3532" s="27"/>
      <c r="G3532" s="7"/>
    </row>
    <row r="3533" spans="2:7" x14ac:dyDescent="0.25">
      <c r="B3533" s="25"/>
      <c r="C3533" s="7"/>
      <c r="D3533" s="7"/>
      <c r="E3533" s="27"/>
      <c r="F3533" s="27"/>
      <c r="G3533" s="7"/>
    </row>
    <row r="3534" spans="2:7" x14ac:dyDescent="0.25">
      <c r="B3534" s="25"/>
      <c r="C3534" s="7"/>
      <c r="D3534" s="7"/>
      <c r="E3534" s="27"/>
      <c r="F3534" s="27"/>
      <c r="G3534" s="7"/>
    </row>
    <row r="3535" spans="2:7" x14ac:dyDescent="0.25">
      <c r="B3535" s="25"/>
      <c r="C3535" s="7"/>
      <c r="D3535" s="7"/>
      <c r="E3535" s="27"/>
      <c r="F3535" s="27"/>
      <c r="G3535" s="7"/>
    </row>
    <row r="3536" spans="2:7" x14ac:dyDescent="0.25">
      <c r="B3536" s="25"/>
      <c r="C3536" s="7"/>
      <c r="D3536" s="7"/>
      <c r="E3536" s="27"/>
      <c r="F3536" s="27"/>
      <c r="G3536" s="7"/>
    </row>
    <row r="3537" spans="2:7" x14ac:dyDescent="0.25">
      <c r="B3537" s="25"/>
      <c r="C3537" s="7"/>
      <c r="D3537" s="7"/>
      <c r="E3537" s="27"/>
      <c r="F3537" s="27"/>
      <c r="G3537" s="7"/>
    </row>
    <row r="3538" spans="2:7" x14ac:dyDescent="0.25">
      <c r="B3538" s="25"/>
      <c r="C3538" s="7"/>
      <c r="D3538" s="7"/>
      <c r="E3538" s="27"/>
      <c r="F3538" s="27"/>
      <c r="G3538" s="7"/>
    </row>
    <row r="3539" spans="2:7" x14ac:dyDescent="0.25">
      <c r="B3539" s="25"/>
      <c r="C3539" s="7"/>
      <c r="D3539" s="7"/>
      <c r="E3539" s="27"/>
      <c r="F3539" s="27"/>
      <c r="G3539" s="7"/>
    </row>
    <row r="3540" spans="2:7" x14ac:dyDescent="0.25">
      <c r="B3540" s="25"/>
      <c r="C3540" s="7"/>
      <c r="D3540" s="7"/>
      <c r="E3540" s="27"/>
      <c r="F3540" s="27"/>
      <c r="G3540" s="7"/>
    </row>
    <row r="3541" spans="2:7" x14ac:dyDescent="0.25">
      <c r="B3541" s="25"/>
      <c r="C3541" s="7"/>
      <c r="D3541" s="7"/>
      <c r="E3541" s="27"/>
      <c r="F3541" s="27"/>
      <c r="G3541" s="7"/>
    </row>
    <row r="3542" spans="2:7" x14ac:dyDescent="0.25">
      <c r="B3542" s="25"/>
      <c r="C3542" s="7"/>
      <c r="D3542" s="7"/>
      <c r="E3542" s="27"/>
      <c r="F3542" s="27"/>
      <c r="G3542" s="7"/>
    </row>
    <row r="3543" spans="2:7" x14ac:dyDescent="0.25">
      <c r="B3543" s="25"/>
      <c r="C3543" s="7"/>
      <c r="D3543" s="7"/>
      <c r="E3543" s="27"/>
      <c r="F3543" s="27"/>
      <c r="G3543" s="7"/>
    </row>
    <row r="3544" spans="2:7" x14ac:dyDescent="0.25">
      <c r="B3544" s="25"/>
      <c r="C3544" s="7"/>
      <c r="D3544" s="7"/>
      <c r="E3544" s="27"/>
      <c r="F3544" s="27"/>
      <c r="G3544" s="7"/>
    </row>
    <row r="3545" spans="2:7" x14ac:dyDescent="0.25">
      <c r="B3545" s="25"/>
      <c r="C3545" s="7"/>
      <c r="D3545" s="7"/>
      <c r="E3545" s="27"/>
      <c r="F3545" s="27"/>
      <c r="G3545" s="7"/>
    </row>
    <row r="3546" spans="2:7" x14ac:dyDescent="0.25">
      <c r="B3546" s="25"/>
      <c r="C3546" s="7"/>
      <c r="D3546" s="7"/>
      <c r="E3546" s="27"/>
      <c r="F3546" s="27"/>
      <c r="G3546" s="7"/>
    </row>
    <row r="3547" spans="2:7" x14ac:dyDescent="0.25">
      <c r="B3547" s="25"/>
      <c r="C3547" s="7"/>
      <c r="D3547" s="7"/>
      <c r="E3547" s="27"/>
      <c r="F3547" s="27"/>
      <c r="G3547" s="7"/>
    </row>
    <row r="3548" spans="2:7" x14ac:dyDescent="0.25">
      <c r="B3548" s="25"/>
      <c r="C3548" s="7"/>
      <c r="D3548" s="7"/>
      <c r="E3548" s="27"/>
      <c r="F3548" s="27"/>
      <c r="G3548" s="7"/>
    </row>
    <row r="3549" spans="2:7" x14ac:dyDescent="0.25">
      <c r="B3549" s="25"/>
      <c r="C3549" s="7"/>
      <c r="D3549" s="7"/>
      <c r="E3549" s="27"/>
      <c r="F3549" s="27"/>
      <c r="G3549" s="7"/>
    </row>
    <row r="3550" spans="2:7" x14ac:dyDescent="0.25">
      <c r="B3550" s="25"/>
      <c r="C3550" s="7"/>
      <c r="D3550" s="7"/>
      <c r="E3550" s="27"/>
      <c r="F3550" s="27"/>
      <c r="G3550" s="7"/>
    </row>
    <row r="3551" spans="2:7" x14ac:dyDescent="0.25">
      <c r="B3551" s="25"/>
      <c r="C3551" s="7"/>
      <c r="D3551" s="7"/>
      <c r="E3551" s="27"/>
      <c r="F3551" s="27"/>
      <c r="G3551" s="7"/>
    </row>
    <row r="3552" spans="2:7" x14ac:dyDescent="0.25">
      <c r="B3552" s="25"/>
      <c r="C3552" s="7"/>
      <c r="D3552" s="7"/>
      <c r="E3552" s="27"/>
      <c r="F3552" s="27"/>
      <c r="G3552" s="7"/>
    </row>
    <row r="3553" spans="2:7" x14ac:dyDescent="0.25">
      <c r="B3553" s="25"/>
      <c r="C3553" s="7"/>
      <c r="D3553" s="7"/>
      <c r="E3553" s="27"/>
      <c r="F3553" s="27"/>
      <c r="G3553" s="7"/>
    </row>
    <row r="3554" spans="2:7" x14ac:dyDescent="0.25">
      <c r="B3554" s="25"/>
      <c r="C3554" s="7"/>
      <c r="D3554" s="7"/>
      <c r="E3554" s="27"/>
      <c r="F3554" s="27"/>
      <c r="G3554" s="7"/>
    </row>
    <row r="3555" spans="2:7" x14ac:dyDescent="0.25">
      <c r="B3555" s="25"/>
      <c r="C3555" s="7"/>
      <c r="D3555" s="7"/>
      <c r="E3555" s="27"/>
      <c r="F3555" s="27"/>
      <c r="G3555" s="7"/>
    </row>
    <row r="3556" spans="2:7" x14ac:dyDescent="0.25">
      <c r="B3556" s="25"/>
      <c r="C3556" s="7"/>
      <c r="D3556" s="7"/>
      <c r="E3556" s="27"/>
      <c r="F3556" s="27"/>
      <c r="G3556" s="7"/>
    </row>
    <row r="3557" spans="2:7" x14ac:dyDescent="0.25">
      <c r="B3557" s="25"/>
      <c r="C3557" s="7"/>
      <c r="D3557" s="7"/>
      <c r="E3557" s="27"/>
      <c r="F3557" s="27"/>
      <c r="G3557" s="7"/>
    </row>
    <row r="3558" spans="2:7" x14ac:dyDescent="0.25">
      <c r="B3558" s="25"/>
      <c r="C3558" s="7"/>
      <c r="D3558" s="7"/>
      <c r="E3558" s="27"/>
      <c r="F3558" s="27"/>
      <c r="G3558" s="7"/>
    </row>
    <row r="3559" spans="2:7" x14ac:dyDescent="0.25">
      <c r="B3559" s="25"/>
      <c r="C3559" s="7"/>
      <c r="D3559" s="7"/>
      <c r="E3559" s="27"/>
      <c r="F3559" s="27"/>
      <c r="G3559" s="7"/>
    </row>
    <row r="3560" spans="2:7" x14ac:dyDescent="0.25">
      <c r="B3560" s="25"/>
      <c r="C3560" s="7"/>
      <c r="D3560" s="7"/>
      <c r="E3560" s="27"/>
      <c r="F3560" s="27"/>
      <c r="G3560" s="7"/>
    </row>
    <row r="3561" spans="2:7" x14ac:dyDescent="0.25">
      <c r="B3561" s="25"/>
      <c r="C3561" s="7"/>
      <c r="D3561" s="7"/>
      <c r="E3561" s="27"/>
      <c r="F3561" s="27"/>
      <c r="G3561" s="7"/>
    </row>
    <row r="3562" spans="2:7" x14ac:dyDescent="0.25">
      <c r="B3562" s="25"/>
      <c r="C3562" s="7"/>
      <c r="D3562" s="7"/>
      <c r="E3562" s="27"/>
      <c r="F3562" s="27"/>
      <c r="G3562" s="7"/>
    </row>
    <row r="3563" spans="2:7" x14ac:dyDescent="0.25">
      <c r="B3563" s="25"/>
      <c r="C3563" s="7"/>
      <c r="D3563" s="7"/>
      <c r="E3563" s="27"/>
      <c r="F3563" s="27"/>
      <c r="G3563" s="7"/>
    </row>
    <row r="3564" spans="2:7" x14ac:dyDescent="0.25">
      <c r="B3564" s="25"/>
      <c r="C3564" s="7"/>
      <c r="D3564" s="7"/>
      <c r="E3564" s="27"/>
      <c r="F3564" s="27"/>
      <c r="G3564" s="7"/>
    </row>
    <row r="3565" spans="2:7" x14ac:dyDescent="0.25">
      <c r="B3565" s="25"/>
      <c r="C3565" s="7"/>
      <c r="D3565" s="7"/>
      <c r="E3565" s="27"/>
      <c r="F3565" s="27"/>
      <c r="G3565" s="7"/>
    </row>
    <row r="3566" spans="2:7" x14ac:dyDescent="0.25">
      <c r="B3566" s="25"/>
      <c r="C3566" s="7"/>
      <c r="D3566" s="7"/>
      <c r="E3566" s="27"/>
      <c r="F3566" s="27"/>
      <c r="G3566" s="7"/>
    </row>
    <row r="3567" spans="2:7" x14ac:dyDescent="0.25">
      <c r="B3567" s="25"/>
      <c r="C3567" s="7"/>
      <c r="D3567" s="7"/>
      <c r="E3567" s="27"/>
      <c r="F3567" s="27"/>
      <c r="G3567" s="7"/>
    </row>
    <row r="3568" spans="2:7" x14ac:dyDescent="0.25">
      <c r="B3568" s="25"/>
      <c r="C3568" s="7"/>
      <c r="D3568" s="7"/>
      <c r="E3568" s="27"/>
      <c r="F3568" s="27"/>
      <c r="G3568" s="7"/>
    </row>
    <row r="3569" spans="2:7" x14ac:dyDescent="0.25">
      <c r="B3569" s="25"/>
      <c r="C3569" s="7"/>
      <c r="D3569" s="7"/>
      <c r="E3569" s="27"/>
      <c r="F3569" s="27"/>
      <c r="G3569" s="7"/>
    </row>
    <row r="3570" spans="2:7" x14ac:dyDescent="0.25">
      <c r="B3570" s="25"/>
      <c r="C3570" s="7"/>
      <c r="D3570" s="7"/>
      <c r="E3570" s="27"/>
      <c r="F3570" s="27"/>
      <c r="G3570" s="7"/>
    </row>
    <row r="3571" spans="2:7" x14ac:dyDescent="0.25">
      <c r="B3571" s="25"/>
      <c r="C3571" s="7"/>
      <c r="D3571" s="7"/>
      <c r="E3571" s="27"/>
      <c r="F3571" s="27"/>
      <c r="G3571" s="7"/>
    </row>
    <row r="3572" spans="2:7" x14ac:dyDescent="0.25">
      <c r="B3572" s="25"/>
      <c r="C3572" s="7"/>
      <c r="D3572" s="7"/>
      <c r="E3572" s="27"/>
      <c r="F3572" s="27"/>
      <c r="G3572" s="7"/>
    </row>
    <row r="3573" spans="2:7" x14ac:dyDescent="0.25">
      <c r="B3573" s="25"/>
      <c r="C3573" s="7"/>
      <c r="D3573" s="7"/>
      <c r="E3573" s="27"/>
      <c r="F3573" s="27"/>
      <c r="G3573" s="7"/>
    </row>
    <row r="3574" spans="2:7" x14ac:dyDescent="0.25">
      <c r="B3574" s="25"/>
      <c r="C3574" s="7"/>
      <c r="D3574" s="7"/>
      <c r="E3574" s="27"/>
      <c r="F3574" s="27"/>
      <c r="G3574" s="7"/>
    </row>
    <row r="3575" spans="2:7" x14ac:dyDescent="0.25">
      <c r="B3575" s="25"/>
      <c r="C3575" s="7"/>
      <c r="D3575" s="7"/>
      <c r="E3575" s="27"/>
      <c r="F3575" s="27"/>
      <c r="G3575" s="7"/>
    </row>
    <row r="3576" spans="2:7" x14ac:dyDescent="0.25">
      <c r="B3576" s="25"/>
      <c r="C3576" s="7"/>
      <c r="D3576" s="7"/>
      <c r="E3576" s="27"/>
      <c r="F3576" s="27"/>
      <c r="G3576" s="7"/>
    </row>
    <row r="3577" spans="2:7" x14ac:dyDescent="0.25">
      <c r="B3577" s="25"/>
      <c r="C3577" s="7"/>
      <c r="D3577" s="7"/>
      <c r="E3577" s="27"/>
      <c r="F3577" s="27"/>
      <c r="G3577" s="7"/>
    </row>
    <row r="3578" spans="2:7" x14ac:dyDescent="0.25">
      <c r="B3578" s="25"/>
      <c r="C3578" s="7"/>
      <c r="D3578" s="7"/>
      <c r="E3578" s="27"/>
      <c r="F3578" s="27"/>
      <c r="G3578" s="7"/>
    </row>
    <row r="3579" spans="2:7" x14ac:dyDescent="0.25">
      <c r="B3579" s="25"/>
      <c r="C3579" s="7"/>
      <c r="D3579" s="7"/>
      <c r="E3579" s="27"/>
      <c r="F3579" s="27"/>
      <c r="G3579" s="7"/>
    </row>
    <row r="3580" spans="2:7" x14ac:dyDescent="0.25">
      <c r="B3580" s="25"/>
      <c r="C3580" s="7"/>
      <c r="D3580" s="7"/>
      <c r="E3580" s="27"/>
      <c r="F3580" s="27"/>
      <c r="G3580" s="7"/>
    </row>
    <row r="3581" spans="2:7" x14ac:dyDescent="0.25">
      <c r="B3581" s="25"/>
      <c r="C3581" s="7"/>
      <c r="D3581" s="7"/>
      <c r="E3581" s="27"/>
      <c r="F3581" s="27"/>
      <c r="G3581" s="7"/>
    </row>
    <row r="3582" spans="2:7" x14ac:dyDescent="0.25">
      <c r="B3582" s="25"/>
      <c r="C3582" s="7"/>
      <c r="D3582" s="7"/>
      <c r="E3582" s="27"/>
      <c r="F3582" s="27"/>
      <c r="G3582" s="7"/>
    </row>
    <row r="3583" spans="2:7" x14ac:dyDescent="0.25">
      <c r="B3583" s="25"/>
      <c r="C3583" s="7"/>
      <c r="D3583" s="7"/>
      <c r="E3583" s="27"/>
      <c r="F3583" s="27"/>
      <c r="G3583" s="7"/>
    </row>
    <row r="3584" spans="2:7" x14ac:dyDescent="0.25">
      <c r="B3584" s="25"/>
      <c r="C3584" s="7"/>
      <c r="D3584" s="7"/>
      <c r="E3584" s="27"/>
      <c r="F3584" s="27"/>
      <c r="G3584" s="7"/>
    </row>
    <row r="3585" spans="2:7" x14ac:dyDescent="0.25">
      <c r="B3585" s="25"/>
      <c r="C3585" s="7"/>
      <c r="D3585" s="7"/>
      <c r="E3585" s="27"/>
      <c r="F3585" s="27"/>
      <c r="G3585" s="7"/>
    </row>
    <row r="3586" spans="2:7" x14ac:dyDescent="0.25">
      <c r="B3586" s="25"/>
      <c r="C3586" s="7"/>
      <c r="D3586" s="7"/>
      <c r="E3586" s="27"/>
      <c r="F3586" s="27"/>
      <c r="G3586" s="7"/>
    </row>
    <row r="3587" spans="2:7" x14ac:dyDescent="0.25">
      <c r="B3587" s="25"/>
      <c r="C3587" s="7"/>
      <c r="D3587" s="7"/>
      <c r="E3587" s="27"/>
      <c r="F3587" s="27"/>
      <c r="G3587" s="7"/>
    </row>
    <row r="3588" spans="2:7" x14ac:dyDescent="0.25">
      <c r="B3588" s="25"/>
      <c r="C3588" s="7"/>
      <c r="D3588" s="7"/>
      <c r="E3588" s="27"/>
      <c r="F3588" s="27"/>
      <c r="G3588" s="7"/>
    </row>
    <row r="3589" spans="2:7" x14ac:dyDescent="0.25">
      <c r="B3589" s="25"/>
      <c r="C3589" s="7"/>
      <c r="D3589" s="7"/>
      <c r="E3589" s="27"/>
      <c r="F3589" s="27"/>
      <c r="G3589" s="7"/>
    </row>
    <row r="3590" spans="2:7" x14ac:dyDescent="0.25">
      <c r="B3590" s="25"/>
      <c r="C3590" s="7"/>
      <c r="D3590" s="7"/>
      <c r="E3590" s="27"/>
      <c r="F3590" s="27"/>
      <c r="G3590" s="7"/>
    </row>
    <row r="3591" spans="2:7" x14ac:dyDescent="0.25">
      <c r="B3591" s="25"/>
      <c r="C3591" s="7"/>
      <c r="D3591" s="7"/>
      <c r="E3591" s="27"/>
      <c r="F3591" s="27"/>
      <c r="G3591" s="7"/>
    </row>
    <row r="3592" spans="2:7" x14ac:dyDescent="0.25">
      <c r="B3592" s="25"/>
      <c r="C3592" s="7"/>
      <c r="D3592" s="7"/>
      <c r="E3592" s="27"/>
      <c r="F3592" s="27"/>
      <c r="G3592" s="7"/>
    </row>
    <row r="3593" spans="2:7" x14ac:dyDescent="0.25">
      <c r="B3593" s="25"/>
      <c r="C3593" s="7"/>
      <c r="D3593" s="7"/>
      <c r="E3593" s="27"/>
      <c r="F3593" s="27"/>
      <c r="G3593" s="7"/>
    </row>
    <row r="3594" spans="2:7" x14ac:dyDescent="0.25">
      <c r="B3594" s="25"/>
      <c r="C3594" s="7"/>
      <c r="D3594" s="7"/>
      <c r="E3594" s="27"/>
      <c r="F3594" s="27"/>
      <c r="G3594" s="7"/>
    </row>
    <row r="3595" spans="2:7" x14ac:dyDescent="0.25">
      <c r="B3595" s="25"/>
      <c r="C3595" s="7"/>
      <c r="D3595" s="7"/>
      <c r="E3595" s="27"/>
      <c r="F3595" s="27"/>
      <c r="G3595" s="7"/>
    </row>
    <row r="3596" spans="2:7" x14ac:dyDescent="0.25">
      <c r="B3596" s="25"/>
      <c r="C3596" s="7"/>
      <c r="D3596" s="7"/>
      <c r="E3596" s="27"/>
      <c r="F3596" s="27"/>
      <c r="G3596" s="7"/>
    </row>
    <row r="3597" spans="2:7" x14ac:dyDescent="0.25">
      <c r="B3597" s="25"/>
      <c r="C3597" s="7"/>
      <c r="D3597" s="7"/>
      <c r="E3597" s="27"/>
      <c r="F3597" s="27"/>
      <c r="G3597" s="7"/>
    </row>
    <row r="3598" spans="2:7" x14ac:dyDescent="0.25">
      <c r="B3598" s="25"/>
      <c r="C3598" s="7"/>
      <c r="D3598" s="7"/>
      <c r="E3598" s="27"/>
      <c r="F3598" s="27"/>
      <c r="G3598" s="7"/>
    </row>
    <row r="3599" spans="2:7" x14ac:dyDescent="0.25">
      <c r="B3599" s="25"/>
      <c r="C3599" s="7"/>
      <c r="D3599" s="7"/>
      <c r="E3599" s="27"/>
      <c r="F3599" s="27"/>
      <c r="G3599" s="7"/>
    </row>
    <row r="3600" spans="2:7" x14ac:dyDescent="0.25">
      <c r="B3600" s="25"/>
      <c r="C3600" s="7"/>
      <c r="D3600" s="7"/>
      <c r="E3600" s="27"/>
      <c r="F3600" s="27"/>
      <c r="G3600" s="7"/>
    </row>
    <row r="3601" spans="2:7" x14ac:dyDescent="0.25">
      <c r="B3601" s="25"/>
      <c r="C3601" s="7"/>
      <c r="D3601" s="7"/>
      <c r="E3601" s="27"/>
      <c r="F3601" s="27"/>
      <c r="G3601" s="7"/>
    </row>
    <row r="3602" spans="2:7" x14ac:dyDescent="0.25">
      <c r="B3602" s="25"/>
      <c r="C3602" s="7"/>
      <c r="D3602" s="7"/>
      <c r="E3602" s="27"/>
      <c r="F3602" s="27"/>
      <c r="G3602" s="7"/>
    </row>
    <row r="3603" spans="2:7" x14ac:dyDescent="0.25">
      <c r="B3603" s="25"/>
      <c r="C3603" s="7"/>
      <c r="D3603" s="7"/>
      <c r="E3603" s="27"/>
      <c r="F3603" s="27"/>
      <c r="G3603" s="7"/>
    </row>
    <row r="3604" spans="2:7" x14ac:dyDescent="0.25">
      <c r="B3604" s="25"/>
      <c r="C3604" s="7"/>
      <c r="D3604" s="7"/>
      <c r="E3604" s="27"/>
      <c r="F3604" s="27"/>
      <c r="G3604" s="7"/>
    </row>
    <row r="3605" spans="2:7" x14ac:dyDescent="0.25">
      <c r="B3605" s="25"/>
      <c r="C3605" s="7"/>
      <c r="D3605" s="7"/>
      <c r="E3605" s="27"/>
      <c r="F3605" s="27"/>
      <c r="G3605" s="7"/>
    </row>
    <row r="3606" spans="2:7" x14ac:dyDescent="0.25">
      <c r="B3606" s="25"/>
      <c r="C3606" s="7"/>
      <c r="D3606" s="7"/>
      <c r="E3606" s="27"/>
      <c r="F3606" s="27"/>
      <c r="G3606" s="7"/>
    </row>
    <row r="3607" spans="2:7" x14ac:dyDescent="0.25">
      <c r="B3607" s="25"/>
      <c r="C3607" s="7"/>
      <c r="D3607" s="7"/>
      <c r="E3607" s="27"/>
      <c r="F3607" s="27"/>
      <c r="G3607" s="7"/>
    </row>
    <row r="3608" spans="2:7" x14ac:dyDescent="0.25">
      <c r="B3608" s="25"/>
      <c r="C3608" s="7"/>
      <c r="D3608" s="7"/>
      <c r="E3608" s="27"/>
      <c r="F3608" s="27"/>
      <c r="G3608" s="7"/>
    </row>
    <row r="3609" spans="2:7" x14ac:dyDescent="0.25">
      <c r="B3609" s="25"/>
      <c r="C3609" s="7"/>
      <c r="D3609" s="7"/>
      <c r="E3609" s="27"/>
      <c r="F3609" s="27"/>
      <c r="G3609" s="7"/>
    </row>
    <row r="3610" spans="2:7" x14ac:dyDescent="0.25">
      <c r="B3610" s="25"/>
      <c r="C3610" s="7"/>
      <c r="D3610" s="7"/>
      <c r="E3610" s="27"/>
      <c r="F3610" s="27"/>
      <c r="G3610" s="7"/>
    </row>
    <row r="3611" spans="2:7" x14ac:dyDescent="0.25">
      <c r="B3611" s="25"/>
      <c r="C3611" s="7"/>
      <c r="D3611" s="7"/>
      <c r="E3611" s="27"/>
      <c r="F3611" s="27"/>
      <c r="G3611" s="7"/>
    </row>
    <row r="3612" spans="2:7" x14ac:dyDescent="0.25">
      <c r="B3612" s="25"/>
      <c r="C3612" s="7"/>
      <c r="D3612" s="7"/>
      <c r="E3612" s="27"/>
      <c r="F3612" s="27"/>
      <c r="G3612" s="7"/>
    </row>
    <row r="3613" spans="2:7" x14ac:dyDescent="0.25">
      <c r="B3613" s="25"/>
      <c r="C3613" s="7"/>
      <c r="D3613" s="7"/>
      <c r="E3613" s="27"/>
      <c r="F3613" s="27"/>
      <c r="G3613" s="7"/>
    </row>
    <row r="3614" spans="2:7" x14ac:dyDescent="0.25">
      <c r="B3614" s="25"/>
      <c r="C3614" s="7"/>
      <c r="D3614" s="7"/>
      <c r="E3614" s="27"/>
      <c r="F3614" s="27"/>
      <c r="G3614" s="7"/>
    </row>
    <row r="3615" spans="2:7" x14ac:dyDescent="0.25">
      <c r="B3615" s="25"/>
      <c r="C3615" s="7"/>
      <c r="D3615" s="7"/>
      <c r="E3615" s="27"/>
      <c r="F3615" s="27"/>
      <c r="G3615" s="7"/>
    </row>
    <row r="3616" spans="2:7" x14ac:dyDescent="0.25">
      <c r="B3616" s="25"/>
      <c r="C3616" s="7"/>
      <c r="D3616" s="7"/>
      <c r="E3616" s="27"/>
      <c r="F3616" s="27"/>
      <c r="G3616" s="7"/>
    </row>
    <row r="3617" spans="2:7" x14ac:dyDescent="0.25">
      <c r="B3617" s="25"/>
      <c r="C3617" s="7"/>
      <c r="D3617" s="7"/>
      <c r="E3617" s="27"/>
      <c r="F3617" s="27"/>
      <c r="G3617" s="7"/>
    </row>
    <row r="3618" spans="2:7" x14ac:dyDescent="0.25">
      <c r="B3618" s="25"/>
      <c r="C3618" s="7"/>
      <c r="D3618" s="7"/>
      <c r="E3618" s="27"/>
      <c r="F3618" s="27"/>
      <c r="G3618" s="7"/>
    </row>
    <row r="3619" spans="2:7" x14ac:dyDescent="0.25">
      <c r="B3619" s="25"/>
      <c r="C3619" s="7"/>
      <c r="D3619" s="7"/>
      <c r="E3619" s="27"/>
      <c r="F3619" s="27"/>
      <c r="G3619" s="7"/>
    </row>
    <row r="3620" spans="2:7" x14ac:dyDescent="0.25">
      <c r="B3620" s="25"/>
      <c r="C3620" s="7"/>
      <c r="D3620" s="7"/>
      <c r="E3620" s="27"/>
      <c r="F3620" s="27"/>
      <c r="G3620" s="7"/>
    </row>
    <row r="3621" spans="2:7" x14ac:dyDescent="0.25">
      <c r="B3621" s="25"/>
      <c r="C3621" s="7"/>
      <c r="D3621" s="7"/>
      <c r="E3621" s="27"/>
      <c r="F3621" s="27"/>
      <c r="G3621" s="7"/>
    </row>
    <row r="3622" spans="2:7" x14ac:dyDescent="0.25">
      <c r="B3622" s="25"/>
      <c r="C3622" s="7"/>
      <c r="D3622" s="7"/>
      <c r="E3622" s="27"/>
      <c r="F3622" s="27"/>
      <c r="G3622" s="7"/>
    </row>
    <row r="3623" spans="2:7" x14ac:dyDescent="0.25">
      <c r="B3623" s="25"/>
      <c r="C3623" s="7"/>
      <c r="D3623" s="7"/>
      <c r="E3623" s="27"/>
      <c r="F3623" s="27"/>
      <c r="G3623" s="7"/>
    </row>
    <row r="3624" spans="2:7" x14ac:dyDescent="0.25">
      <c r="B3624" s="25"/>
      <c r="C3624" s="7"/>
      <c r="D3624" s="7"/>
      <c r="E3624" s="27"/>
      <c r="F3624" s="27"/>
      <c r="G3624" s="7"/>
    </row>
    <row r="3625" spans="2:7" x14ac:dyDescent="0.25">
      <c r="B3625" s="25"/>
      <c r="C3625" s="7"/>
      <c r="D3625" s="7"/>
      <c r="E3625" s="27"/>
      <c r="F3625" s="27"/>
      <c r="G3625" s="7"/>
    </row>
    <row r="3626" spans="2:7" x14ac:dyDescent="0.25">
      <c r="B3626" s="25"/>
      <c r="C3626" s="7"/>
      <c r="D3626" s="7"/>
      <c r="E3626" s="27"/>
      <c r="F3626" s="27"/>
      <c r="G3626" s="7"/>
    </row>
    <row r="3627" spans="2:7" x14ac:dyDescent="0.25">
      <c r="B3627" s="25"/>
      <c r="C3627" s="7"/>
      <c r="D3627" s="7"/>
      <c r="E3627" s="27"/>
      <c r="F3627" s="27"/>
      <c r="G3627" s="7"/>
    </row>
    <row r="3628" spans="2:7" x14ac:dyDescent="0.25">
      <c r="B3628" s="25"/>
      <c r="C3628" s="7"/>
      <c r="D3628" s="7"/>
      <c r="E3628" s="27"/>
      <c r="F3628" s="27"/>
      <c r="G3628" s="7"/>
    </row>
    <row r="3629" spans="2:7" x14ac:dyDescent="0.25">
      <c r="B3629" s="25"/>
      <c r="C3629" s="7"/>
      <c r="D3629" s="7"/>
      <c r="E3629" s="27"/>
      <c r="F3629" s="27"/>
      <c r="G3629" s="7"/>
    </row>
    <row r="3630" spans="2:7" x14ac:dyDescent="0.25">
      <c r="B3630" s="25"/>
      <c r="C3630" s="7"/>
      <c r="D3630" s="7"/>
      <c r="E3630" s="27"/>
      <c r="F3630" s="27"/>
      <c r="G3630" s="7"/>
    </row>
    <row r="3631" spans="2:7" x14ac:dyDescent="0.25">
      <c r="B3631" s="25"/>
      <c r="C3631" s="7"/>
      <c r="D3631" s="7"/>
      <c r="E3631" s="27"/>
      <c r="F3631" s="27"/>
      <c r="G3631" s="7"/>
    </row>
    <row r="3632" spans="2:7" x14ac:dyDescent="0.25">
      <c r="B3632" s="25"/>
      <c r="C3632" s="7"/>
      <c r="D3632" s="7"/>
      <c r="E3632" s="27"/>
      <c r="F3632" s="27"/>
      <c r="G3632" s="7"/>
    </row>
    <row r="3633" spans="2:7" x14ac:dyDescent="0.25">
      <c r="B3633" s="25"/>
      <c r="C3633" s="7"/>
      <c r="D3633" s="7"/>
      <c r="E3633" s="27"/>
      <c r="F3633" s="27"/>
      <c r="G3633" s="7"/>
    </row>
    <row r="3634" spans="2:7" x14ac:dyDescent="0.25">
      <c r="B3634" s="25"/>
      <c r="C3634" s="7"/>
      <c r="D3634" s="7"/>
      <c r="E3634" s="27"/>
      <c r="F3634" s="27"/>
      <c r="G3634" s="7"/>
    </row>
    <row r="3635" spans="2:7" x14ac:dyDescent="0.25">
      <c r="B3635" s="25"/>
      <c r="C3635" s="7"/>
      <c r="D3635" s="7"/>
      <c r="E3635" s="27"/>
      <c r="F3635" s="27"/>
      <c r="G3635" s="7"/>
    </row>
    <row r="3636" spans="2:7" x14ac:dyDescent="0.25">
      <c r="B3636" s="25"/>
      <c r="C3636" s="7"/>
      <c r="D3636" s="7"/>
      <c r="E3636" s="27"/>
      <c r="F3636" s="27"/>
      <c r="G3636" s="7"/>
    </row>
    <row r="3637" spans="2:7" x14ac:dyDescent="0.25">
      <c r="B3637" s="25"/>
      <c r="C3637" s="7"/>
      <c r="D3637" s="7"/>
      <c r="E3637" s="27"/>
      <c r="F3637" s="27"/>
      <c r="G3637" s="7"/>
    </row>
    <row r="3638" spans="2:7" x14ac:dyDescent="0.25">
      <c r="B3638" s="25"/>
      <c r="C3638" s="7"/>
      <c r="D3638" s="7"/>
      <c r="E3638" s="27"/>
      <c r="F3638" s="27"/>
      <c r="G3638" s="7"/>
    </row>
    <row r="3639" spans="2:7" x14ac:dyDescent="0.25">
      <c r="B3639" s="25"/>
      <c r="C3639" s="7"/>
      <c r="D3639" s="7"/>
      <c r="E3639" s="27"/>
      <c r="F3639" s="27"/>
      <c r="G3639" s="7"/>
    </row>
    <row r="3640" spans="2:7" x14ac:dyDescent="0.25">
      <c r="B3640" s="25"/>
      <c r="C3640" s="7"/>
      <c r="D3640" s="7"/>
      <c r="E3640" s="27"/>
      <c r="F3640" s="27"/>
      <c r="G3640" s="7"/>
    </row>
    <row r="3641" spans="2:7" x14ac:dyDescent="0.25">
      <c r="B3641" s="25"/>
      <c r="C3641" s="7"/>
      <c r="D3641" s="7"/>
      <c r="E3641" s="27"/>
      <c r="F3641" s="27"/>
      <c r="G3641" s="7"/>
    </row>
    <row r="3642" spans="2:7" x14ac:dyDescent="0.25">
      <c r="B3642" s="25"/>
      <c r="C3642" s="7"/>
      <c r="D3642" s="7"/>
      <c r="E3642" s="27"/>
      <c r="F3642" s="27"/>
      <c r="G3642" s="7"/>
    </row>
    <row r="3643" spans="2:7" x14ac:dyDescent="0.25">
      <c r="B3643" s="25"/>
      <c r="C3643" s="7"/>
      <c r="D3643" s="7"/>
      <c r="E3643" s="27"/>
      <c r="F3643" s="27"/>
      <c r="G3643" s="7"/>
    </row>
    <row r="3644" spans="2:7" x14ac:dyDescent="0.25">
      <c r="B3644" s="25"/>
      <c r="C3644" s="7"/>
      <c r="D3644" s="7"/>
      <c r="E3644" s="27"/>
      <c r="F3644" s="27"/>
      <c r="G3644" s="7"/>
    </row>
    <row r="3645" spans="2:7" x14ac:dyDescent="0.25">
      <c r="B3645" s="25"/>
      <c r="C3645" s="7"/>
      <c r="D3645" s="7"/>
      <c r="E3645" s="27"/>
      <c r="F3645" s="27"/>
      <c r="G3645" s="7"/>
    </row>
    <row r="3646" spans="2:7" x14ac:dyDescent="0.25">
      <c r="B3646" s="25"/>
      <c r="C3646" s="7"/>
      <c r="D3646" s="7"/>
      <c r="E3646" s="27"/>
      <c r="F3646" s="27"/>
      <c r="G3646" s="7"/>
    </row>
    <row r="3647" spans="2:7" x14ac:dyDescent="0.25">
      <c r="B3647" s="25"/>
      <c r="C3647" s="7"/>
      <c r="D3647" s="7"/>
      <c r="E3647" s="27"/>
      <c r="F3647" s="27"/>
      <c r="G3647" s="7"/>
    </row>
    <row r="3648" spans="2:7" x14ac:dyDescent="0.25">
      <c r="B3648" s="25"/>
      <c r="C3648" s="7"/>
      <c r="D3648" s="7"/>
      <c r="E3648" s="27"/>
      <c r="F3648" s="27"/>
      <c r="G3648" s="7"/>
    </row>
    <row r="3649" spans="2:7" x14ac:dyDescent="0.25">
      <c r="B3649" s="25"/>
      <c r="C3649" s="7"/>
      <c r="D3649" s="7"/>
      <c r="E3649" s="27"/>
      <c r="F3649" s="27"/>
      <c r="G3649" s="7"/>
    </row>
    <row r="3650" spans="2:7" x14ac:dyDescent="0.25">
      <c r="B3650" s="25"/>
      <c r="C3650" s="7"/>
      <c r="D3650" s="7"/>
      <c r="E3650" s="27"/>
      <c r="F3650" s="27"/>
      <c r="G3650" s="7"/>
    </row>
    <row r="3651" spans="2:7" x14ac:dyDescent="0.25">
      <c r="B3651" s="25"/>
      <c r="C3651" s="7"/>
      <c r="D3651" s="7"/>
      <c r="E3651" s="27"/>
      <c r="F3651" s="27"/>
      <c r="G3651" s="7"/>
    </row>
    <row r="3652" spans="2:7" x14ac:dyDescent="0.25">
      <c r="B3652" s="25"/>
      <c r="C3652" s="7"/>
      <c r="D3652" s="7"/>
      <c r="E3652" s="27"/>
      <c r="F3652" s="27"/>
      <c r="G3652" s="7"/>
    </row>
    <row r="3653" spans="2:7" x14ac:dyDescent="0.25">
      <c r="B3653" s="25"/>
      <c r="C3653" s="7"/>
      <c r="D3653" s="7"/>
      <c r="E3653" s="27"/>
      <c r="F3653" s="27"/>
      <c r="G3653" s="7"/>
    </row>
    <row r="3654" spans="2:7" x14ac:dyDescent="0.25">
      <c r="B3654" s="25"/>
      <c r="C3654" s="7"/>
      <c r="D3654" s="7"/>
      <c r="E3654" s="27"/>
      <c r="F3654" s="27"/>
      <c r="G3654" s="7"/>
    </row>
    <row r="3655" spans="2:7" x14ac:dyDescent="0.25">
      <c r="B3655" s="25"/>
      <c r="C3655" s="7"/>
      <c r="D3655" s="7"/>
      <c r="E3655" s="27"/>
      <c r="F3655" s="27"/>
      <c r="G3655" s="7"/>
    </row>
    <row r="3656" spans="2:7" x14ac:dyDescent="0.25">
      <c r="B3656" s="25"/>
      <c r="C3656" s="7"/>
      <c r="D3656" s="7"/>
      <c r="E3656" s="27"/>
      <c r="F3656" s="27"/>
      <c r="G3656" s="7"/>
    </row>
    <row r="3657" spans="2:7" x14ac:dyDescent="0.25">
      <c r="B3657" s="25"/>
      <c r="C3657" s="7"/>
      <c r="D3657" s="7"/>
      <c r="E3657" s="27"/>
      <c r="F3657" s="27"/>
      <c r="G3657" s="7"/>
    </row>
    <row r="3658" spans="2:7" x14ac:dyDescent="0.25">
      <c r="B3658" s="25"/>
      <c r="C3658" s="7"/>
      <c r="D3658" s="7"/>
      <c r="E3658" s="27"/>
      <c r="F3658" s="27"/>
      <c r="G3658" s="7"/>
    </row>
    <row r="3659" spans="2:7" x14ac:dyDescent="0.25">
      <c r="B3659" s="25"/>
      <c r="C3659" s="7"/>
      <c r="D3659" s="7"/>
      <c r="E3659" s="27"/>
      <c r="F3659" s="27"/>
      <c r="G3659" s="7"/>
    </row>
    <row r="3660" spans="2:7" x14ac:dyDescent="0.25">
      <c r="B3660" s="25"/>
      <c r="C3660" s="7"/>
      <c r="D3660" s="7"/>
      <c r="E3660" s="27"/>
      <c r="F3660" s="27"/>
      <c r="G3660" s="7"/>
    </row>
    <row r="3661" spans="2:7" x14ac:dyDescent="0.25">
      <c r="B3661" s="25"/>
      <c r="C3661" s="7"/>
      <c r="D3661" s="7"/>
      <c r="E3661" s="27"/>
      <c r="F3661" s="27"/>
      <c r="G3661" s="7"/>
    </row>
    <row r="3662" spans="2:7" x14ac:dyDescent="0.25">
      <c r="B3662" s="25"/>
      <c r="C3662" s="7"/>
      <c r="D3662" s="7"/>
      <c r="E3662" s="27"/>
      <c r="F3662" s="27"/>
      <c r="G3662" s="7"/>
    </row>
    <row r="3663" spans="2:7" x14ac:dyDescent="0.25">
      <c r="B3663" s="25"/>
      <c r="C3663" s="7"/>
      <c r="D3663" s="7"/>
      <c r="E3663" s="27"/>
      <c r="F3663" s="27"/>
      <c r="G3663" s="7"/>
    </row>
    <row r="3664" spans="2:7" x14ac:dyDescent="0.25">
      <c r="B3664" s="25"/>
      <c r="C3664" s="7"/>
      <c r="D3664" s="7"/>
      <c r="E3664" s="27"/>
      <c r="F3664" s="27"/>
      <c r="G3664" s="7"/>
    </row>
    <row r="3665" spans="2:7" x14ac:dyDescent="0.25">
      <c r="B3665" s="25"/>
      <c r="C3665" s="7"/>
      <c r="D3665" s="7"/>
      <c r="E3665" s="27"/>
      <c r="F3665" s="27"/>
      <c r="G3665" s="7"/>
    </row>
    <row r="3666" spans="2:7" x14ac:dyDescent="0.25">
      <c r="B3666" s="25"/>
      <c r="C3666" s="7"/>
      <c r="D3666" s="7"/>
      <c r="E3666" s="27"/>
      <c r="F3666" s="27"/>
      <c r="G3666" s="7"/>
    </row>
    <row r="3667" spans="2:7" x14ac:dyDescent="0.25">
      <c r="B3667" s="25"/>
      <c r="C3667" s="7"/>
      <c r="D3667" s="7"/>
      <c r="E3667" s="27"/>
      <c r="F3667" s="27"/>
      <c r="G3667" s="7"/>
    </row>
    <row r="3668" spans="2:7" x14ac:dyDescent="0.25">
      <c r="B3668" s="25"/>
      <c r="C3668" s="7"/>
      <c r="D3668" s="7"/>
      <c r="E3668" s="27"/>
      <c r="F3668" s="27"/>
      <c r="G3668" s="7"/>
    </row>
    <row r="3669" spans="2:7" x14ac:dyDescent="0.25">
      <c r="B3669" s="25"/>
      <c r="C3669" s="7"/>
      <c r="D3669" s="7"/>
      <c r="E3669" s="27"/>
      <c r="F3669" s="27"/>
      <c r="G3669" s="7"/>
    </row>
    <row r="3670" spans="2:7" x14ac:dyDescent="0.25">
      <c r="B3670" s="25"/>
      <c r="C3670" s="7"/>
      <c r="D3670" s="7"/>
      <c r="E3670" s="27"/>
      <c r="F3670" s="27"/>
      <c r="G3670" s="7"/>
    </row>
    <row r="3671" spans="2:7" x14ac:dyDescent="0.25">
      <c r="B3671" s="25"/>
      <c r="C3671" s="7"/>
      <c r="D3671" s="7"/>
      <c r="E3671" s="27"/>
      <c r="F3671" s="27"/>
      <c r="G3671" s="7"/>
    </row>
    <row r="3672" spans="2:7" x14ac:dyDescent="0.25">
      <c r="B3672" s="25"/>
      <c r="C3672" s="7"/>
      <c r="D3672" s="7"/>
      <c r="E3672" s="27"/>
      <c r="F3672" s="27"/>
      <c r="G3672" s="7"/>
    </row>
    <row r="3673" spans="2:7" x14ac:dyDescent="0.25">
      <c r="B3673" s="25"/>
      <c r="C3673" s="7"/>
      <c r="D3673" s="7"/>
      <c r="E3673" s="27"/>
      <c r="F3673" s="27"/>
      <c r="G3673" s="7"/>
    </row>
    <row r="3674" spans="2:7" x14ac:dyDescent="0.25">
      <c r="B3674" s="25"/>
      <c r="C3674" s="7"/>
      <c r="D3674" s="7"/>
      <c r="E3674" s="27"/>
      <c r="F3674" s="27"/>
      <c r="G3674" s="7"/>
    </row>
    <row r="3675" spans="2:7" x14ac:dyDescent="0.25">
      <c r="B3675" s="25"/>
      <c r="C3675" s="7"/>
      <c r="D3675" s="7"/>
      <c r="E3675" s="27"/>
      <c r="F3675" s="27"/>
      <c r="G3675" s="7"/>
    </row>
    <row r="3676" spans="2:7" x14ac:dyDescent="0.25">
      <c r="B3676" s="25"/>
      <c r="C3676" s="7"/>
      <c r="D3676" s="7"/>
      <c r="E3676" s="27"/>
      <c r="F3676" s="27"/>
      <c r="G3676" s="7"/>
    </row>
    <row r="3677" spans="2:7" x14ac:dyDescent="0.25">
      <c r="B3677" s="25"/>
      <c r="C3677" s="7"/>
      <c r="D3677" s="7"/>
      <c r="E3677" s="27"/>
      <c r="F3677" s="27"/>
      <c r="G3677" s="7"/>
    </row>
    <row r="3678" spans="2:7" x14ac:dyDescent="0.25">
      <c r="B3678" s="25"/>
      <c r="C3678" s="7"/>
      <c r="D3678" s="7"/>
      <c r="E3678" s="27"/>
      <c r="F3678" s="27"/>
      <c r="G3678" s="7"/>
    </row>
    <row r="3679" spans="2:7" x14ac:dyDescent="0.25">
      <c r="B3679" s="25"/>
      <c r="C3679" s="7"/>
      <c r="D3679" s="7"/>
      <c r="E3679" s="27"/>
      <c r="F3679" s="27"/>
      <c r="G3679" s="7"/>
    </row>
    <row r="3680" spans="2:7" x14ac:dyDescent="0.25">
      <c r="B3680" s="25"/>
      <c r="C3680" s="7"/>
      <c r="D3680" s="7"/>
      <c r="E3680" s="27"/>
      <c r="F3680" s="27"/>
      <c r="G3680" s="7"/>
    </row>
    <row r="3681" spans="2:7" x14ac:dyDescent="0.25">
      <c r="B3681" s="25"/>
      <c r="C3681" s="7"/>
      <c r="D3681" s="7"/>
      <c r="E3681" s="27"/>
      <c r="F3681" s="27"/>
      <c r="G3681" s="7"/>
    </row>
    <row r="3682" spans="2:7" x14ac:dyDescent="0.25">
      <c r="B3682" s="25"/>
      <c r="C3682" s="7"/>
      <c r="D3682" s="7"/>
      <c r="E3682" s="27"/>
      <c r="F3682" s="27"/>
      <c r="G3682" s="7"/>
    </row>
    <row r="3683" spans="2:7" x14ac:dyDescent="0.25">
      <c r="B3683" s="25"/>
      <c r="C3683" s="7"/>
      <c r="D3683" s="7"/>
      <c r="E3683" s="27"/>
      <c r="F3683" s="27"/>
      <c r="G3683" s="7"/>
    </row>
    <row r="3684" spans="2:7" x14ac:dyDescent="0.25">
      <c r="B3684" s="25"/>
      <c r="C3684" s="7"/>
      <c r="D3684" s="7"/>
      <c r="E3684" s="27"/>
      <c r="F3684" s="27"/>
      <c r="G3684" s="7"/>
    </row>
    <row r="3685" spans="2:7" x14ac:dyDescent="0.25">
      <c r="B3685" s="25"/>
      <c r="C3685" s="7"/>
      <c r="D3685" s="7"/>
      <c r="E3685" s="27"/>
      <c r="F3685" s="27"/>
      <c r="G3685" s="7"/>
    </row>
    <row r="3686" spans="2:7" x14ac:dyDescent="0.25">
      <c r="B3686" s="25"/>
      <c r="C3686" s="7"/>
      <c r="D3686" s="7"/>
      <c r="E3686" s="27"/>
      <c r="F3686" s="27"/>
      <c r="G3686" s="7"/>
    </row>
    <row r="3687" spans="2:7" x14ac:dyDescent="0.25">
      <c r="B3687" s="25"/>
      <c r="C3687" s="7"/>
      <c r="D3687" s="7"/>
      <c r="E3687" s="27"/>
      <c r="F3687" s="27"/>
      <c r="G3687" s="7"/>
    </row>
    <row r="3688" spans="2:7" x14ac:dyDescent="0.25">
      <c r="B3688" s="25"/>
      <c r="C3688" s="7"/>
      <c r="D3688" s="7"/>
      <c r="E3688" s="27"/>
      <c r="F3688" s="27"/>
      <c r="G3688" s="7"/>
    </row>
    <row r="3689" spans="2:7" x14ac:dyDescent="0.25">
      <c r="B3689" s="25"/>
      <c r="C3689" s="7"/>
      <c r="D3689" s="7"/>
      <c r="E3689" s="27"/>
      <c r="F3689" s="27"/>
      <c r="G3689" s="7"/>
    </row>
    <row r="3690" spans="2:7" x14ac:dyDescent="0.25">
      <c r="B3690" s="25"/>
      <c r="C3690" s="7"/>
      <c r="D3690" s="7"/>
      <c r="E3690" s="27"/>
      <c r="F3690" s="27"/>
      <c r="G3690" s="7"/>
    </row>
    <row r="3691" spans="2:7" x14ac:dyDescent="0.25">
      <c r="B3691" s="25"/>
      <c r="C3691" s="7"/>
      <c r="D3691" s="7"/>
      <c r="E3691" s="27"/>
      <c r="F3691" s="27"/>
      <c r="G3691" s="7"/>
    </row>
    <row r="3692" spans="2:7" x14ac:dyDescent="0.25">
      <c r="B3692" s="25"/>
      <c r="C3692" s="7"/>
      <c r="D3692" s="7"/>
      <c r="E3692" s="27"/>
      <c r="F3692" s="27"/>
      <c r="G3692" s="7"/>
    </row>
    <row r="3693" spans="2:7" x14ac:dyDescent="0.25">
      <c r="B3693" s="25"/>
      <c r="C3693" s="7"/>
      <c r="D3693" s="7"/>
      <c r="E3693" s="27"/>
      <c r="F3693" s="27"/>
      <c r="G3693" s="7"/>
    </row>
    <row r="3694" spans="2:7" x14ac:dyDescent="0.25">
      <c r="B3694" s="25"/>
      <c r="C3694" s="7"/>
      <c r="D3694" s="7"/>
      <c r="E3694" s="27"/>
      <c r="F3694" s="27"/>
      <c r="G3694" s="7"/>
    </row>
    <row r="3695" spans="2:7" x14ac:dyDescent="0.25">
      <c r="B3695" s="25"/>
      <c r="C3695" s="7"/>
      <c r="D3695" s="7"/>
      <c r="E3695" s="27"/>
      <c r="F3695" s="27"/>
      <c r="G3695" s="7"/>
    </row>
    <row r="3696" spans="2:7" x14ac:dyDescent="0.25">
      <c r="B3696" s="25"/>
      <c r="C3696" s="7"/>
      <c r="D3696" s="7"/>
      <c r="E3696" s="27"/>
      <c r="F3696" s="27"/>
      <c r="G3696" s="7"/>
    </row>
    <row r="3697" spans="2:7" x14ac:dyDescent="0.25">
      <c r="B3697" s="25"/>
      <c r="C3697" s="7"/>
      <c r="D3697" s="7"/>
      <c r="E3697" s="27"/>
      <c r="F3697" s="27"/>
      <c r="G3697" s="7"/>
    </row>
    <row r="3698" spans="2:7" x14ac:dyDescent="0.25">
      <c r="B3698" s="25"/>
      <c r="C3698" s="7"/>
      <c r="D3698" s="7"/>
      <c r="E3698" s="27"/>
      <c r="F3698" s="27"/>
      <c r="G3698" s="7"/>
    </row>
    <row r="3699" spans="2:7" x14ac:dyDescent="0.25">
      <c r="B3699" s="25"/>
      <c r="C3699" s="7"/>
      <c r="D3699" s="7"/>
      <c r="E3699" s="27"/>
      <c r="F3699" s="27"/>
      <c r="G3699" s="7"/>
    </row>
    <row r="3700" spans="2:7" x14ac:dyDescent="0.25">
      <c r="B3700" s="25"/>
      <c r="C3700" s="7"/>
      <c r="D3700" s="7"/>
      <c r="E3700" s="27"/>
      <c r="F3700" s="27"/>
      <c r="G3700" s="7"/>
    </row>
    <row r="3701" spans="2:7" x14ac:dyDescent="0.25">
      <c r="B3701" s="25"/>
      <c r="C3701" s="7"/>
      <c r="D3701" s="7"/>
      <c r="E3701" s="27"/>
      <c r="F3701" s="27"/>
      <c r="G3701" s="7"/>
    </row>
    <row r="3702" spans="2:7" x14ac:dyDescent="0.25">
      <c r="B3702" s="25"/>
      <c r="C3702" s="7"/>
      <c r="D3702" s="7"/>
      <c r="E3702" s="27"/>
      <c r="F3702" s="27"/>
      <c r="G3702" s="7"/>
    </row>
    <row r="3703" spans="2:7" x14ac:dyDescent="0.25">
      <c r="B3703" s="25"/>
      <c r="C3703" s="7"/>
      <c r="D3703" s="7"/>
      <c r="E3703" s="27"/>
      <c r="F3703" s="27"/>
      <c r="G3703" s="7"/>
    </row>
    <row r="3704" spans="2:7" x14ac:dyDescent="0.25">
      <c r="B3704" s="25"/>
      <c r="C3704" s="7"/>
      <c r="D3704" s="7"/>
      <c r="E3704" s="27"/>
      <c r="F3704" s="27"/>
      <c r="G3704" s="7"/>
    </row>
    <row r="3705" spans="2:7" x14ac:dyDescent="0.25">
      <c r="B3705" s="25"/>
      <c r="C3705" s="7"/>
      <c r="D3705" s="7"/>
      <c r="E3705" s="27"/>
      <c r="F3705" s="27"/>
      <c r="G3705" s="7"/>
    </row>
    <row r="3706" spans="2:7" x14ac:dyDescent="0.25">
      <c r="B3706" s="25"/>
      <c r="C3706" s="7"/>
      <c r="D3706" s="7"/>
      <c r="E3706" s="27"/>
      <c r="F3706" s="27"/>
      <c r="G3706" s="7"/>
    </row>
    <row r="3707" spans="2:7" x14ac:dyDescent="0.25">
      <c r="B3707" s="25"/>
      <c r="C3707" s="7"/>
      <c r="D3707" s="7"/>
      <c r="E3707" s="27"/>
      <c r="F3707" s="27"/>
      <c r="G3707" s="7"/>
    </row>
    <row r="3708" spans="2:7" x14ac:dyDescent="0.25">
      <c r="B3708" s="25"/>
      <c r="C3708" s="7"/>
      <c r="D3708" s="7"/>
      <c r="E3708" s="27"/>
      <c r="F3708" s="27"/>
      <c r="G3708" s="7"/>
    </row>
    <row r="3709" spans="2:7" x14ac:dyDescent="0.25">
      <c r="B3709" s="25"/>
      <c r="C3709" s="7"/>
      <c r="D3709" s="7"/>
      <c r="E3709" s="27"/>
      <c r="F3709" s="27"/>
      <c r="G3709" s="7"/>
    </row>
    <row r="3710" spans="2:7" x14ac:dyDescent="0.25">
      <c r="B3710" s="25"/>
      <c r="C3710" s="7"/>
      <c r="D3710" s="7"/>
      <c r="E3710" s="27"/>
      <c r="F3710" s="27"/>
      <c r="G3710" s="7"/>
    </row>
    <row r="3711" spans="2:7" x14ac:dyDescent="0.25">
      <c r="B3711" s="25"/>
      <c r="C3711" s="7"/>
      <c r="D3711" s="7"/>
      <c r="E3711" s="27"/>
      <c r="F3711" s="27"/>
      <c r="G3711" s="7"/>
    </row>
    <row r="3712" spans="2:7" x14ac:dyDescent="0.25">
      <c r="B3712" s="25"/>
      <c r="C3712" s="7"/>
      <c r="D3712" s="7"/>
      <c r="E3712" s="27"/>
      <c r="F3712" s="27"/>
      <c r="G3712" s="7"/>
    </row>
    <row r="3713" spans="2:7" x14ac:dyDescent="0.25">
      <c r="B3713" s="25"/>
      <c r="C3713" s="7"/>
      <c r="D3713" s="7"/>
      <c r="E3713" s="27"/>
      <c r="F3713" s="27"/>
      <c r="G3713" s="7"/>
    </row>
    <row r="3714" spans="2:7" x14ac:dyDescent="0.25">
      <c r="B3714" s="25"/>
      <c r="C3714" s="7"/>
      <c r="D3714" s="7"/>
      <c r="E3714" s="27"/>
      <c r="F3714" s="27"/>
      <c r="G3714" s="7"/>
    </row>
    <row r="3715" spans="2:7" x14ac:dyDescent="0.25">
      <c r="B3715" s="25"/>
      <c r="C3715" s="7"/>
      <c r="D3715" s="7"/>
      <c r="E3715" s="27"/>
      <c r="F3715" s="27"/>
      <c r="G3715" s="7"/>
    </row>
    <row r="3716" spans="2:7" x14ac:dyDescent="0.25">
      <c r="B3716" s="25"/>
      <c r="C3716" s="7"/>
      <c r="D3716" s="7"/>
      <c r="E3716" s="27"/>
      <c r="F3716" s="27"/>
      <c r="G3716" s="7"/>
    </row>
    <row r="3717" spans="2:7" x14ac:dyDescent="0.25">
      <c r="B3717" s="25"/>
      <c r="C3717" s="7"/>
      <c r="D3717" s="7"/>
      <c r="E3717" s="27"/>
      <c r="F3717" s="27"/>
      <c r="G3717" s="7"/>
    </row>
    <row r="3718" spans="2:7" x14ac:dyDescent="0.25">
      <c r="B3718" s="25"/>
      <c r="C3718" s="7"/>
      <c r="D3718" s="7"/>
      <c r="E3718" s="27"/>
      <c r="F3718" s="27"/>
      <c r="G3718" s="7"/>
    </row>
    <row r="3719" spans="2:7" x14ac:dyDescent="0.25">
      <c r="B3719" s="25"/>
      <c r="C3719" s="7"/>
      <c r="D3719" s="7"/>
      <c r="E3719" s="27"/>
      <c r="F3719" s="27"/>
      <c r="G3719" s="7"/>
    </row>
    <row r="3720" spans="2:7" x14ac:dyDescent="0.25">
      <c r="B3720" s="25"/>
      <c r="C3720" s="7"/>
      <c r="D3720" s="7"/>
      <c r="E3720" s="27"/>
      <c r="F3720" s="27"/>
      <c r="G3720" s="7"/>
    </row>
    <row r="3721" spans="2:7" x14ac:dyDescent="0.25">
      <c r="B3721" s="25"/>
      <c r="C3721" s="7"/>
      <c r="D3721" s="7"/>
      <c r="E3721" s="27"/>
      <c r="F3721" s="27"/>
      <c r="G3721" s="7"/>
    </row>
    <row r="3722" spans="2:7" x14ac:dyDescent="0.25">
      <c r="B3722" s="25"/>
      <c r="C3722" s="7"/>
      <c r="D3722" s="7"/>
      <c r="E3722" s="27"/>
      <c r="F3722" s="27"/>
      <c r="G3722" s="7"/>
    </row>
    <row r="3723" spans="2:7" x14ac:dyDescent="0.25">
      <c r="B3723" s="25"/>
      <c r="C3723" s="7"/>
      <c r="D3723" s="7"/>
      <c r="E3723" s="27"/>
      <c r="F3723" s="27"/>
      <c r="G3723" s="7"/>
    </row>
    <row r="3724" spans="2:7" x14ac:dyDescent="0.25">
      <c r="B3724" s="25"/>
      <c r="C3724" s="7"/>
      <c r="D3724" s="7"/>
      <c r="E3724" s="27"/>
      <c r="F3724" s="27"/>
      <c r="G3724" s="7"/>
    </row>
    <row r="3725" spans="2:7" x14ac:dyDescent="0.25">
      <c r="B3725" s="25"/>
      <c r="C3725" s="7"/>
      <c r="D3725" s="7"/>
      <c r="E3725" s="27"/>
      <c r="F3725" s="27"/>
      <c r="G3725" s="7"/>
    </row>
    <row r="3726" spans="2:7" x14ac:dyDescent="0.25">
      <c r="B3726" s="25"/>
      <c r="C3726" s="7"/>
      <c r="D3726" s="7"/>
      <c r="E3726" s="27"/>
      <c r="F3726" s="27"/>
      <c r="G3726" s="7"/>
    </row>
    <row r="3727" spans="2:7" x14ac:dyDescent="0.25">
      <c r="B3727" s="25"/>
      <c r="C3727" s="7"/>
      <c r="D3727" s="7"/>
      <c r="E3727" s="27"/>
      <c r="F3727" s="27"/>
      <c r="G3727" s="7"/>
    </row>
    <row r="3728" spans="2:7" x14ac:dyDescent="0.25">
      <c r="B3728" s="25"/>
      <c r="C3728" s="7"/>
      <c r="D3728" s="7"/>
      <c r="E3728" s="27"/>
      <c r="F3728" s="27"/>
      <c r="G3728" s="7"/>
    </row>
    <row r="3729" spans="2:7" x14ac:dyDescent="0.25">
      <c r="B3729" s="25"/>
      <c r="C3729" s="7"/>
      <c r="D3729" s="7"/>
      <c r="E3729" s="27"/>
      <c r="F3729" s="27"/>
      <c r="G3729" s="7"/>
    </row>
    <row r="3730" spans="2:7" x14ac:dyDescent="0.25">
      <c r="B3730" s="25"/>
      <c r="C3730" s="7"/>
      <c r="D3730" s="7"/>
      <c r="E3730" s="27"/>
      <c r="F3730" s="27"/>
      <c r="G3730" s="7"/>
    </row>
    <row r="3731" spans="2:7" x14ac:dyDescent="0.25">
      <c r="B3731" s="25"/>
      <c r="C3731" s="7"/>
      <c r="D3731" s="7"/>
      <c r="E3731" s="27"/>
      <c r="F3731" s="27"/>
      <c r="G3731" s="7"/>
    </row>
    <row r="3732" spans="2:7" x14ac:dyDescent="0.25">
      <c r="B3732" s="25"/>
      <c r="C3732" s="7"/>
      <c r="D3732" s="7"/>
      <c r="E3732" s="27"/>
      <c r="F3732" s="27"/>
      <c r="G3732" s="7"/>
    </row>
    <row r="3733" spans="2:7" x14ac:dyDescent="0.25">
      <c r="B3733" s="25"/>
      <c r="C3733" s="7"/>
      <c r="D3733" s="7"/>
      <c r="E3733" s="27"/>
      <c r="F3733" s="27"/>
      <c r="G3733" s="7"/>
    </row>
    <row r="3734" spans="2:7" x14ac:dyDescent="0.25">
      <c r="B3734" s="25"/>
      <c r="C3734" s="7"/>
      <c r="D3734" s="7"/>
      <c r="E3734" s="27"/>
      <c r="F3734" s="27"/>
      <c r="G3734" s="7"/>
    </row>
    <row r="3735" spans="2:7" x14ac:dyDescent="0.25">
      <c r="B3735" s="25"/>
      <c r="C3735" s="7"/>
      <c r="D3735" s="7"/>
      <c r="E3735" s="27"/>
      <c r="F3735" s="27"/>
      <c r="G3735" s="7"/>
    </row>
    <row r="3736" spans="2:7" x14ac:dyDescent="0.25">
      <c r="B3736" s="25"/>
      <c r="C3736" s="7"/>
      <c r="D3736" s="7"/>
      <c r="E3736" s="27"/>
      <c r="F3736" s="27"/>
      <c r="G3736" s="7"/>
    </row>
    <row r="3737" spans="2:7" x14ac:dyDescent="0.25">
      <c r="B3737" s="25"/>
      <c r="C3737" s="7"/>
      <c r="D3737" s="7"/>
      <c r="E3737" s="27"/>
      <c r="F3737" s="27"/>
      <c r="G3737" s="7"/>
    </row>
    <row r="3738" spans="2:7" x14ac:dyDescent="0.25">
      <c r="B3738" s="25"/>
      <c r="C3738" s="7"/>
      <c r="D3738" s="7"/>
      <c r="E3738" s="27"/>
      <c r="F3738" s="27"/>
      <c r="G3738" s="7"/>
    </row>
    <row r="3739" spans="2:7" x14ac:dyDescent="0.25">
      <c r="B3739" s="25"/>
      <c r="C3739" s="7"/>
      <c r="D3739" s="7"/>
      <c r="E3739" s="27"/>
      <c r="F3739" s="27"/>
      <c r="G3739" s="7"/>
    </row>
    <row r="3740" spans="2:7" x14ac:dyDescent="0.25">
      <c r="B3740" s="25"/>
      <c r="C3740" s="7"/>
      <c r="D3740" s="7"/>
      <c r="E3740" s="27"/>
      <c r="F3740" s="27"/>
      <c r="G3740" s="7"/>
    </row>
    <row r="3741" spans="2:7" x14ac:dyDescent="0.25">
      <c r="B3741" s="25"/>
      <c r="C3741" s="7"/>
      <c r="D3741" s="7"/>
      <c r="E3741" s="27"/>
      <c r="F3741" s="27"/>
      <c r="G3741" s="7"/>
    </row>
    <row r="3742" spans="2:7" x14ac:dyDescent="0.25">
      <c r="B3742" s="25"/>
      <c r="C3742" s="7"/>
      <c r="D3742" s="7"/>
      <c r="E3742" s="27"/>
      <c r="F3742" s="27"/>
      <c r="G3742" s="7"/>
    </row>
    <row r="3743" spans="2:7" x14ac:dyDescent="0.25">
      <c r="B3743" s="25"/>
      <c r="C3743" s="7"/>
      <c r="D3743" s="7"/>
      <c r="E3743" s="27"/>
      <c r="F3743" s="27"/>
      <c r="G3743" s="7"/>
    </row>
    <row r="3744" spans="2:7" x14ac:dyDescent="0.25">
      <c r="B3744" s="25"/>
      <c r="C3744" s="7"/>
      <c r="D3744" s="7"/>
      <c r="E3744" s="27"/>
      <c r="F3744" s="27"/>
      <c r="G3744" s="7"/>
    </row>
    <row r="3745" spans="2:7" x14ac:dyDescent="0.25">
      <c r="B3745" s="25"/>
      <c r="C3745" s="7"/>
      <c r="D3745" s="7"/>
      <c r="E3745" s="27"/>
      <c r="F3745" s="27"/>
      <c r="G3745" s="7"/>
    </row>
    <row r="3746" spans="2:7" x14ac:dyDescent="0.25">
      <c r="B3746" s="25"/>
      <c r="C3746" s="7"/>
      <c r="D3746" s="7"/>
      <c r="E3746" s="27"/>
      <c r="F3746" s="27"/>
      <c r="G3746" s="7"/>
    </row>
    <row r="3747" spans="2:7" x14ac:dyDescent="0.25">
      <c r="B3747" s="25"/>
      <c r="C3747" s="7"/>
      <c r="D3747" s="7"/>
      <c r="E3747" s="27"/>
      <c r="F3747" s="27"/>
      <c r="G3747" s="7"/>
    </row>
    <row r="3748" spans="2:7" x14ac:dyDescent="0.25">
      <c r="B3748" s="25"/>
      <c r="C3748" s="7"/>
      <c r="D3748" s="7"/>
      <c r="E3748" s="27"/>
      <c r="F3748" s="27"/>
      <c r="G3748" s="7"/>
    </row>
    <row r="3749" spans="2:7" x14ac:dyDescent="0.25">
      <c r="B3749" s="25"/>
      <c r="C3749" s="7"/>
      <c r="D3749" s="7"/>
      <c r="E3749" s="27"/>
      <c r="F3749" s="27"/>
      <c r="G3749" s="7"/>
    </row>
    <row r="3750" spans="2:7" x14ac:dyDescent="0.25">
      <c r="B3750" s="25"/>
      <c r="C3750" s="7"/>
      <c r="D3750" s="7"/>
      <c r="E3750" s="27"/>
      <c r="F3750" s="27"/>
      <c r="G3750" s="7"/>
    </row>
    <row r="3751" spans="2:7" x14ac:dyDescent="0.25">
      <c r="B3751" s="25"/>
      <c r="C3751" s="7"/>
      <c r="D3751" s="7"/>
      <c r="E3751" s="27"/>
      <c r="F3751" s="27"/>
      <c r="G3751" s="7"/>
    </row>
    <row r="3752" spans="2:7" x14ac:dyDescent="0.25">
      <c r="B3752" s="25"/>
      <c r="C3752" s="7"/>
      <c r="D3752" s="7"/>
      <c r="E3752" s="27"/>
      <c r="F3752" s="27"/>
      <c r="G3752" s="7"/>
    </row>
    <row r="3753" spans="2:7" x14ac:dyDescent="0.25">
      <c r="B3753" s="25"/>
      <c r="C3753" s="7"/>
      <c r="D3753" s="7"/>
      <c r="E3753" s="27"/>
      <c r="F3753" s="27"/>
      <c r="G3753" s="7"/>
    </row>
    <row r="3754" spans="2:7" x14ac:dyDescent="0.25">
      <c r="B3754" s="25"/>
      <c r="C3754" s="7"/>
      <c r="D3754" s="7"/>
      <c r="E3754" s="27"/>
      <c r="F3754" s="27"/>
      <c r="G3754" s="7"/>
    </row>
    <row r="3755" spans="2:7" x14ac:dyDescent="0.25">
      <c r="B3755" s="25"/>
      <c r="C3755" s="7"/>
      <c r="D3755" s="7"/>
      <c r="E3755" s="27"/>
      <c r="F3755" s="27"/>
      <c r="G3755" s="7"/>
    </row>
    <row r="3756" spans="2:7" x14ac:dyDescent="0.25">
      <c r="B3756" s="25"/>
      <c r="C3756" s="7"/>
      <c r="D3756" s="7"/>
      <c r="E3756" s="27"/>
      <c r="F3756" s="27"/>
      <c r="G3756" s="7"/>
    </row>
    <row r="3757" spans="2:7" x14ac:dyDescent="0.25">
      <c r="B3757" s="25"/>
      <c r="C3757" s="7"/>
      <c r="D3757" s="7"/>
      <c r="E3757" s="27"/>
      <c r="F3757" s="27"/>
      <c r="G3757" s="7"/>
    </row>
    <row r="3758" spans="2:7" x14ac:dyDescent="0.25">
      <c r="B3758" s="25"/>
      <c r="C3758" s="7"/>
      <c r="D3758" s="7"/>
      <c r="E3758" s="27"/>
      <c r="F3758" s="27"/>
      <c r="G3758" s="7"/>
    </row>
    <row r="3759" spans="2:7" x14ac:dyDescent="0.25">
      <c r="B3759" s="25"/>
      <c r="C3759" s="7"/>
      <c r="D3759" s="7"/>
      <c r="E3759" s="27"/>
      <c r="F3759" s="27"/>
      <c r="G3759" s="7"/>
    </row>
    <row r="3760" spans="2:7" x14ac:dyDescent="0.25">
      <c r="B3760" s="25"/>
      <c r="C3760" s="7"/>
      <c r="D3760" s="7"/>
      <c r="E3760" s="27"/>
      <c r="F3760" s="27"/>
      <c r="G3760" s="7"/>
    </row>
    <row r="3761" spans="2:7" x14ac:dyDescent="0.25">
      <c r="B3761" s="25"/>
      <c r="C3761" s="7"/>
      <c r="D3761" s="7"/>
      <c r="E3761" s="27"/>
      <c r="F3761" s="27"/>
      <c r="G3761" s="7"/>
    </row>
    <row r="3762" spans="2:7" x14ac:dyDescent="0.25">
      <c r="B3762" s="25"/>
      <c r="C3762" s="7"/>
      <c r="D3762" s="7"/>
      <c r="E3762" s="27"/>
      <c r="F3762" s="27"/>
      <c r="G3762" s="7"/>
    </row>
    <row r="3763" spans="2:7" x14ac:dyDescent="0.25">
      <c r="B3763" s="25"/>
      <c r="C3763" s="7"/>
      <c r="D3763" s="7"/>
      <c r="E3763" s="27"/>
      <c r="F3763" s="27"/>
      <c r="G3763" s="7"/>
    </row>
    <row r="3764" spans="2:7" x14ac:dyDescent="0.25">
      <c r="B3764" s="25"/>
      <c r="C3764" s="7"/>
      <c r="D3764" s="7"/>
      <c r="E3764" s="27"/>
      <c r="F3764" s="27"/>
      <c r="G3764" s="7"/>
    </row>
    <row r="3765" spans="2:7" x14ac:dyDescent="0.25">
      <c r="B3765" s="25"/>
      <c r="C3765" s="7"/>
      <c r="D3765" s="7"/>
      <c r="E3765" s="27"/>
      <c r="F3765" s="27"/>
      <c r="G3765" s="7"/>
    </row>
    <row r="3766" spans="2:7" x14ac:dyDescent="0.25">
      <c r="B3766" s="25"/>
      <c r="C3766" s="7"/>
      <c r="D3766" s="7"/>
      <c r="E3766" s="27"/>
      <c r="F3766" s="27"/>
      <c r="G3766" s="7"/>
    </row>
    <row r="3767" spans="2:7" x14ac:dyDescent="0.25">
      <c r="B3767" s="25"/>
      <c r="C3767" s="7"/>
      <c r="D3767" s="7"/>
      <c r="E3767" s="27"/>
      <c r="F3767" s="27"/>
      <c r="G3767" s="7"/>
    </row>
    <row r="3768" spans="2:7" x14ac:dyDescent="0.25">
      <c r="B3768" s="25"/>
      <c r="C3768" s="7"/>
      <c r="D3768" s="7"/>
      <c r="E3768" s="27"/>
      <c r="F3768" s="27"/>
      <c r="G3768" s="7"/>
    </row>
    <row r="3769" spans="2:7" x14ac:dyDescent="0.25">
      <c r="B3769" s="25"/>
      <c r="C3769" s="7"/>
      <c r="D3769" s="7"/>
      <c r="E3769" s="27"/>
      <c r="F3769" s="27"/>
      <c r="G3769" s="7"/>
    </row>
    <row r="3770" spans="2:7" x14ac:dyDescent="0.25">
      <c r="B3770" s="25"/>
      <c r="C3770" s="7"/>
      <c r="D3770" s="7"/>
      <c r="E3770" s="27"/>
      <c r="F3770" s="27"/>
      <c r="G3770" s="7"/>
    </row>
    <row r="3771" spans="2:7" x14ac:dyDescent="0.25">
      <c r="B3771" s="25"/>
      <c r="C3771" s="7"/>
      <c r="D3771" s="7"/>
      <c r="E3771" s="27"/>
      <c r="F3771" s="27"/>
      <c r="G3771" s="7"/>
    </row>
    <row r="3772" spans="2:7" x14ac:dyDescent="0.25">
      <c r="B3772" s="25"/>
      <c r="C3772" s="7"/>
      <c r="D3772" s="7"/>
      <c r="E3772" s="27"/>
      <c r="F3772" s="27"/>
      <c r="G3772" s="7"/>
    </row>
    <row r="3773" spans="2:7" x14ac:dyDescent="0.25">
      <c r="B3773" s="25"/>
      <c r="C3773" s="7"/>
      <c r="D3773" s="7"/>
      <c r="E3773" s="27"/>
      <c r="F3773" s="27"/>
      <c r="G3773" s="7"/>
    </row>
    <row r="3774" spans="2:7" x14ac:dyDescent="0.25">
      <c r="B3774" s="25"/>
      <c r="C3774" s="7"/>
      <c r="D3774" s="7"/>
      <c r="E3774" s="27"/>
      <c r="F3774" s="27"/>
      <c r="G3774" s="7"/>
    </row>
    <row r="3775" spans="2:7" x14ac:dyDescent="0.25">
      <c r="B3775" s="25"/>
      <c r="C3775" s="7"/>
      <c r="D3775" s="7"/>
      <c r="E3775" s="27"/>
      <c r="F3775" s="27"/>
      <c r="G3775" s="7"/>
    </row>
    <row r="3776" spans="2:7" x14ac:dyDescent="0.25">
      <c r="B3776" s="25"/>
      <c r="C3776" s="7"/>
      <c r="D3776" s="7"/>
      <c r="E3776" s="27"/>
      <c r="F3776" s="27"/>
      <c r="G3776" s="7"/>
    </row>
    <row r="3777" spans="2:7" x14ac:dyDescent="0.25">
      <c r="B3777" s="25"/>
      <c r="C3777" s="7"/>
      <c r="D3777" s="7"/>
      <c r="E3777" s="27"/>
      <c r="F3777" s="27"/>
      <c r="G3777" s="7"/>
    </row>
    <row r="3778" spans="2:7" x14ac:dyDescent="0.25">
      <c r="B3778" s="25"/>
      <c r="C3778" s="7"/>
      <c r="D3778" s="7"/>
      <c r="E3778" s="27"/>
      <c r="F3778" s="27"/>
      <c r="G3778" s="7"/>
    </row>
    <row r="3779" spans="2:7" x14ac:dyDescent="0.25">
      <c r="B3779" s="25"/>
      <c r="C3779" s="7"/>
      <c r="D3779" s="7"/>
      <c r="E3779" s="27"/>
      <c r="F3779" s="27"/>
      <c r="G3779" s="7"/>
    </row>
    <row r="3780" spans="2:7" x14ac:dyDescent="0.25">
      <c r="B3780" s="25"/>
      <c r="C3780" s="7"/>
      <c r="D3780" s="7"/>
      <c r="E3780" s="27"/>
      <c r="F3780" s="27"/>
      <c r="G3780" s="7"/>
    </row>
    <row r="3781" spans="2:7" x14ac:dyDescent="0.25">
      <c r="B3781" s="25"/>
      <c r="C3781" s="7"/>
      <c r="D3781" s="7"/>
      <c r="E3781" s="27"/>
      <c r="F3781" s="27"/>
      <c r="G3781" s="7"/>
    </row>
    <row r="3782" spans="2:7" x14ac:dyDescent="0.25">
      <c r="B3782" s="25"/>
      <c r="C3782" s="7"/>
      <c r="D3782" s="7"/>
      <c r="E3782" s="27"/>
      <c r="F3782" s="27"/>
      <c r="G3782" s="7"/>
    </row>
    <row r="3783" spans="2:7" x14ac:dyDescent="0.25">
      <c r="B3783" s="25"/>
      <c r="C3783" s="7"/>
      <c r="D3783" s="7"/>
      <c r="E3783" s="27"/>
      <c r="F3783" s="27"/>
      <c r="G3783" s="7"/>
    </row>
    <row r="3784" spans="2:7" x14ac:dyDescent="0.25">
      <c r="B3784" s="25"/>
      <c r="C3784" s="7"/>
      <c r="D3784" s="7"/>
      <c r="E3784" s="27"/>
      <c r="F3784" s="27"/>
      <c r="G3784" s="7"/>
    </row>
    <row r="3785" spans="2:7" x14ac:dyDescent="0.25">
      <c r="B3785" s="25"/>
      <c r="C3785" s="7"/>
      <c r="D3785" s="7"/>
      <c r="E3785" s="27"/>
      <c r="F3785" s="27"/>
      <c r="G3785" s="7"/>
    </row>
    <row r="3786" spans="2:7" x14ac:dyDescent="0.25">
      <c r="B3786" s="25"/>
      <c r="C3786" s="7"/>
      <c r="D3786" s="7"/>
      <c r="E3786" s="27"/>
      <c r="F3786" s="27"/>
      <c r="G3786" s="7"/>
    </row>
    <row r="3787" spans="2:7" x14ac:dyDescent="0.25">
      <c r="B3787" s="25"/>
      <c r="C3787" s="7"/>
      <c r="D3787" s="7"/>
      <c r="E3787" s="27"/>
      <c r="F3787" s="27"/>
      <c r="G3787" s="7"/>
    </row>
    <row r="3788" spans="2:7" x14ac:dyDescent="0.25">
      <c r="B3788" s="25"/>
      <c r="C3788" s="7"/>
      <c r="D3788" s="7"/>
      <c r="E3788" s="27"/>
      <c r="F3788" s="27"/>
      <c r="G3788" s="7"/>
    </row>
    <row r="3789" spans="2:7" x14ac:dyDescent="0.25">
      <c r="B3789" s="25"/>
      <c r="C3789" s="7"/>
      <c r="D3789" s="7"/>
      <c r="E3789" s="27"/>
      <c r="F3789" s="27"/>
      <c r="G3789" s="7"/>
    </row>
    <row r="3790" spans="2:7" x14ac:dyDescent="0.25">
      <c r="B3790" s="25"/>
      <c r="C3790" s="7"/>
      <c r="D3790" s="7"/>
      <c r="E3790" s="27"/>
      <c r="F3790" s="27"/>
      <c r="G3790" s="7"/>
    </row>
    <row r="3791" spans="2:7" x14ac:dyDescent="0.25">
      <c r="B3791" s="25"/>
      <c r="C3791" s="7"/>
      <c r="D3791" s="7"/>
      <c r="E3791" s="27"/>
      <c r="F3791" s="27"/>
      <c r="G3791" s="7"/>
    </row>
    <row r="3792" spans="2:7" x14ac:dyDescent="0.25">
      <c r="B3792" s="25"/>
      <c r="C3792" s="7"/>
      <c r="D3792" s="7"/>
      <c r="E3792" s="27"/>
      <c r="F3792" s="27"/>
      <c r="G3792" s="7"/>
    </row>
    <row r="3793" spans="2:7" x14ac:dyDescent="0.25">
      <c r="B3793" s="25"/>
      <c r="C3793" s="7"/>
      <c r="D3793" s="7"/>
      <c r="E3793" s="27"/>
      <c r="F3793" s="27"/>
      <c r="G3793" s="7"/>
    </row>
    <row r="3794" spans="2:7" x14ac:dyDescent="0.25">
      <c r="B3794" s="25"/>
      <c r="C3794" s="7"/>
      <c r="D3794" s="7"/>
      <c r="E3794" s="27"/>
      <c r="F3794" s="27"/>
      <c r="G3794" s="7"/>
    </row>
    <row r="3795" spans="2:7" x14ac:dyDescent="0.25">
      <c r="B3795" s="25"/>
      <c r="C3795" s="7"/>
      <c r="D3795" s="7"/>
      <c r="E3795" s="27"/>
      <c r="F3795" s="27"/>
      <c r="G3795" s="7"/>
    </row>
    <row r="3796" spans="2:7" x14ac:dyDescent="0.25">
      <c r="B3796" s="25"/>
      <c r="C3796" s="7"/>
      <c r="D3796" s="7"/>
      <c r="E3796" s="27"/>
      <c r="F3796" s="27"/>
      <c r="G3796" s="7"/>
    </row>
    <row r="3797" spans="2:7" x14ac:dyDescent="0.25">
      <c r="B3797" s="25"/>
      <c r="C3797" s="7"/>
      <c r="D3797" s="7"/>
      <c r="E3797" s="27"/>
      <c r="F3797" s="27"/>
      <c r="G3797" s="7"/>
    </row>
    <row r="3798" spans="2:7" x14ac:dyDescent="0.25">
      <c r="B3798" s="25"/>
      <c r="C3798" s="7"/>
      <c r="D3798" s="7"/>
      <c r="E3798" s="27"/>
      <c r="F3798" s="27"/>
      <c r="G3798" s="7"/>
    </row>
    <row r="3799" spans="2:7" x14ac:dyDescent="0.25">
      <c r="B3799" s="25"/>
      <c r="C3799" s="7"/>
      <c r="D3799" s="7"/>
      <c r="E3799" s="27"/>
      <c r="F3799" s="27"/>
      <c r="G3799" s="7"/>
    </row>
    <row r="3800" spans="2:7" x14ac:dyDescent="0.25">
      <c r="B3800" s="25"/>
      <c r="C3800" s="7"/>
      <c r="D3800" s="7"/>
      <c r="E3800" s="27"/>
      <c r="F3800" s="27"/>
      <c r="G3800" s="7"/>
    </row>
    <row r="3801" spans="2:7" x14ac:dyDescent="0.25">
      <c r="B3801" s="25"/>
      <c r="C3801" s="7"/>
      <c r="D3801" s="7"/>
      <c r="E3801" s="27"/>
      <c r="F3801" s="27"/>
      <c r="G3801" s="7"/>
    </row>
    <row r="3802" spans="2:7" x14ac:dyDescent="0.25">
      <c r="B3802" s="25"/>
      <c r="C3802" s="7"/>
      <c r="D3802" s="7"/>
      <c r="E3802" s="27"/>
      <c r="F3802" s="27"/>
      <c r="G3802" s="7"/>
    </row>
    <row r="3803" spans="2:7" x14ac:dyDescent="0.25">
      <c r="B3803" s="25"/>
      <c r="C3803" s="7"/>
      <c r="D3803" s="7"/>
      <c r="E3803" s="27"/>
      <c r="F3803" s="27"/>
      <c r="G3803" s="7"/>
    </row>
    <row r="3804" spans="2:7" x14ac:dyDescent="0.25">
      <c r="B3804" s="25"/>
      <c r="C3804" s="7"/>
      <c r="D3804" s="7"/>
      <c r="E3804" s="27"/>
      <c r="F3804" s="27"/>
      <c r="G3804" s="7"/>
    </row>
    <row r="3805" spans="2:7" x14ac:dyDescent="0.25">
      <c r="B3805" s="25"/>
      <c r="C3805" s="7"/>
      <c r="D3805" s="7"/>
      <c r="E3805" s="27"/>
      <c r="F3805" s="27"/>
      <c r="G3805" s="7"/>
    </row>
    <row r="3806" spans="2:7" x14ac:dyDescent="0.25">
      <c r="B3806" s="25"/>
      <c r="C3806" s="7"/>
      <c r="D3806" s="7"/>
      <c r="E3806" s="27"/>
      <c r="F3806" s="27"/>
      <c r="G3806" s="7"/>
    </row>
    <row r="3807" spans="2:7" x14ac:dyDescent="0.25">
      <c r="B3807" s="25"/>
      <c r="C3807" s="7"/>
      <c r="D3807" s="7"/>
      <c r="E3807" s="27"/>
      <c r="F3807" s="27"/>
      <c r="G3807" s="7"/>
    </row>
    <row r="3808" spans="2:7" x14ac:dyDescent="0.25">
      <c r="B3808" s="25"/>
      <c r="C3808" s="7"/>
      <c r="D3808" s="7"/>
      <c r="E3808" s="27"/>
      <c r="F3808" s="27"/>
      <c r="G3808" s="7"/>
    </row>
    <row r="3809" spans="2:7" x14ac:dyDescent="0.25">
      <c r="B3809" s="25"/>
      <c r="C3809" s="7"/>
      <c r="D3809" s="7"/>
      <c r="E3809" s="27"/>
      <c r="F3809" s="27"/>
      <c r="G3809" s="7"/>
    </row>
    <row r="3810" spans="2:7" x14ac:dyDescent="0.25">
      <c r="B3810" s="25"/>
      <c r="C3810" s="7"/>
      <c r="D3810" s="7"/>
      <c r="E3810" s="27"/>
      <c r="F3810" s="27"/>
      <c r="G3810" s="7"/>
    </row>
    <row r="3811" spans="2:7" x14ac:dyDescent="0.25">
      <c r="B3811" s="25"/>
      <c r="C3811" s="7"/>
      <c r="D3811" s="7"/>
      <c r="E3811" s="27"/>
      <c r="F3811" s="27"/>
      <c r="G3811" s="7"/>
    </row>
    <row r="3812" spans="2:7" x14ac:dyDescent="0.25">
      <c r="B3812" s="25"/>
      <c r="C3812" s="7"/>
      <c r="D3812" s="7"/>
      <c r="E3812" s="27"/>
      <c r="F3812" s="27"/>
      <c r="G3812" s="7"/>
    </row>
    <row r="3813" spans="2:7" x14ac:dyDescent="0.25">
      <c r="B3813" s="25"/>
      <c r="C3813" s="7"/>
      <c r="D3813" s="7"/>
      <c r="E3813" s="27"/>
      <c r="F3813" s="27"/>
      <c r="G3813" s="7"/>
    </row>
    <row r="3814" spans="2:7" x14ac:dyDescent="0.25">
      <c r="B3814" s="25"/>
      <c r="C3814" s="7"/>
      <c r="D3814" s="7"/>
      <c r="E3814" s="27"/>
      <c r="F3814" s="27"/>
      <c r="G3814" s="7"/>
    </row>
    <row r="3815" spans="2:7" x14ac:dyDescent="0.25">
      <c r="B3815" s="25"/>
      <c r="C3815" s="7"/>
      <c r="D3815" s="7"/>
      <c r="E3815" s="27"/>
      <c r="F3815" s="27"/>
      <c r="G3815" s="7"/>
    </row>
    <row r="3816" spans="2:7" x14ac:dyDescent="0.25">
      <c r="B3816" s="25"/>
      <c r="C3816" s="7"/>
      <c r="D3816" s="7"/>
      <c r="E3816" s="27"/>
      <c r="F3816" s="27"/>
      <c r="G3816" s="7"/>
    </row>
    <row r="3817" spans="2:7" x14ac:dyDescent="0.25">
      <c r="B3817" s="25"/>
      <c r="C3817" s="7"/>
      <c r="D3817" s="7"/>
      <c r="E3817" s="27"/>
      <c r="F3817" s="27"/>
      <c r="G3817" s="7"/>
    </row>
    <row r="3818" spans="2:7" x14ac:dyDescent="0.25">
      <c r="B3818" s="25"/>
      <c r="C3818" s="7"/>
      <c r="D3818" s="7"/>
      <c r="E3818" s="27"/>
      <c r="F3818" s="27"/>
      <c r="G3818" s="7"/>
    </row>
    <row r="3819" spans="2:7" x14ac:dyDescent="0.25">
      <c r="B3819" s="25"/>
      <c r="C3819" s="7"/>
      <c r="D3819" s="7"/>
      <c r="E3819" s="27"/>
      <c r="F3819" s="27"/>
      <c r="G3819" s="7"/>
    </row>
    <row r="3820" spans="2:7" x14ac:dyDescent="0.25">
      <c r="B3820" s="25"/>
      <c r="C3820" s="7"/>
      <c r="D3820" s="7"/>
      <c r="E3820" s="27"/>
      <c r="F3820" s="27"/>
      <c r="G3820" s="7"/>
    </row>
    <row r="3821" spans="2:7" x14ac:dyDescent="0.25">
      <c r="B3821" s="25"/>
      <c r="C3821" s="7"/>
      <c r="D3821" s="7"/>
      <c r="E3821" s="27"/>
      <c r="F3821" s="27"/>
      <c r="G3821" s="7"/>
    </row>
    <row r="3822" spans="2:7" x14ac:dyDescent="0.25">
      <c r="B3822" s="25"/>
      <c r="C3822" s="7"/>
      <c r="D3822" s="7"/>
      <c r="E3822" s="27"/>
      <c r="F3822" s="27"/>
      <c r="G3822" s="7"/>
    </row>
    <row r="3823" spans="2:7" x14ac:dyDescent="0.25">
      <c r="B3823" s="25"/>
      <c r="C3823" s="7"/>
      <c r="D3823" s="7"/>
      <c r="E3823" s="27"/>
      <c r="F3823" s="27"/>
      <c r="G3823" s="7"/>
    </row>
    <row r="3824" spans="2:7" x14ac:dyDescent="0.25">
      <c r="B3824" s="25"/>
      <c r="C3824" s="7"/>
      <c r="D3824" s="7"/>
      <c r="E3824" s="27"/>
      <c r="F3824" s="27"/>
      <c r="G3824" s="7"/>
    </row>
    <row r="3825" spans="2:7" x14ac:dyDescent="0.25">
      <c r="B3825" s="25"/>
      <c r="C3825" s="7"/>
      <c r="D3825" s="7"/>
      <c r="E3825" s="27"/>
      <c r="F3825" s="27"/>
      <c r="G3825" s="7"/>
    </row>
    <row r="3826" spans="2:7" x14ac:dyDescent="0.25">
      <c r="B3826" s="25"/>
      <c r="C3826" s="7"/>
      <c r="D3826" s="7"/>
      <c r="E3826" s="27"/>
      <c r="F3826" s="27"/>
      <c r="G3826" s="7"/>
    </row>
    <row r="3827" spans="2:7" x14ac:dyDescent="0.25">
      <c r="B3827" s="25"/>
      <c r="C3827" s="7"/>
      <c r="D3827" s="7"/>
      <c r="E3827" s="27"/>
      <c r="F3827" s="27"/>
      <c r="G3827" s="7"/>
    </row>
    <row r="3828" spans="2:7" x14ac:dyDescent="0.25">
      <c r="B3828" s="25"/>
      <c r="C3828" s="7"/>
      <c r="D3828" s="7"/>
      <c r="E3828" s="27"/>
      <c r="F3828" s="27"/>
      <c r="G3828" s="7"/>
    </row>
    <row r="3829" spans="2:7" x14ac:dyDescent="0.25">
      <c r="B3829" s="25"/>
      <c r="C3829" s="7"/>
      <c r="D3829" s="7"/>
      <c r="E3829" s="27"/>
      <c r="F3829" s="27"/>
      <c r="G3829" s="7"/>
    </row>
    <row r="3830" spans="2:7" x14ac:dyDescent="0.25">
      <c r="B3830" s="25"/>
      <c r="C3830" s="7"/>
      <c r="D3830" s="7"/>
      <c r="E3830" s="27"/>
      <c r="F3830" s="27"/>
      <c r="G3830" s="7"/>
    </row>
    <row r="3831" spans="2:7" x14ac:dyDescent="0.25">
      <c r="B3831" s="25"/>
      <c r="C3831" s="7"/>
      <c r="D3831" s="7"/>
      <c r="E3831" s="27"/>
      <c r="F3831" s="27"/>
      <c r="G3831" s="7"/>
    </row>
    <row r="3832" spans="2:7" x14ac:dyDescent="0.25">
      <c r="B3832" s="25"/>
      <c r="C3832" s="7"/>
      <c r="D3832" s="7"/>
      <c r="E3832" s="27"/>
      <c r="F3832" s="27"/>
      <c r="G3832" s="7"/>
    </row>
    <row r="3833" spans="2:7" x14ac:dyDescent="0.25">
      <c r="B3833" s="25"/>
      <c r="C3833" s="7"/>
      <c r="D3833" s="7"/>
      <c r="E3833" s="27"/>
      <c r="F3833" s="27"/>
      <c r="G3833" s="7"/>
    </row>
    <row r="3834" spans="2:7" x14ac:dyDescent="0.25">
      <c r="B3834" s="25"/>
      <c r="C3834" s="7"/>
      <c r="D3834" s="7"/>
      <c r="E3834" s="27"/>
      <c r="F3834" s="27"/>
      <c r="G3834" s="7"/>
    </row>
    <row r="3835" spans="2:7" x14ac:dyDescent="0.25">
      <c r="B3835" s="25"/>
      <c r="C3835" s="7"/>
      <c r="D3835" s="7"/>
      <c r="E3835" s="27"/>
      <c r="F3835" s="27"/>
      <c r="G3835" s="7"/>
    </row>
    <row r="3836" spans="2:7" x14ac:dyDescent="0.25">
      <c r="B3836" s="25"/>
      <c r="C3836" s="7"/>
      <c r="D3836" s="7"/>
      <c r="E3836" s="27"/>
      <c r="F3836" s="27"/>
      <c r="G3836" s="7"/>
    </row>
    <row r="3837" spans="2:7" x14ac:dyDescent="0.25">
      <c r="B3837" s="25"/>
      <c r="C3837" s="7"/>
      <c r="D3837" s="7"/>
      <c r="E3837" s="27"/>
      <c r="F3837" s="27"/>
      <c r="G3837" s="7"/>
    </row>
    <row r="3838" spans="2:7" x14ac:dyDescent="0.25">
      <c r="B3838" s="25"/>
      <c r="C3838" s="7"/>
      <c r="D3838" s="7"/>
      <c r="E3838" s="27"/>
      <c r="F3838" s="27"/>
      <c r="G3838" s="7"/>
    </row>
    <row r="3839" spans="2:7" x14ac:dyDescent="0.25">
      <c r="B3839" s="25"/>
      <c r="C3839" s="7"/>
      <c r="D3839" s="7"/>
      <c r="E3839" s="27"/>
      <c r="F3839" s="27"/>
      <c r="G3839" s="7"/>
    </row>
    <row r="3840" spans="2:7" x14ac:dyDescent="0.25">
      <c r="B3840" s="25"/>
      <c r="C3840" s="7"/>
      <c r="D3840" s="7"/>
      <c r="E3840" s="27"/>
      <c r="F3840" s="27"/>
      <c r="G3840" s="7"/>
    </row>
    <row r="3841" spans="2:7" x14ac:dyDescent="0.25">
      <c r="B3841" s="25"/>
      <c r="C3841" s="7"/>
      <c r="D3841" s="7"/>
      <c r="E3841" s="27"/>
      <c r="F3841" s="27"/>
      <c r="G3841" s="7"/>
    </row>
    <row r="3842" spans="2:7" x14ac:dyDescent="0.25">
      <c r="B3842" s="25"/>
      <c r="C3842" s="7"/>
      <c r="D3842" s="7"/>
      <c r="E3842" s="27"/>
      <c r="F3842" s="27"/>
      <c r="G3842" s="7"/>
    </row>
    <row r="3843" spans="2:7" x14ac:dyDescent="0.25">
      <c r="B3843" s="25"/>
      <c r="C3843" s="7"/>
      <c r="D3843" s="7"/>
      <c r="E3843" s="27"/>
      <c r="F3843" s="27"/>
      <c r="G3843" s="7"/>
    </row>
    <row r="3844" spans="2:7" x14ac:dyDescent="0.25">
      <c r="B3844" s="25"/>
      <c r="C3844" s="7"/>
      <c r="D3844" s="7"/>
      <c r="E3844" s="27"/>
      <c r="F3844" s="27"/>
      <c r="G3844" s="7"/>
    </row>
    <row r="3845" spans="2:7" x14ac:dyDescent="0.25">
      <c r="B3845" s="25"/>
      <c r="C3845" s="7"/>
      <c r="D3845" s="7"/>
      <c r="E3845" s="27"/>
      <c r="F3845" s="27"/>
      <c r="G3845" s="7"/>
    </row>
    <row r="3846" spans="2:7" x14ac:dyDescent="0.25">
      <c r="B3846" s="25"/>
      <c r="C3846" s="7"/>
      <c r="D3846" s="7"/>
      <c r="E3846" s="27"/>
      <c r="F3846" s="27"/>
      <c r="G3846" s="7"/>
    </row>
    <row r="3847" spans="2:7" x14ac:dyDescent="0.25">
      <c r="B3847" s="25"/>
      <c r="C3847" s="7"/>
      <c r="D3847" s="7"/>
      <c r="E3847" s="27"/>
      <c r="F3847" s="27"/>
      <c r="G3847" s="7"/>
    </row>
    <row r="3848" spans="2:7" x14ac:dyDescent="0.25">
      <c r="B3848" s="25"/>
      <c r="C3848" s="7"/>
      <c r="D3848" s="7"/>
      <c r="E3848" s="27"/>
      <c r="F3848" s="27"/>
      <c r="G3848" s="7"/>
    </row>
    <row r="3849" spans="2:7" x14ac:dyDescent="0.25">
      <c r="B3849" s="25"/>
      <c r="C3849" s="7"/>
      <c r="D3849" s="7"/>
      <c r="E3849" s="27"/>
      <c r="F3849" s="27"/>
      <c r="G3849" s="7"/>
    </row>
    <row r="3850" spans="2:7" x14ac:dyDescent="0.25">
      <c r="B3850" s="25"/>
      <c r="C3850" s="7"/>
      <c r="D3850" s="7"/>
      <c r="E3850" s="27"/>
      <c r="F3850" s="27"/>
      <c r="G3850" s="7"/>
    </row>
    <row r="3851" spans="2:7" x14ac:dyDescent="0.25">
      <c r="B3851" s="25"/>
      <c r="C3851" s="7"/>
      <c r="D3851" s="7"/>
      <c r="E3851" s="27"/>
      <c r="F3851" s="27"/>
      <c r="G3851" s="7"/>
    </row>
    <row r="3852" spans="2:7" x14ac:dyDescent="0.25">
      <c r="B3852" s="25"/>
      <c r="C3852" s="7"/>
      <c r="D3852" s="7"/>
      <c r="E3852" s="27"/>
      <c r="F3852" s="27"/>
      <c r="G3852" s="7"/>
    </row>
    <row r="3853" spans="2:7" x14ac:dyDescent="0.25">
      <c r="B3853" s="25"/>
      <c r="C3853" s="7"/>
      <c r="D3853" s="7"/>
      <c r="E3853" s="27"/>
      <c r="F3853" s="27"/>
      <c r="G3853" s="7"/>
    </row>
    <row r="3854" spans="2:7" x14ac:dyDescent="0.25">
      <c r="B3854" s="25"/>
      <c r="C3854" s="7"/>
      <c r="D3854" s="7"/>
      <c r="E3854" s="27"/>
      <c r="F3854" s="27"/>
      <c r="G3854" s="7"/>
    </row>
    <row r="3855" spans="2:7" x14ac:dyDescent="0.25">
      <c r="B3855" s="25"/>
      <c r="C3855" s="7"/>
      <c r="D3855" s="7"/>
      <c r="E3855" s="27"/>
      <c r="F3855" s="27"/>
      <c r="G3855" s="7"/>
    </row>
    <row r="3856" spans="2:7" x14ac:dyDescent="0.25">
      <c r="B3856" s="25"/>
      <c r="C3856" s="7"/>
      <c r="D3856" s="7"/>
      <c r="E3856" s="27"/>
      <c r="F3856" s="27"/>
      <c r="G3856" s="7"/>
    </row>
    <row r="3857" spans="2:7" x14ac:dyDescent="0.25">
      <c r="B3857" s="25"/>
      <c r="C3857" s="7"/>
      <c r="D3857" s="7"/>
      <c r="E3857" s="27"/>
      <c r="F3857" s="27"/>
      <c r="G3857" s="7"/>
    </row>
    <row r="3858" spans="2:7" x14ac:dyDescent="0.25">
      <c r="B3858" s="25"/>
      <c r="C3858" s="7"/>
      <c r="D3858" s="7"/>
      <c r="E3858" s="27"/>
      <c r="F3858" s="27"/>
      <c r="G3858" s="7"/>
    </row>
    <row r="3859" spans="2:7" x14ac:dyDescent="0.25">
      <c r="B3859" s="25"/>
      <c r="C3859" s="7"/>
      <c r="D3859" s="7"/>
      <c r="E3859" s="27"/>
      <c r="F3859" s="27"/>
      <c r="G3859" s="7"/>
    </row>
    <row r="3860" spans="2:7" x14ac:dyDescent="0.25">
      <c r="B3860" s="25"/>
      <c r="C3860" s="7"/>
      <c r="D3860" s="7"/>
      <c r="E3860" s="27"/>
      <c r="F3860" s="27"/>
      <c r="G3860" s="7"/>
    </row>
    <row r="3861" spans="2:7" x14ac:dyDescent="0.25">
      <c r="B3861" s="25"/>
      <c r="C3861" s="7"/>
      <c r="D3861" s="7"/>
      <c r="E3861" s="27"/>
      <c r="F3861" s="27"/>
      <c r="G3861" s="7"/>
    </row>
    <row r="3862" spans="2:7" x14ac:dyDescent="0.25">
      <c r="B3862" s="25"/>
      <c r="C3862" s="7"/>
      <c r="D3862" s="7"/>
      <c r="E3862" s="27"/>
      <c r="F3862" s="27"/>
      <c r="G3862" s="7"/>
    </row>
    <row r="3863" spans="2:7" x14ac:dyDescent="0.25">
      <c r="B3863" s="25"/>
      <c r="C3863" s="7"/>
      <c r="D3863" s="7"/>
      <c r="E3863" s="27"/>
      <c r="F3863" s="27"/>
      <c r="G3863" s="7"/>
    </row>
    <row r="3864" spans="2:7" x14ac:dyDescent="0.25">
      <c r="B3864" s="25"/>
      <c r="C3864" s="7"/>
      <c r="D3864" s="7"/>
      <c r="E3864" s="27"/>
      <c r="F3864" s="27"/>
      <c r="G3864" s="7"/>
    </row>
    <row r="3865" spans="2:7" x14ac:dyDescent="0.25">
      <c r="B3865" s="25"/>
      <c r="C3865" s="7"/>
      <c r="D3865" s="7"/>
      <c r="E3865" s="27"/>
      <c r="F3865" s="27"/>
      <c r="G3865" s="7"/>
    </row>
    <row r="3866" spans="2:7" x14ac:dyDescent="0.25">
      <c r="B3866" s="25"/>
      <c r="C3866" s="7"/>
      <c r="D3866" s="7"/>
      <c r="E3866" s="27"/>
      <c r="F3866" s="27"/>
      <c r="G3866" s="7"/>
    </row>
    <row r="3867" spans="2:7" x14ac:dyDescent="0.25">
      <c r="B3867" s="25"/>
      <c r="C3867" s="7"/>
      <c r="D3867" s="7"/>
      <c r="E3867" s="27"/>
      <c r="F3867" s="27"/>
      <c r="G3867" s="7"/>
    </row>
    <row r="3868" spans="2:7" x14ac:dyDescent="0.25">
      <c r="B3868" s="25"/>
      <c r="C3868" s="7"/>
      <c r="D3868" s="7"/>
      <c r="E3868" s="27"/>
      <c r="F3868" s="27"/>
      <c r="G3868" s="7"/>
    </row>
    <row r="3869" spans="2:7" x14ac:dyDescent="0.25">
      <c r="B3869" s="25"/>
      <c r="C3869" s="7"/>
      <c r="D3869" s="7"/>
      <c r="E3869" s="27"/>
      <c r="F3869" s="27"/>
      <c r="G3869" s="7"/>
    </row>
    <row r="3870" spans="2:7" x14ac:dyDescent="0.25">
      <c r="B3870" s="25"/>
      <c r="C3870" s="7"/>
      <c r="D3870" s="7"/>
      <c r="E3870" s="27"/>
      <c r="F3870" s="27"/>
      <c r="G3870" s="7"/>
    </row>
    <row r="3871" spans="2:7" x14ac:dyDescent="0.25">
      <c r="B3871" s="25"/>
      <c r="C3871" s="7"/>
      <c r="D3871" s="7"/>
      <c r="E3871" s="27"/>
      <c r="F3871" s="27"/>
      <c r="G3871" s="7"/>
    </row>
    <row r="3872" spans="2:7" x14ac:dyDescent="0.25">
      <c r="B3872" s="25"/>
      <c r="C3872" s="7"/>
      <c r="D3872" s="7"/>
      <c r="E3872" s="27"/>
      <c r="F3872" s="27"/>
      <c r="G3872" s="7"/>
    </row>
    <row r="3873" spans="2:7" x14ac:dyDescent="0.25">
      <c r="B3873" s="25"/>
      <c r="C3873" s="7"/>
      <c r="D3873" s="7"/>
      <c r="E3873" s="27"/>
      <c r="F3873" s="27"/>
      <c r="G3873" s="7"/>
    </row>
    <row r="3874" spans="2:7" x14ac:dyDescent="0.25">
      <c r="B3874" s="25"/>
      <c r="C3874" s="7"/>
      <c r="D3874" s="7"/>
      <c r="E3874" s="27"/>
      <c r="F3874" s="27"/>
      <c r="G3874" s="7"/>
    </row>
    <row r="3875" spans="2:7" x14ac:dyDescent="0.25">
      <c r="B3875" s="25"/>
      <c r="C3875" s="7"/>
      <c r="D3875" s="7"/>
      <c r="E3875" s="27"/>
      <c r="F3875" s="27"/>
      <c r="G3875" s="7"/>
    </row>
    <row r="3876" spans="2:7" x14ac:dyDescent="0.25">
      <c r="B3876" s="25"/>
      <c r="C3876" s="7"/>
      <c r="D3876" s="7"/>
      <c r="E3876" s="27"/>
      <c r="F3876" s="27"/>
      <c r="G3876" s="7"/>
    </row>
    <row r="3877" spans="2:7" x14ac:dyDescent="0.25">
      <c r="B3877" s="25"/>
      <c r="C3877" s="7"/>
      <c r="D3877" s="7"/>
      <c r="E3877" s="27"/>
      <c r="F3877" s="27"/>
      <c r="G3877" s="7"/>
    </row>
    <row r="3878" spans="2:7" x14ac:dyDescent="0.25">
      <c r="B3878" s="25"/>
      <c r="C3878" s="7"/>
      <c r="D3878" s="7"/>
      <c r="E3878" s="27"/>
      <c r="F3878" s="27"/>
      <c r="G3878" s="7"/>
    </row>
    <row r="3879" spans="2:7" x14ac:dyDescent="0.25">
      <c r="B3879" s="25"/>
      <c r="C3879" s="7"/>
      <c r="D3879" s="7"/>
      <c r="E3879" s="27"/>
      <c r="F3879" s="27"/>
      <c r="G3879" s="7"/>
    </row>
    <row r="3880" spans="2:7" x14ac:dyDescent="0.25">
      <c r="B3880" s="25"/>
      <c r="C3880" s="7"/>
      <c r="D3880" s="7"/>
      <c r="E3880" s="27"/>
      <c r="F3880" s="27"/>
      <c r="G3880" s="7"/>
    </row>
    <row r="3881" spans="2:7" x14ac:dyDescent="0.25">
      <c r="B3881" s="25"/>
      <c r="C3881" s="7"/>
      <c r="D3881" s="7"/>
      <c r="E3881" s="27"/>
      <c r="F3881" s="27"/>
      <c r="G3881" s="7"/>
    </row>
    <row r="3882" spans="2:7" x14ac:dyDescent="0.25">
      <c r="B3882" s="25"/>
      <c r="C3882" s="7"/>
      <c r="D3882" s="7"/>
      <c r="E3882" s="27"/>
      <c r="F3882" s="27"/>
      <c r="G3882" s="7"/>
    </row>
    <row r="3883" spans="2:7" x14ac:dyDescent="0.25">
      <c r="B3883" s="25"/>
      <c r="C3883" s="7"/>
      <c r="D3883" s="7"/>
      <c r="E3883" s="27"/>
      <c r="F3883" s="27"/>
      <c r="G3883" s="7"/>
    </row>
    <row r="3884" spans="2:7" x14ac:dyDescent="0.25">
      <c r="B3884" s="25"/>
      <c r="C3884" s="7"/>
      <c r="D3884" s="7"/>
      <c r="E3884" s="27"/>
      <c r="F3884" s="27"/>
      <c r="G3884" s="7"/>
    </row>
    <row r="3885" spans="2:7" x14ac:dyDescent="0.25">
      <c r="B3885" s="25"/>
      <c r="C3885" s="7"/>
      <c r="D3885" s="7"/>
      <c r="E3885" s="27"/>
      <c r="F3885" s="27"/>
      <c r="G3885" s="7"/>
    </row>
    <row r="3886" spans="2:7" x14ac:dyDescent="0.25">
      <c r="B3886" s="25"/>
      <c r="C3886" s="7"/>
      <c r="D3886" s="7"/>
      <c r="E3886" s="27"/>
      <c r="F3886" s="27"/>
      <c r="G3886" s="7"/>
    </row>
    <row r="3887" spans="2:7" x14ac:dyDescent="0.25">
      <c r="B3887" s="25"/>
      <c r="C3887" s="7"/>
      <c r="D3887" s="7"/>
      <c r="E3887" s="27"/>
      <c r="F3887" s="27"/>
      <c r="G3887" s="7"/>
    </row>
    <row r="3888" spans="2:7" x14ac:dyDescent="0.25">
      <c r="B3888" s="25"/>
      <c r="C3888" s="7"/>
      <c r="D3888" s="7"/>
      <c r="E3888" s="27"/>
      <c r="F3888" s="27"/>
      <c r="G3888" s="7"/>
    </row>
    <row r="3889" spans="2:7" x14ac:dyDescent="0.25">
      <c r="B3889" s="25"/>
      <c r="C3889" s="7"/>
      <c r="D3889" s="7"/>
      <c r="E3889" s="27"/>
      <c r="F3889" s="27"/>
      <c r="G3889" s="7"/>
    </row>
    <row r="3890" spans="2:7" x14ac:dyDescent="0.25">
      <c r="B3890" s="25"/>
      <c r="C3890" s="7"/>
      <c r="D3890" s="7"/>
      <c r="E3890" s="27"/>
      <c r="F3890" s="27"/>
      <c r="G3890" s="7"/>
    </row>
    <row r="3891" spans="2:7" x14ac:dyDescent="0.25">
      <c r="B3891" s="25"/>
      <c r="C3891" s="7"/>
      <c r="D3891" s="7"/>
      <c r="E3891" s="27"/>
      <c r="F3891" s="27"/>
      <c r="G3891" s="7"/>
    </row>
    <row r="3892" spans="2:7" x14ac:dyDescent="0.25">
      <c r="B3892" s="25"/>
      <c r="C3892" s="7"/>
      <c r="D3892" s="7"/>
      <c r="E3892" s="27"/>
      <c r="F3892" s="27"/>
      <c r="G3892" s="7"/>
    </row>
    <row r="3893" spans="2:7" x14ac:dyDescent="0.25">
      <c r="B3893" s="25"/>
      <c r="C3893" s="7"/>
      <c r="D3893" s="7"/>
      <c r="E3893" s="27"/>
      <c r="F3893" s="27"/>
      <c r="G3893" s="7"/>
    </row>
    <row r="3894" spans="2:7" x14ac:dyDescent="0.25">
      <c r="B3894" s="25"/>
      <c r="C3894" s="7"/>
      <c r="D3894" s="7"/>
      <c r="E3894" s="27"/>
      <c r="F3894" s="27"/>
      <c r="G3894" s="7"/>
    </row>
    <row r="3895" spans="2:7" x14ac:dyDescent="0.25">
      <c r="B3895" s="25"/>
      <c r="C3895" s="7"/>
      <c r="D3895" s="7"/>
      <c r="E3895" s="27"/>
      <c r="F3895" s="27"/>
      <c r="G3895" s="7"/>
    </row>
    <row r="3896" spans="2:7" x14ac:dyDescent="0.25">
      <c r="B3896" s="25"/>
      <c r="C3896" s="7"/>
      <c r="D3896" s="7"/>
      <c r="E3896" s="27"/>
      <c r="F3896" s="27"/>
      <c r="G3896" s="7"/>
    </row>
    <row r="3897" spans="2:7" x14ac:dyDescent="0.25">
      <c r="B3897" s="25"/>
      <c r="C3897" s="7"/>
      <c r="D3897" s="7"/>
      <c r="E3897" s="27"/>
      <c r="F3897" s="27"/>
      <c r="G3897" s="7"/>
    </row>
    <row r="3898" spans="2:7" x14ac:dyDescent="0.25">
      <c r="B3898" s="25"/>
      <c r="C3898" s="7"/>
      <c r="D3898" s="7"/>
      <c r="E3898" s="27"/>
      <c r="F3898" s="27"/>
      <c r="G3898" s="7"/>
    </row>
    <row r="3899" spans="2:7" x14ac:dyDescent="0.25">
      <c r="B3899" s="25"/>
      <c r="C3899" s="7"/>
      <c r="D3899" s="7"/>
      <c r="E3899" s="27"/>
      <c r="F3899" s="27"/>
      <c r="G3899" s="7"/>
    </row>
    <row r="3900" spans="2:7" x14ac:dyDescent="0.25">
      <c r="B3900" s="25"/>
      <c r="C3900" s="7"/>
      <c r="D3900" s="7"/>
      <c r="E3900" s="27"/>
      <c r="F3900" s="27"/>
      <c r="G3900" s="7"/>
    </row>
    <row r="3901" spans="2:7" x14ac:dyDescent="0.25">
      <c r="B3901" s="25"/>
      <c r="C3901" s="7"/>
      <c r="D3901" s="7"/>
      <c r="E3901" s="27"/>
      <c r="F3901" s="27"/>
      <c r="G3901" s="7"/>
    </row>
    <row r="3902" spans="2:7" x14ac:dyDescent="0.25">
      <c r="B3902" s="25"/>
      <c r="C3902" s="7"/>
      <c r="D3902" s="7"/>
      <c r="E3902" s="27"/>
      <c r="F3902" s="27"/>
      <c r="G3902" s="7"/>
    </row>
    <row r="3903" spans="2:7" x14ac:dyDescent="0.25">
      <c r="B3903" s="25"/>
      <c r="C3903" s="7"/>
      <c r="D3903" s="7"/>
      <c r="E3903" s="27"/>
      <c r="F3903" s="27"/>
      <c r="G3903" s="7"/>
    </row>
    <row r="3904" spans="2:7" x14ac:dyDescent="0.25">
      <c r="B3904" s="25"/>
      <c r="C3904" s="7"/>
      <c r="D3904" s="7"/>
      <c r="E3904" s="27"/>
      <c r="F3904" s="27"/>
      <c r="G3904" s="7"/>
    </row>
    <row r="3905" spans="2:7" x14ac:dyDescent="0.25">
      <c r="B3905" s="25"/>
      <c r="C3905" s="7"/>
      <c r="D3905" s="7"/>
      <c r="E3905" s="27"/>
      <c r="F3905" s="27"/>
      <c r="G3905" s="7"/>
    </row>
    <row r="3906" spans="2:7" x14ac:dyDescent="0.25">
      <c r="B3906" s="25"/>
      <c r="C3906" s="7"/>
      <c r="D3906" s="7"/>
      <c r="E3906" s="27"/>
      <c r="F3906" s="27"/>
      <c r="G3906" s="7"/>
    </row>
    <row r="3907" spans="2:7" x14ac:dyDescent="0.25">
      <c r="B3907" s="25"/>
      <c r="C3907" s="7"/>
      <c r="D3907" s="7"/>
      <c r="E3907" s="27"/>
      <c r="F3907" s="27"/>
      <c r="G3907" s="7"/>
    </row>
    <row r="3908" spans="2:7" x14ac:dyDescent="0.25">
      <c r="B3908" s="25"/>
      <c r="C3908" s="7"/>
      <c r="D3908" s="7"/>
      <c r="E3908" s="27"/>
      <c r="F3908" s="27"/>
      <c r="G3908" s="7"/>
    </row>
    <row r="3909" spans="2:7" x14ac:dyDescent="0.25">
      <c r="B3909" s="25"/>
      <c r="C3909" s="7"/>
      <c r="D3909" s="7"/>
      <c r="E3909" s="27"/>
      <c r="F3909" s="27"/>
      <c r="G3909" s="7"/>
    </row>
    <row r="3910" spans="2:7" x14ac:dyDescent="0.25">
      <c r="B3910" s="25"/>
      <c r="C3910" s="7"/>
      <c r="D3910" s="7"/>
      <c r="E3910" s="27"/>
      <c r="F3910" s="27"/>
      <c r="G3910" s="7"/>
    </row>
    <row r="3911" spans="2:7" x14ac:dyDescent="0.25">
      <c r="B3911" s="25"/>
      <c r="C3911" s="7"/>
      <c r="D3911" s="7"/>
      <c r="E3911" s="27"/>
      <c r="F3911" s="27"/>
      <c r="G3911" s="7"/>
    </row>
    <row r="3912" spans="2:7" x14ac:dyDescent="0.25">
      <c r="B3912" s="25"/>
      <c r="C3912" s="7"/>
      <c r="D3912" s="7"/>
      <c r="E3912" s="27"/>
      <c r="F3912" s="27"/>
      <c r="G3912" s="7"/>
    </row>
    <row r="3913" spans="2:7" x14ac:dyDescent="0.25">
      <c r="B3913" s="25"/>
      <c r="C3913" s="7"/>
      <c r="D3913" s="7"/>
      <c r="E3913" s="27"/>
      <c r="F3913" s="27"/>
      <c r="G3913" s="7"/>
    </row>
    <row r="3914" spans="2:7" x14ac:dyDescent="0.25">
      <c r="B3914" s="25"/>
      <c r="C3914" s="7"/>
      <c r="D3914" s="7"/>
      <c r="E3914" s="27"/>
      <c r="F3914" s="27"/>
      <c r="G3914" s="7"/>
    </row>
    <row r="3915" spans="2:7" x14ac:dyDescent="0.25">
      <c r="B3915" s="25"/>
      <c r="C3915" s="7"/>
      <c r="D3915" s="7"/>
      <c r="E3915" s="27"/>
      <c r="F3915" s="27"/>
      <c r="G3915" s="7"/>
    </row>
    <row r="3916" spans="2:7" x14ac:dyDescent="0.25">
      <c r="B3916" s="25"/>
      <c r="C3916" s="7"/>
      <c r="D3916" s="7"/>
      <c r="E3916" s="27"/>
      <c r="F3916" s="27"/>
      <c r="G3916" s="7"/>
    </row>
    <row r="3917" spans="2:7" x14ac:dyDescent="0.25">
      <c r="B3917" s="25"/>
      <c r="C3917" s="7"/>
      <c r="D3917" s="7"/>
      <c r="E3917" s="27"/>
      <c r="F3917" s="27"/>
      <c r="G3917" s="7"/>
    </row>
    <row r="3918" spans="2:7" x14ac:dyDescent="0.25">
      <c r="B3918" s="25"/>
      <c r="C3918" s="7"/>
      <c r="D3918" s="7"/>
      <c r="E3918" s="27"/>
      <c r="F3918" s="27"/>
      <c r="G3918" s="7"/>
    </row>
    <row r="3919" spans="2:7" x14ac:dyDescent="0.25">
      <c r="B3919" s="25"/>
      <c r="C3919" s="7"/>
      <c r="D3919" s="7"/>
      <c r="E3919" s="27"/>
      <c r="F3919" s="27"/>
      <c r="G3919" s="7"/>
    </row>
    <row r="3920" spans="2:7" x14ac:dyDescent="0.25">
      <c r="B3920" s="25"/>
      <c r="C3920" s="7"/>
      <c r="D3920" s="7"/>
      <c r="E3920" s="27"/>
      <c r="F3920" s="27"/>
      <c r="G3920" s="7"/>
    </row>
    <row r="3921" spans="2:7" x14ac:dyDescent="0.25">
      <c r="B3921" s="25"/>
      <c r="C3921" s="7"/>
      <c r="D3921" s="7"/>
      <c r="E3921" s="27"/>
      <c r="F3921" s="27"/>
      <c r="G3921" s="7"/>
    </row>
    <row r="3922" spans="2:7" x14ac:dyDescent="0.25">
      <c r="B3922" s="25"/>
      <c r="C3922" s="7"/>
      <c r="D3922" s="7"/>
      <c r="E3922" s="27"/>
      <c r="F3922" s="27"/>
      <c r="G3922" s="7"/>
    </row>
    <row r="3923" spans="2:7" x14ac:dyDescent="0.25">
      <c r="B3923" s="25"/>
      <c r="C3923" s="7"/>
      <c r="D3923" s="7"/>
      <c r="E3923" s="27"/>
      <c r="F3923" s="27"/>
      <c r="G3923" s="7"/>
    </row>
    <row r="3924" spans="2:7" x14ac:dyDescent="0.25">
      <c r="B3924" s="25"/>
      <c r="C3924" s="7"/>
      <c r="D3924" s="7"/>
      <c r="E3924" s="27"/>
      <c r="F3924" s="27"/>
      <c r="G3924" s="7"/>
    </row>
    <row r="3925" spans="2:7" x14ac:dyDescent="0.25">
      <c r="B3925" s="25"/>
      <c r="C3925" s="7"/>
      <c r="D3925" s="7"/>
      <c r="E3925" s="27"/>
      <c r="F3925" s="27"/>
      <c r="G3925" s="7"/>
    </row>
    <row r="3926" spans="2:7" x14ac:dyDescent="0.25">
      <c r="B3926" s="25"/>
      <c r="C3926" s="7"/>
      <c r="D3926" s="7"/>
      <c r="E3926" s="27"/>
      <c r="F3926" s="27"/>
      <c r="G3926" s="7"/>
    </row>
    <row r="3927" spans="2:7" x14ac:dyDescent="0.25">
      <c r="B3927" s="25"/>
      <c r="C3927" s="7"/>
      <c r="D3927" s="7"/>
      <c r="E3927" s="27"/>
      <c r="F3927" s="27"/>
      <c r="G3927" s="7"/>
    </row>
    <row r="3928" spans="2:7" x14ac:dyDescent="0.25">
      <c r="B3928" s="25"/>
      <c r="C3928" s="7"/>
      <c r="D3928" s="7"/>
      <c r="E3928" s="27"/>
      <c r="F3928" s="27"/>
      <c r="G3928" s="7"/>
    </row>
    <row r="3929" spans="2:7" x14ac:dyDescent="0.25">
      <c r="B3929" s="25"/>
      <c r="C3929" s="7"/>
      <c r="D3929" s="7"/>
      <c r="E3929" s="27"/>
      <c r="F3929" s="27"/>
      <c r="G3929" s="7"/>
    </row>
    <row r="3930" spans="2:7" x14ac:dyDescent="0.25">
      <c r="B3930" s="25"/>
      <c r="C3930" s="7"/>
      <c r="D3930" s="7"/>
      <c r="E3930" s="27"/>
      <c r="F3930" s="27"/>
      <c r="G3930" s="7"/>
    </row>
    <row r="3931" spans="2:7" x14ac:dyDescent="0.25">
      <c r="B3931" s="25"/>
      <c r="C3931" s="7"/>
      <c r="D3931" s="7"/>
      <c r="E3931" s="27"/>
      <c r="F3931" s="27"/>
      <c r="G3931" s="7"/>
    </row>
    <row r="3932" spans="2:7" x14ac:dyDescent="0.25">
      <c r="B3932" s="25"/>
      <c r="C3932" s="7"/>
      <c r="D3932" s="7"/>
      <c r="E3932" s="27"/>
      <c r="F3932" s="27"/>
      <c r="G3932" s="7"/>
    </row>
    <row r="3933" spans="2:7" x14ac:dyDescent="0.25">
      <c r="B3933" s="25"/>
      <c r="C3933" s="7"/>
      <c r="D3933" s="7"/>
      <c r="E3933" s="27"/>
      <c r="F3933" s="27"/>
      <c r="G3933" s="7"/>
    </row>
    <row r="3934" spans="2:7" x14ac:dyDescent="0.25">
      <c r="B3934" s="25"/>
      <c r="C3934" s="7"/>
      <c r="D3934" s="7"/>
      <c r="E3934" s="27"/>
      <c r="F3934" s="27"/>
      <c r="G3934" s="7"/>
    </row>
    <row r="3935" spans="2:7" x14ac:dyDescent="0.25">
      <c r="B3935" s="25"/>
      <c r="C3935" s="7"/>
      <c r="D3935" s="7"/>
      <c r="E3935" s="27"/>
      <c r="F3935" s="27"/>
      <c r="G3935" s="7"/>
    </row>
    <row r="3936" spans="2:7" x14ac:dyDescent="0.25">
      <c r="B3936" s="25"/>
      <c r="C3936" s="7"/>
      <c r="D3936" s="7"/>
      <c r="E3936" s="27"/>
      <c r="F3936" s="27"/>
      <c r="G3936" s="7"/>
    </row>
    <row r="3937" spans="2:7" x14ac:dyDescent="0.25">
      <c r="B3937" s="25"/>
      <c r="C3937" s="7"/>
      <c r="D3937" s="7"/>
      <c r="E3937" s="27"/>
      <c r="F3937" s="27"/>
      <c r="G3937" s="7"/>
    </row>
    <row r="3938" spans="2:7" x14ac:dyDescent="0.25">
      <c r="B3938" s="25"/>
      <c r="C3938" s="7"/>
      <c r="D3938" s="7"/>
      <c r="E3938" s="27"/>
      <c r="F3938" s="27"/>
      <c r="G3938" s="7"/>
    </row>
    <row r="3939" spans="2:7" x14ac:dyDescent="0.25">
      <c r="B3939" s="25"/>
      <c r="C3939" s="7"/>
      <c r="D3939" s="7"/>
      <c r="E3939" s="27"/>
      <c r="F3939" s="27"/>
      <c r="G3939" s="7"/>
    </row>
    <row r="3940" spans="2:7" x14ac:dyDescent="0.25">
      <c r="B3940" s="25"/>
      <c r="C3940" s="7"/>
      <c r="D3940" s="7"/>
      <c r="E3940" s="27"/>
      <c r="F3940" s="27"/>
      <c r="G3940" s="7"/>
    </row>
    <row r="3941" spans="2:7" x14ac:dyDescent="0.25">
      <c r="B3941" s="25"/>
      <c r="C3941" s="7"/>
      <c r="D3941" s="7"/>
      <c r="E3941" s="27"/>
      <c r="F3941" s="27"/>
      <c r="G3941" s="7"/>
    </row>
    <row r="3942" spans="2:7" x14ac:dyDescent="0.25">
      <c r="B3942" s="25"/>
      <c r="C3942" s="7"/>
      <c r="D3942" s="7"/>
      <c r="E3942" s="27"/>
      <c r="F3942" s="27"/>
      <c r="G3942" s="7"/>
    </row>
    <row r="3943" spans="2:7" x14ac:dyDescent="0.25">
      <c r="B3943" s="25"/>
      <c r="C3943" s="7"/>
      <c r="D3943" s="7"/>
      <c r="E3943" s="27"/>
      <c r="F3943" s="27"/>
      <c r="G3943" s="7"/>
    </row>
    <row r="3944" spans="2:7" x14ac:dyDescent="0.25">
      <c r="B3944" s="25"/>
      <c r="C3944" s="7"/>
      <c r="D3944" s="7"/>
      <c r="E3944" s="27"/>
      <c r="F3944" s="27"/>
      <c r="G3944" s="7"/>
    </row>
    <row r="3945" spans="2:7" x14ac:dyDescent="0.25">
      <c r="B3945" s="25"/>
      <c r="C3945" s="7"/>
      <c r="D3945" s="7"/>
      <c r="E3945" s="27"/>
      <c r="F3945" s="27"/>
      <c r="G3945" s="7"/>
    </row>
    <row r="3946" spans="2:7" x14ac:dyDescent="0.25">
      <c r="B3946" s="25"/>
      <c r="C3946" s="7"/>
      <c r="D3946" s="7"/>
      <c r="E3946" s="27"/>
      <c r="F3946" s="27"/>
      <c r="G3946" s="7"/>
    </row>
    <row r="3947" spans="2:7" x14ac:dyDescent="0.25">
      <c r="B3947" s="25"/>
      <c r="C3947" s="7"/>
      <c r="D3947" s="7"/>
      <c r="E3947" s="27"/>
      <c r="F3947" s="27"/>
      <c r="G3947" s="7"/>
    </row>
    <row r="3948" spans="2:7" x14ac:dyDescent="0.25">
      <c r="B3948" s="25"/>
      <c r="C3948" s="7"/>
      <c r="D3948" s="7"/>
      <c r="E3948" s="27"/>
      <c r="F3948" s="27"/>
      <c r="G3948" s="7"/>
    </row>
    <row r="3949" spans="2:7" x14ac:dyDescent="0.25">
      <c r="B3949" s="25"/>
      <c r="C3949" s="7"/>
      <c r="D3949" s="7"/>
      <c r="E3949" s="27"/>
      <c r="F3949" s="27"/>
      <c r="G3949" s="7"/>
    </row>
    <row r="3950" spans="2:7" x14ac:dyDescent="0.25">
      <c r="B3950" s="25"/>
      <c r="C3950" s="7"/>
      <c r="D3950" s="7"/>
      <c r="E3950" s="27"/>
      <c r="F3950" s="27"/>
      <c r="G3950" s="7"/>
    </row>
    <row r="3951" spans="2:7" x14ac:dyDescent="0.25">
      <c r="B3951" s="25"/>
      <c r="C3951" s="7"/>
      <c r="D3951" s="7"/>
      <c r="E3951" s="27"/>
      <c r="F3951" s="27"/>
      <c r="G3951" s="7"/>
    </row>
    <row r="3952" spans="2:7" x14ac:dyDescent="0.25">
      <c r="B3952" s="25"/>
      <c r="C3952" s="7"/>
      <c r="D3952" s="7"/>
      <c r="E3952" s="27"/>
      <c r="F3952" s="27"/>
      <c r="G3952" s="7"/>
    </row>
    <row r="3953" spans="2:7" x14ac:dyDescent="0.25">
      <c r="B3953" s="25"/>
      <c r="C3953" s="7"/>
      <c r="D3953" s="7"/>
      <c r="E3953" s="27"/>
      <c r="F3953" s="27"/>
      <c r="G3953" s="7"/>
    </row>
    <row r="3954" spans="2:7" x14ac:dyDescent="0.25">
      <c r="B3954" s="25"/>
      <c r="C3954" s="7"/>
      <c r="D3954" s="7"/>
      <c r="E3954" s="27"/>
      <c r="F3954" s="27"/>
      <c r="G3954" s="7"/>
    </row>
    <row r="3955" spans="2:7" x14ac:dyDescent="0.25">
      <c r="B3955" s="25"/>
      <c r="C3955" s="7"/>
      <c r="D3955" s="7"/>
      <c r="E3955" s="27"/>
      <c r="F3955" s="27"/>
      <c r="G3955" s="7"/>
    </row>
    <row r="3956" spans="2:7" x14ac:dyDescent="0.25">
      <c r="B3956" s="25"/>
      <c r="C3956" s="7"/>
      <c r="D3956" s="7"/>
      <c r="E3956" s="27"/>
      <c r="F3956" s="27"/>
      <c r="G3956" s="7"/>
    </row>
    <row r="3957" spans="2:7" x14ac:dyDescent="0.25">
      <c r="B3957" s="25"/>
      <c r="C3957" s="7"/>
      <c r="D3957" s="7"/>
      <c r="E3957" s="27"/>
      <c r="F3957" s="27"/>
      <c r="G3957" s="7"/>
    </row>
    <row r="3958" spans="2:7" x14ac:dyDescent="0.25">
      <c r="B3958" s="25"/>
      <c r="C3958" s="7"/>
      <c r="D3958" s="7"/>
      <c r="E3958" s="27"/>
      <c r="F3958" s="27"/>
      <c r="G3958" s="7"/>
    </row>
    <row r="3959" spans="2:7" x14ac:dyDescent="0.25">
      <c r="B3959" s="25"/>
      <c r="C3959" s="7"/>
      <c r="D3959" s="7"/>
      <c r="E3959" s="27"/>
      <c r="F3959" s="27"/>
      <c r="G3959" s="7"/>
    </row>
    <row r="3960" spans="2:7" x14ac:dyDescent="0.25">
      <c r="B3960" s="25"/>
      <c r="C3960" s="7"/>
      <c r="D3960" s="7"/>
      <c r="E3960" s="27"/>
      <c r="F3960" s="27"/>
      <c r="G3960" s="7"/>
    </row>
    <row r="3961" spans="2:7" x14ac:dyDescent="0.25">
      <c r="B3961" s="25"/>
      <c r="C3961" s="7"/>
      <c r="D3961" s="7"/>
      <c r="E3961" s="27"/>
      <c r="F3961" s="27"/>
      <c r="G3961" s="7"/>
    </row>
    <row r="3962" spans="2:7" x14ac:dyDescent="0.25">
      <c r="B3962" s="25"/>
      <c r="C3962" s="7"/>
      <c r="D3962" s="7"/>
      <c r="E3962" s="27"/>
      <c r="F3962" s="27"/>
      <c r="G3962" s="7"/>
    </row>
    <row r="3963" spans="2:7" x14ac:dyDescent="0.25">
      <c r="B3963" s="25"/>
      <c r="C3963" s="7"/>
      <c r="D3963" s="7"/>
      <c r="E3963" s="27"/>
      <c r="F3963" s="27"/>
      <c r="G3963" s="7"/>
    </row>
    <row r="3964" spans="2:7" x14ac:dyDescent="0.25">
      <c r="B3964" s="25"/>
      <c r="C3964" s="7"/>
      <c r="D3964" s="7"/>
      <c r="E3964" s="27"/>
      <c r="F3964" s="27"/>
      <c r="G3964" s="7"/>
    </row>
    <row r="3965" spans="2:7" x14ac:dyDescent="0.25">
      <c r="B3965" s="25"/>
      <c r="C3965" s="7"/>
      <c r="D3965" s="7"/>
      <c r="E3965" s="27"/>
      <c r="F3965" s="27"/>
      <c r="G3965" s="7"/>
    </row>
    <row r="3966" spans="2:7" x14ac:dyDescent="0.25">
      <c r="B3966" s="25"/>
      <c r="C3966" s="7"/>
      <c r="D3966" s="7"/>
      <c r="E3966" s="27"/>
      <c r="F3966" s="27"/>
      <c r="G3966" s="7"/>
    </row>
    <row r="3967" spans="2:7" x14ac:dyDescent="0.25">
      <c r="B3967" s="25"/>
      <c r="C3967" s="7"/>
      <c r="D3967" s="7"/>
      <c r="E3967" s="27"/>
      <c r="F3967" s="27"/>
      <c r="G3967" s="7"/>
    </row>
    <row r="3968" spans="2:7" x14ac:dyDescent="0.25">
      <c r="B3968" s="25"/>
      <c r="C3968" s="7"/>
      <c r="D3968" s="7"/>
      <c r="E3968" s="27"/>
      <c r="F3968" s="27"/>
      <c r="G3968" s="7"/>
    </row>
    <row r="3969" spans="2:7" x14ac:dyDescent="0.25">
      <c r="B3969" s="25"/>
      <c r="C3969" s="7"/>
      <c r="D3969" s="7"/>
      <c r="E3969" s="27"/>
      <c r="F3969" s="27"/>
      <c r="G3969" s="7"/>
    </row>
    <row r="3970" spans="2:7" x14ac:dyDescent="0.25">
      <c r="B3970" s="25"/>
      <c r="C3970" s="7"/>
      <c r="D3970" s="7"/>
      <c r="E3970" s="27"/>
      <c r="F3970" s="27"/>
      <c r="G3970" s="7"/>
    </row>
    <row r="3971" spans="2:7" x14ac:dyDescent="0.25">
      <c r="B3971" s="25"/>
      <c r="C3971" s="7"/>
      <c r="D3971" s="7"/>
      <c r="E3971" s="27"/>
      <c r="F3971" s="27"/>
      <c r="G3971" s="7"/>
    </row>
    <row r="3972" spans="2:7" x14ac:dyDescent="0.25">
      <c r="B3972" s="25"/>
      <c r="C3972" s="7"/>
      <c r="D3972" s="7"/>
      <c r="E3972" s="27"/>
      <c r="F3972" s="27"/>
      <c r="G3972" s="7"/>
    </row>
    <row r="3973" spans="2:7" x14ac:dyDescent="0.25">
      <c r="B3973" s="25"/>
      <c r="C3973" s="7"/>
      <c r="D3973" s="7"/>
      <c r="E3973" s="27"/>
      <c r="F3973" s="27"/>
      <c r="G3973" s="7"/>
    </row>
    <row r="3974" spans="2:7" x14ac:dyDescent="0.25">
      <c r="B3974" s="25"/>
      <c r="C3974" s="7"/>
      <c r="D3974" s="7"/>
      <c r="E3974" s="27"/>
      <c r="F3974" s="27"/>
      <c r="G3974" s="7"/>
    </row>
    <row r="3975" spans="2:7" x14ac:dyDescent="0.25">
      <c r="B3975" s="25"/>
      <c r="C3975" s="7"/>
      <c r="D3975" s="7"/>
      <c r="E3975" s="27"/>
      <c r="F3975" s="27"/>
      <c r="G3975" s="7"/>
    </row>
    <row r="3976" spans="2:7" x14ac:dyDescent="0.25">
      <c r="B3976" s="25"/>
      <c r="C3976" s="7"/>
      <c r="D3976" s="7"/>
      <c r="E3976" s="27"/>
      <c r="F3976" s="27"/>
      <c r="G3976" s="7"/>
    </row>
    <row r="3977" spans="2:7" x14ac:dyDescent="0.25">
      <c r="B3977" s="25"/>
      <c r="C3977" s="7"/>
      <c r="D3977" s="7"/>
      <c r="E3977" s="27"/>
      <c r="F3977" s="27"/>
      <c r="G3977" s="7"/>
    </row>
    <row r="3978" spans="2:7" x14ac:dyDescent="0.25">
      <c r="B3978" s="25"/>
      <c r="C3978" s="7"/>
      <c r="D3978" s="7"/>
      <c r="E3978" s="27"/>
      <c r="F3978" s="27"/>
      <c r="G3978" s="7"/>
    </row>
    <row r="3979" spans="2:7" x14ac:dyDescent="0.25">
      <c r="B3979" s="25"/>
      <c r="C3979" s="7"/>
      <c r="D3979" s="7"/>
      <c r="E3979" s="27"/>
      <c r="F3979" s="27"/>
      <c r="G3979" s="7"/>
    </row>
    <row r="3980" spans="2:7" x14ac:dyDescent="0.25">
      <c r="B3980" s="25"/>
      <c r="C3980" s="7"/>
      <c r="D3980" s="7"/>
      <c r="E3980" s="27"/>
      <c r="F3980" s="27"/>
      <c r="G3980" s="7"/>
    </row>
    <row r="3981" spans="2:7" x14ac:dyDescent="0.25">
      <c r="B3981" s="25"/>
      <c r="C3981" s="7"/>
      <c r="D3981" s="7"/>
      <c r="E3981" s="27"/>
      <c r="F3981" s="27"/>
      <c r="G3981" s="7"/>
    </row>
    <row r="3982" spans="2:7" x14ac:dyDescent="0.25">
      <c r="B3982" s="25"/>
      <c r="C3982" s="7"/>
      <c r="D3982" s="7"/>
      <c r="E3982" s="27"/>
      <c r="F3982" s="27"/>
      <c r="G3982" s="7"/>
    </row>
    <row r="3983" spans="2:7" x14ac:dyDescent="0.25">
      <c r="B3983" s="25"/>
      <c r="C3983" s="7"/>
      <c r="D3983" s="7"/>
      <c r="E3983" s="27"/>
      <c r="F3983" s="27"/>
      <c r="G3983" s="7"/>
    </row>
    <row r="3984" spans="2:7" x14ac:dyDescent="0.25">
      <c r="B3984" s="25"/>
      <c r="C3984" s="7"/>
      <c r="D3984" s="7"/>
      <c r="E3984" s="27"/>
      <c r="F3984" s="27"/>
      <c r="G3984" s="7"/>
    </row>
    <row r="3985" spans="2:7" x14ac:dyDescent="0.25">
      <c r="B3985" s="25"/>
      <c r="C3985" s="7"/>
      <c r="D3985" s="7"/>
      <c r="E3985" s="27"/>
      <c r="F3985" s="27"/>
      <c r="G3985" s="7"/>
    </row>
    <row r="3986" spans="2:7" x14ac:dyDescent="0.25">
      <c r="B3986" s="25"/>
      <c r="C3986" s="7"/>
      <c r="D3986" s="7"/>
      <c r="E3986" s="27"/>
      <c r="F3986" s="27"/>
      <c r="G3986" s="7"/>
    </row>
    <row r="3987" spans="2:7" x14ac:dyDescent="0.25">
      <c r="B3987" s="25"/>
      <c r="C3987" s="7"/>
      <c r="D3987" s="7"/>
      <c r="E3987" s="27"/>
      <c r="F3987" s="27"/>
      <c r="G3987" s="7"/>
    </row>
    <row r="3988" spans="2:7" x14ac:dyDescent="0.25">
      <c r="B3988" s="25"/>
      <c r="C3988" s="7"/>
      <c r="D3988" s="7"/>
      <c r="E3988" s="27"/>
      <c r="F3988" s="27"/>
      <c r="G3988" s="7"/>
    </row>
    <row r="3989" spans="2:7" x14ac:dyDescent="0.25">
      <c r="B3989" s="25"/>
      <c r="C3989" s="7"/>
      <c r="D3989" s="7"/>
      <c r="E3989" s="27"/>
      <c r="F3989" s="27"/>
      <c r="G3989" s="7"/>
    </row>
    <row r="3990" spans="2:7" x14ac:dyDescent="0.25">
      <c r="B3990" s="25"/>
      <c r="C3990" s="7"/>
      <c r="D3990" s="7"/>
      <c r="E3990" s="27"/>
      <c r="F3990" s="27"/>
      <c r="G3990" s="7"/>
    </row>
    <row r="3991" spans="2:7" x14ac:dyDescent="0.25">
      <c r="B3991" s="25"/>
      <c r="C3991" s="7"/>
      <c r="D3991" s="7"/>
      <c r="E3991" s="27"/>
      <c r="F3991" s="27"/>
      <c r="G3991" s="7"/>
    </row>
    <row r="3992" spans="2:7" x14ac:dyDescent="0.25">
      <c r="B3992" s="25"/>
      <c r="C3992" s="7"/>
      <c r="D3992" s="7"/>
      <c r="E3992" s="27"/>
      <c r="F3992" s="27"/>
      <c r="G3992" s="7"/>
    </row>
    <row r="3993" spans="2:7" x14ac:dyDescent="0.25">
      <c r="B3993" s="25"/>
      <c r="C3993" s="7"/>
      <c r="D3993" s="7"/>
      <c r="E3993" s="27"/>
      <c r="F3993" s="27"/>
      <c r="G3993" s="7"/>
    </row>
    <row r="3994" spans="2:7" x14ac:dyDescent="0.25">
      <c r="B3994" s="25"/>
      <c r="C3994" s="7"/>
      <c r="D3994" s="7"/>
      <c r="E3994" s="27"/>
      <c r="F3994" s="27"/>
      <c r="G3994" s="7"/>
    </row>
    <row r="3995" spans="2:7" x14ac:dyDescent="0.25">
      <c r="B3995" s="25"/>
      <c r="C3995" s="7"/>
      <c r="D3995" s="7"/>
      <c r="E3995" s="27"/>
      <c r="F3995" s="27"/>
      <c r="G3995" s="7"/>
    </row>
    <row r="3996" spans="2:7" x14ac:dyDescent="0.25">
      <c r="B3996" s="25"/>
      <c r="C3996" s="7"/>
      <c r="D3996" s="7"/>
      <c r="E3996" s="27"/>
      <c r="F3996" s="27"/>
      <c r="G3996" s="7"/>
    </row>
    <row r="3997" spans="2:7" x14ac:dyDescent="0.25">
      <c r="B3997" s="25"/>
      <c r="C3997" s="7"/>
      <c r="D3997" s="7"/>
      <c r="E3997" s="27"/>
      <c r="F3997" s="27"/>
      <c r="G3997" s="7"/>
    </row>
    <row r="3998" spans="2:7" x14ac:dyDescent="0.25">
      <c r="B3998" s="25"/>
      <c r="C3998" s="7"/>
      <c r="D3998" s="7"/>
      <c r="E3998" s="27"/>
      <c r="F3998" s="27"/>
      <c r="G3998" s="7"/>
    </row>
    <row r="3999" spans="2:7" x14ac:dyDescent="0.25">
      <c r="B3999" s="25"/>
      <c r="C3999" s="7"/>
      <c r="D3999" s="7"/>
      <c r="E3999" s="27"/>
      <c r="F3999" s="27"/>
      <c r="G3999" s="7"/>
    </row>
    <row r="4000" spans="2:7" x14ac:dyDescent="0.25">
      <c r="B4000" s="25"/>
      <c r="C4000" s="7"/>
      <c r="D4000" s="7"/>
      <c r="E4000" s="27"/>
      <c r="F4000" s="27"/>
      <c r="G4000" s="7"/>
    </row>
    <row r="4001" spans="2:7" x14ac:dyDescent="0.25">
      <c r="B4001" s="25"/>
      <c r="C4001" s="7"/>
      <c r="D4001" s="7"/>
      <c r="E4001" s="27"/>
      <c r="F4001" s="27"/>
      <c r="G4001" s="7"/>
    </row>
    <row r="4002" spans="2:7" x14ac:dyDescent="0.25">
      <c r="B4002" s="25"/>
      <c r="C4002" s="7"/>
      <c r="D4002" s="7"/>
      <c r="E4002" s="27"/>
      <c r="F4002" s="27"/>
      <c r="G4002" s="7"/>
    </row>
    <row r="4003" spans="2:7" x14ac:dyDescent="0.25">
      <c r="B4003" s="25"/>
      <c r="C4003" s="7"/>
      <c r="D4003" s="7"/>
      <c r="E4003" s="27"/>
      <c r="F4003" s="27"/>
      <c r="G4003" s="7"/>
    </row>
    <row r="4004" spans="2:7" x14ac:dyDescent="0.25">
      <c r="B4004" s="25"/>
      <c r="C4004" s="7"/>
      <c r="D4004" s="7"/>
      <c r="E4004" s="27"/>
      <c r="F4004" s="27"/>
      <c r="G4004" s="7"/>
    </row>
    <row r="4005" spans="2:7" x14ac:dyDescent="0.25">
      <c r="B4005" s="25"/>
      <c r="C4005" s="7"/>
      <c r="D4005" s="7"/>
      <c r="E4005" s="27"/>
      <c r="F4005" s="27"/>
      <c r="G4005" s="7"/>
    </row>
    <row r="4006" spans="2:7" x14ac:dyDescent="0.25">
      <c r="B4006" s="25"/>
      <c r="C4006" s="7"/>
      <c r="D4006" s="7"/>
      <c r="E4006" s="27"/>
      <c r="F4006" s="27"/>
      <c r="G4006" s="7"/>
    </row>
    <row r="4007" spans="2:7" x14ac:dyDescent="0.25">
      <c r="B4007" s="25"/>
      <c r="C4007" s="7"/>
      <c r="D4007" s="7"/>
      <c r="E4007" s="27"/>
      <c r="F4007" s="27"/>
      <c r="G4007" s="7"/>
    </row>
    <row r="4008" spans="2:7" x14ac:dyDescent="0.25">
      <c r="B4008" s="25"/>
      <c r="C4008" s="7"/>
      <c r="D4008" s="7"/>
      <c r="E4008" s="27"/>
      <c r="F4008" s="27"/>
      <c r="G4008" s="7"/>
    </row>
    <row r="4009" spans="2:7" x14ac:dyDescent="0.25">
      <c r="B4009" s="25"/>
      <c r="C4009" s="7"/>
      <c r="D4009" s="7"/>
      <c r="E4009" s="27"/>
      <c r="F4009" s="27"/>
      <c r="G4009" s="7"/>
    </row>
    <row r="4010" spans="2:7" x14ac:dyDescent="0.25">
      <c r="B4010" s="25"/>
      <c r="C4010" s="7"/>
      <c r="D4010" s="7"/>
      <c r="E4010" s="27"/>
      <c r="F4010" s="27"/>
      <c r="G4010" s="7"/>
    </row>
    <row r="4011" spans="2:7" x14ac:dyDescent="0.25">
      <c r="B4011" s="25"/>
      <c r="C4011" s="7"/>
      <c r="D4011" s="7"/>
      <c r="E4011" s="27"/>
      <c r="F4011" s="27"/>
      <c r="G4011" s="7"/>
    </row>
    <row r="4012" spans="2:7" x14ac:dyDescent="0.25">
      <c r="B4012" s="25"/>
      <c r="C4012" s="7"/>
      <c r="D4012" s="7"/>
      <c r="E4012" s="27"/>
      <c r="F4012" s="27"/>
      <c r="G4012" s="7"/>
    </row>
    <row r="4013" spans="2:7" x14ac:dyDescent="0.25">
      <c r="B4013" s="25"/>
      <c r="C4013" s="7"/>
      <c r="D4013" s="7"/>
      <c r="E4013" s="27"/>
      <c r="F4013" s="27"/>
      <c r="G4013" s="7"/>
    </row>
    <row r="4014" spans="2:7" x14ac:dyDescent="0.25">
      <c r="B4014" s="25"/>
      <c r="C4014" s="7"/>
      <c r="D4014" s="7"/>
      <c r="E4014" s="27"/>
      <c r="F4014" s="27"/>
      <c r="G4014" s="7"/>
    </row>
    <row r="4015" spans="2:7" x14ac:dyDescent="0.25">
      <c r="B4015" s="25"/>
      <c r="C4015" s="7"/>
      <c r="D4015" s="7"/>
      <c r="E4015" s="27"/>
      <c r="F4015" s="27"/>
      <c r="G4015" s="7"/>
    </row>
    <row r="4016" spans="2:7" x14ac:dyDescent="0.25">
      <c r="B4016" s="25"/>
      <c r="C4016" s="7"/>
      <c r="D4016" s="7"/>
      <c r="E4016" s="27"/>
      <c r="F4016" s="27"/>
      <c r="G4016" s="7"/>
    </row>
    <row r="4017" spans="2:7" x14ac:dyDescent="0.25">
      <c r="B4017" s="25"/>
      <c r="C4017" s="7"/>
      <c r="D4017" s="7"/>
      <c r="E4017" s="27"/>
      <c r="F4017" s="27"/>
      <c r="G4017" s="7"/>
    </row>
    <row r="4018" spans="2:7" x14ac:dyDescent="0.25">
      <c r="B4018" s="25"/>
      <c r="C4018" s="7"/>
      <c r="D4018" s="7"/>
      <c r="E4018" s="27"/>
      <c r="F4018" s="27"/>
      <c r="G4018" s="7"/>
    </row>
    <row r="4019" spans="2:7" x14ac:dyDescent="0.25">
      <c r="B4019" s="25"/>
      <c r="C4019" s="7"/>
      <c r="D4019" s="7"/>
      <c r="E4019" s="27"/>
      <c r="F4019" s="27"/>
      <c r="G4019" s="7"/>
    </row>
    <row r="4020" spans="2:7" x14ac:dyDescent="0.25">
      <c r="B4020" s="25"/>
      <c r="C4020" s="7"/>
      <c r="D4020" s="7"/>
      <c r="E4020" s="27"/>
      <c r="F4020" s="27"/>
      <c r="G4020" s="7"/>
    </row>
    <row r="4021" spans="2:7" x14ac:dyDescent="0.25">
      <c r="B4021" s="25"/>
      <c r="C4021" s="7"/>
      <c r="D4021" s="7"/>
      <c r="E4021" s="27"/>
      <c r="F4021" s="27"/>
      <c r="G4021" s="7"/>
    </row>
    <row r="4022" spans="2:7" x14ac:dyDescent="0.25">
      <c r="B4022" s="25"/>
      <c r="C4022" s="7"/>
      <c r="D4022" s="7"/>
      <c r="E4022" s="27"/>
      <c r="F4022" s="27"/>
      <c r="G4022" s="7"/>
    </row>
    <row r="4023" spans="2:7" x14ac:dyDescent="0.25">
      <c r="B4023" s="25"/>
      <c r="C4023" s="7"/>
      <c r="D4023" s="7"/>
      <c r="E4023" s="27"/>
      <c r="F4023" s="27"/>
      <c r="G4023" s="7"/>
    </row>
    <row r="4024" spans="2:7" x14ac:dyDescent="0.25">
      <c r="B4024" s="25"/>
      <c r="C4024" s="7"/>
      <c r="D4024" s="7"/>
      <c r="E4024" s="27"/>
      <c r="F4024" s="27"/>
      <c r="G4024" s="7"/>
    </row>
    <row r="4025" spans="2:7" x14ac:dyDescent="0.25">
      <c r="B4025" s="25"/>
      <c r="C4025" s="7"/>
      <c r="D4025" s="7"/>
      <c r="E4025" s="27"/>
      <c r="F4025" s="27"/>
      <c r="G4025" s="7"/>
    </row>
    <row r="4026" spans="2:7" x14ac:dyDescent="0.25">
      <c r="B4026" s="25"/>
      <c r="C4026" s="7"/>
      <c r="D4026" s="7"/>
      <c r="E4026" s="27"/>
      <c r="F4026" s="27"/>
      <c r="G4026" s="7"/>
    </row>
    <row r="4027" spans="2:7" x14ac:dyDescent="0.25">
      <c r="B4027" s="25"/>
      <c r="C4027" s="7"/>
      <c r="D4027" s="7"/>
      <c r="E4027" s="27"/>
      <c r="F4027" s="27"/>
      <c r="G4027" s="7"/>
    </row>
    <row r="4028" spans="2:7" x14ac:dyDescent="0.25">
      <c r="B4028" s="25"/>
      <c r="C4028" s="7"/>
      <c r="D4028" s="7"/>
      <c r="E4028" s="27"/>
      <c r="F4028" s="27"/>
      <c r="G4028" s="7"/>
    </row>
    <row r="4029" spans="2:7" x14ac:dyDescent="0.25">
      <c r="B4029" s="25"/>
      <c r="C4029" s="7"/>
      <c r="D4029" s="7"/>
      <c r="E4029" s="27"/>
      <c r="F4029" s="27"/>
      <c r="G4029" s="7"/>
    </row>
    <row r="4030" spans="2:7" x14ac:dyDescent="0.25">
      <c r="B4030" s="25"/>
      <c r="C4030" s="7"/>
      <c r="D4030" s="7"/>
      <c r="E4030" s="27"/>
      <c r="F4030" s="27"/>
      <c r="G4030" s="7"/>
    </row>
    <row r="4031" spans="2:7" x14ac:dyDescent="0.25">
      <c r="B4031" s="25"/>
      <c r="C4031" s="7"/>
      <c r="D4031" s="7"/>
      <c r="E4031" s="27"/>
      <c r="F4031" s="27"/>
      <c r="G4031" s="7"/>
    </row>
    <row r="4032" spans="2:7" x14ac:dyDescent="0.25">
      <c r="B4032" s="25"/>
      <c r="C4032" s="7"/>
      <c r="D4032" s="7"/>
      <c r="E4032" s="27"/>
      <c r="F4032" s="27"/>
      <c r="G4032" s="7"/>
    </row>
    <row r="4033" spans="2:7" x14ac:dyDescent="0.25">
      <c r="B4033" s="25"/>
      <c r="C4033" s="7"/>
      <c r="D4033" s="7"/>
      <c r="E4033" s="27"/>
      <c r="F4033" s="27"/>
      <c r="G4033" s="7"/>
    </row>
    <row r="4034" spans="2:7" x14ac:dyDescent="0.25">
      <c r="B4034" s="25"/>
      <c r="C4034" s="7"/>
      <c r="D4034" s="7"/>
      <c r="E4034" s="27"/>
      <c r="F4034" s="27"/>
      <c r="G4034" s="7"/>
    </row>
    <row r="4035" spans="2:7" x14ac:dyDescent="0.25">
      <c r="B4035" s="25"/>
      <c r="C4035" s="7"/>
      <c r="D4035" s="7"/>
      <c r="E4035" s="27"/>
      <c r="F4035" s="27"/>
      <c r="G4035" s="7"/>
    </row>
    <row r="4036" spans="2:7" x14ac:dyDescent="0.25">
      <c r="B4036" s="25"/>
      <c r="C4036" s="7"/>
      <c r="D4036" s="7"/>
      <c r="E4036" s="27"/>
      <c r="F4036" s="27"/>
      <c r="G4036" s="7"/>
    </row>
    <row r="4037" spans="2:7" x14ac:dyDescent="0.25">
      <c r="B4037" s="25"/>
      <c r="C4037" s="7"/>
      <c r="D4037" s="7"/>
      <c r="E4037" s="27"/>
      <c r="F4037" s="27"/>
      <c r="G4037" s="7"/>
    </row>
    <row r="4038" spans="2:7" x14ac:dyDescent="0.25">
      <c r="B4038" s="25"/>
      <c r="C4038" s="7"/>
      <c r="D4038" s="7"/>
      <c r="E4038" s="27"/>
      <c r="F4038" s="27"/>
      <c r="G4038" s="7"/>
    </row>
    <row r="4039" spans="2:7" x14ac:dyDescent="0.25">
      <c r="B4039" s="25"/>
      <c r="C4039" s="7"/>
      <c r="D4039" s="7"/>
      <c r="E4039" s="27"/>
      <c r="F4039" s="27"/>
      <c r="G4039" s="7"/>
    </row>
    <row r="4040" spans="2:7" x14ac:dyDescent="0.25">
      <c r="B4040" s="25"/>
      <c r="C4040" s="7"/>
      <c r="D4040" s="7"/>
      <c r="E4040" s="27"/>
      <c r="F4040" s="27"/>
      <c r="G4040" s="7"/>
    </row>
    <row r="4041" spans="2:7" x14ac:dyDescent="0.25">
      <c r="B4041" s="25"/>
      <c r="C4041" s="7"/>
      <c r="D4041" s="7"/>
      <c r="E4041" s="27"/>
      <c r="F4041" s="27"/>
      <c r="G4041" s="7"/>
    </row>
    <row r="4042" spans="2:7" x14ac:dyDescent="0.25">
      <c r="B4042" s="25"/>
      <c r="C4042" s="7"/>
      <c r="D4042" s="7"/>
      <c r="E4042" s="27"/>
      <c r="F4042" s="27"/>
      <c r="G4042" s="7"/>
    </row>
    <row r="4043" spans="2:7" x14ac:dyDescent="0.25">
      <c r="B4043" s="25"/>
      <c r="C4043" s="7"/>
      <c r="D4043" s="7"/>
      <c r="E4043" s="27"/>
      <c r="F4043" s="27"/>
      <c r="G4043" s="7"/>
    </row>
    <row r="4044" spans="2:7" x14ac:dyDescent="0.25">
      <c r="B4044" s="25"/>
      <c r="C4044" s="7"/>
      <c r="D4044" s="7"/>
      <c r="E4044" s="27"/>
      <c r="F4044" s="27"/>
      <c r="G4044" s="7"/>
    </row>
    <row r="4045" spans="2:7" x14ac:dyDescent="0.25">
      <c r="B4045" s="25"/>
      <c r="C4045" s="7"/>
      <c r="D4045" s="7"/>
      <c r="E4045" s="27"/>
      <c r="F4045" s="27"/>
      <c r="G4045" s="7"/>
    </row>
    <row r="4046" spans="2:7" x14ac:dyDescent="0.25">
      <c r="B4046" s="25"/>
      <c r="C4046" s="7"/>
      <c r="D4046" s="7"/>
      <c r="E4046" s="27"/>
      <c r="F4046" s="27"/>
      <c r="G4046" s="7"/>
    </row>
    <row r="4047" spans="2:7" x14ac:dyDescent="0.25">
      <c r="B4047" s="25"/>
      <c r="C4047" s="7"/>
      <c r="D4047" s="7"/>
      <c r="E4047" s="27"/>
      <c r="F4047" s="27"/>
      <c r="G4047" s="7"/>
    </row>
    <row r="4048" spans="2:7" x14ac:dyDescent="0.25">
      <c r="B4048" s="25"/>
      <c r="C4048" s="7"/>
      <c r="D4048" s="7"/>
      <c r="E4048" s="27"/>
      <c r="F4048" s="27"/>
      <c r="G4048" s="7"/>
    </row>
    <row r="4049" spans="2:7" x14ac:dyDescent="0.25">
      <c r="B4049" s="25"/>
      <c r="C4049" s="7"/>
      <c r="D4049" s="7"/>
      <c r="E4049" s="27"/>
      <c r="F4049" s="27"/>
      <c r="G4049" s="7"/>
    </row>
    <row r="4050" spans="2:7" x14ac:dyDescent="0.25">
      <c r="B4050" s="25"/>
      <c r="C4050" s="7"/>
      <c r="D4050" s="7"/>
      <c r="E4050" s="27"/>
      <c r="F4050" s="27"/>
      <c r="G4050" s="7"/>
    </row>
    <row r="4051" spans="2:7" x14ac:dyDescent="0.25">
      <c r="B4051" s="25"/>
      <c r="C4051" s="7"/>
      <c r="D4051" s="7"/>
      <c r="E4051" s="27"/>
      <c r="F4051" s="27"/>
      <c r="G4051" s="7"/>
    </row>
    <row r="4052" spans="2:7" x14ac:dyDescent="0.25">
      <c r="B4052" s="25"/>
      <c r="C4052" s="7"/>
      <c r="D4052" s="7"/>
      <c r="E4052" s="27"/>
      <c r="F4052" s="27"/>
      <c r="G4052" s="7"/>
    </row>
    <row r="4053" spans="2:7" x14ac:dyDescent="0.25">
      <c r="B4053" s="25"/>
      <c r="C4053" s="7"/>
      <c r="D4053" s="7"/>
      <c r="E4053" s="27"/>
      <c r="F4053" s="27"/>
      <c r="G4053" s="7"/>
    </row>
    <row r="4054" spans="2:7" x14ac:dyDescent="0.25">
      <c r="B4054" s="25"/>
      <c r="C4054" s="7"/>
      <c r="D4054" s="7"/>
      <c r="E4054" s="27"/>
      <c r="F4054" s="27"/>
      <c r="G4054" s="7"/>
    </row>
    <row r="4055" spans="2:7" x14ac:dyDescent="0.25">
      <c r="B4055" s="25"/>
      <c r="C4055" s="7"/>
      <c r="D4055" s="7"/>
      <c r="E4055" s="27"/>
      <c r="F4055" s="27"/>
      <c r="G4055" s="7"/>
    </row>
    <row r="4056" spans="2:7" x14ac:dyDescent="0.25">
      <c r="B4056" s="25"/>
      <c r="C4056" s="7"/>
      <c r="D4056" s="7"/>
      <c r="E4056" s="27"/>
      <c r="F4056" s="27"/>
      <c r="G4056" s="7"/>
    </row>
    <row r="4057" spans="2:7" x14ac:dyDescent="0.25">
      <c r="B4057" s="25"/>
      <c r="C4057" s="7"/>
      <c r="D4057" s="7"/>
      <c r="E4057" s="27"/>
      <c r="F4057" s="27"/>
      <c r="G4057" s="7"/>
    </row>
    <row r="4058" spans="2:7" x14ac:dyDescent="0.25">
      <c r="B4058" s="25"/>
      <c r="C4058" s="7"/>
      <c r="D4058" s="7"/>
      <c r="E4058" s="27"/>
      <c r="F4058" s="27"/>
      <c r="G4058" s="7"/>
    </row>
    <row r="4059" spans="2:7" x14ac:dyDescent="0.25">
      <c r="B4059" s="25"/>
      <c r="C4059" s="7"/>
      <c r="D4059" s="7"/>
      <c r="E4059" s="27"/>
      <c r="F4059" s="27"/>
      <c r="G4059" s="7"/>
    </row>
    <row r="4060" spans="2:7" x14ac:dyDescent="0.25">
      <c r="B4060" s="25"/>
      <c r="C4060" s="7"/>
      <c r="D4060" s="7"/>
      <c r="E4060" s="27"/>
      <c r="F4060" s="27"/>
      <c r="G4060" s="7"/>
    </row>
    <row r="4061" spans="2:7" x14ac:dyDescent="0.25">
      <c r="B4061" s="25"/>
      <c r="C4061" s="7"/>
      <c r="D4061" s="7"/>
      <c r="E4061" s="27"/>
      <c r="F4061" s="27"/>
      <c r="G4061" s="7"/>
    </row>
    <row r="4062" spans="2:7" x14ac:dyDescent="0.25">
      <c r="B4062" s="25"/>
      <c r="C4062" s="7"/>
      <c r="D4062" s="7"/>
      <c r="E4062" s="27"/>
      <c r="F4062" s="27"/>
      <c r="G4062" s="7"/>
    </row>
    <row r="4063" spans="2:7" x14ac:dyDescent="0.25">
      <c r="B4063" s="25"/>
      <c r="C4063" s="7"/>
      <c r="D4063" s="7"/>
      <c r="E4063" s="27"/>
      <c r="F4063" s="27"/>
      <c r="G4063" s="7"/>
    </row>
    <row r="4064" spans="2:7" x14ac:dyDescent="0.25">
      <c r="B4064" s="25"/>
      <c r="C4064" s="7"/>
      <c r="D4064" s="7"/>
      <c r="E4064" s="27"/>
      <c r="F4064" s="27"/>
      <c r="G4064" s="7"/>
    </row>
    <row r="4065" spans="2:7" x14ac:dyDescent="0.25">
      <c r="B4065" s="25"/>
      <c r="C4065" s="7"/>
      <c r="D4065" s="7"/>
      <c r="E4065" s="27"/>
      <c r="F4065" s="27"/>
      <c r="G4065" s="7"/>
    </row>
    <row r="4066" spans="2:7" x14ac:dyDescent="0.25">
      <c r="B4066" s="25"/>
      <c r="C4066" s="7"/>
      <c r="D4066" s="7"/>
      <c r="E4066" s="27"/>
      <c r="F4066" s="27"/>
      <c r="G4066" s="7"/>
    </row>
    <row r="4067" spans="2:7" x14ac:dyDescent="0.25">
      <c r="B4067" s="25"/>
      <c r="C4067" s="7"/>
      <c r="D4067" s="7"/>
      <c r="E4067" s="27"/>
      <c r="F4067" s="27"/>
      <c r="G4067" s="7"/>
    </row>
    <row r="4068" spans="2:7" x14ac:dyDescent="0.25">
      <c r="B4068" s="25"/>
      <c r="C4068" s="7"/>
      <c r="D4068" s="7"/>
      <c r="E4068" s="27"/>
      <c r="F4068" s="27"/>
      <c r="G4068" s="7"/>
    </row>
    <row r="4069" spans="2:7" x14ac:dyDescent="0.25">
      <c r="B4069" s="25"/>
      <c r="C4069" s="7"/>
      <c r="D4069" s="7"/>
      <c r="E4069" s="27"/>
      <c r="F4069" s="27"/>
      <c r="G4069" s="7"/>
    </row>
    <row r="4070" spans="2:7" x14ac:dyDescent="0.25">
      <c r="B4070" s="25"/>
      <c r="C4070" s="7"/>
      <c r="D4070" s="7"/>
      <c r="E4070" s="27"/>
      <c r="F4070" s="27"/>
      <c r="G4070" s="7"/>
    </row>
    <row r="4071" spans="2:7" x14ac:dyDescent="0.25">
      <c r="B4071" s="25"/>
      <c r="C4071" s="7"/>
      <c r="D4071" s="7"/>
      <c r="E4071" s="27"/>
      <c r="F4071" s="27"/>
      <c r="G4071" s="7"/>
    </row>
    <row r="4072" spans="2:7" x14ac:dyDescent="0.25">
      <c r="B4072" s="25"/>
      <c r="C4072" s="7"/>
      <c r="D4072" s="7"/>
      <c r="E4072" s="27"/>
      <c r="F4072" s="27"/>
      <c r="G4072" s="7"/>
    </row>
    <row r="4073" spans="2:7" x14ac:dyDescent="0.25">
      <c r="B4073" s="25"/>
      <c r="C4073" s="7"/>
      <c r="D4073" s="7"/>
      <c r="E4073" s="27"/>
      <c r="F4073" s="27"/>
      <c r="G4073" s="7"/>
    </row>
    <row r="4074" spans="2:7" x14ac:dyDescent="0.25">
      <c r="B4074" s="25"/>
      <c r="C4074" s="7"/>
      <c r="D4074" s="7"/>
      <c r="E4074" s="27"/>
      <c r="F4074" s="27"/>
      <c r="G4074" s="7"/>
    </row>
    <row r="4075" spans="2:7" x14ac:dyDescent="0.25">
      <c r="B4075" s="25"/>
      <c r="C4075" s="7"/>
      <c r="D4075" s="7"/>
      <c r="E4075" s="27"/>
      <c r="F4075" s="27"/>
      <c r="G4075" s="7"/>
    </row>
    <row r="4076" spans="2:7" x14ac:dyDescent="0.25">
      <c r="B4076" s="25"/>
      <c r="C4076" s="7"/>
      <c r="D4076" s="7"/>
      <c r="E4076" s="27"/>
      <c r="F4076" s="27"/>
      <c r="G4076" s="7"/>
    </row>
    <row r="4077" spans="2:7" x14ac:dyDescent="0.25">
      <c r="B4077" s="25"/>
      <c r="C4077" s="7"/>
      <c r="D4077" s="7"/>
      <c r="E4077" s="27"/>
      <c r="F4077" s="27"/>
      <c r="G4077" s="7"/>
    </row>
    <row r="4078" spans="2:7" x14ac:dyDescent="0.25">
      <c r="B4078" s="25"/>
      <c r="C4078" s="7"/>
      <c r="D4078" s="7"/>
      <c r="E4078" s="27"/>
      <c r="F4078" s="27"/>
      <c r="G4078" s="7"/>
    </row>
    <row r="4079" spans="2:7" x14ac:dyDescent="0.25">
      <c r="B4079" s="25"/>
      <c r="C4079" s="7"/>
      <c r="D4079" s="7"/>
      <c r="E4079" s="27"/>
      <c r="F4079" s="27"/>
      <c r="G4079" s="7"/>
    </row>
    <row r="4080" spans="2:7" x14ac:dyDescent="0.25">
      <c r="B4080" s="25"/>
      <c r="C4080" s="7"/>
      <c r="D4080" s="7"/>
      <c r="E4080" s="27"/>
      <c r="F4080" s="27"/>
      <c r="G4080" s="7"/>
    </row>
    <row r="4081" spans="2:7" x14ac:dyDescent="0.25">
      <c r="B4081" s="25"/>
      <c r="C4081" s="7"/>
      <c r="D4081" s="7"/>
      <c r="E4081" s="27"/>
      <c r="F4081" s="27"/>
      <c r="G4081" s="7"/>
    </row>
    <row r="4082" spans="2:7" x14ac:dyDescent="0.25">
      <c r="B4082" s="25"/>
      <c r="C4082" s="7"/>
      <c r="D4082" s="7"/>
      <c r="E4082" s="27"/>
      <c r="F4082" s="27"/>
      <c r="G4082" s="7"/>
    </row>
    <row r="4083" spans="2:7" x14ac:dyDescent="0.25">
      <c r="B4083" s="25"/>
      <c r="C4083" s="7"/>
      <c r="D4083" s="7"/>
      <c r="E4083" s="27"/>
      <c r="F4083" s="27"/>
      <c r="G4083" s="7"/>
    </row>
    <row r="4084" spans="2:7" x14ac:dyDescent="0.25">
      <c r="B4084" s="25"/>
      <c r="C4084" s="7"/>
      <c r="D4084" s="7"/>
      <c r="E4084" s="27"/>
      <c r="F4084" s="27"/>
      <c r="G4084" s="7"/>
    </row>
    <row r="4085" spans="2:7" x14ac:dyDescent="0.25">
      <c r="B4085" s="25"/>
      <c r="C4085" s="7"/>
      <c r="D4085" s="7"/>
      <c r="E4085" s="27"/>
      <c r="F4085" s="27"/>
      <c r="G4085" s="7"/>
    </row>
    <row r="4086" spans="2:7" x14ac:dyDescent="0.25">
      <c r="B4086" s="25"/>
      <c r="C4086" s="7"/>
      <c r="D4086" s="7"/>
      <c r="E4086" s="27"/>
      <c r="F4086" s="27"/>
      <c r="G4086" s="7"/>
    </row>
    <row r="4087" spans="2:7" x14ac:dyDescent="0.25">
      <c r="B4087" s="25"/>
      <c r="C4087" s="7"/>
      <c r="D4087" s="7"/>
      <c r="E4087" s="27"/>
      <c r="F4087" s="27"/>
      <c r="G4087" s="7"/>
    </row>
    <row r="4088" spans="2:7" x14ac:dyDescent="0.25">
      <c r="B4088" s="25"/>
      <c r="C4088" s="7"/>
      <c r="D4088" s="7"/>
      <c r="E4088" s="27"/>
      <c r="F4088" s="27"/>
      <c r="G4088" s="7"/>
    </row>
    <row r="4089" spans="2:7" x14ac:dyDescent="0.25">
      <c r="B4089" s="25"/>
      <c r="C4089" s="7"/>
      <c r="D4089" s="7"/>
      <c r="E4089" s="27"/>
      <c r="F4089" s="27"/>
      <c r="G4089" s="7"/>
    </row>
    <row r="4090" spans="2:7" x14ac:dyDescent="0.25">
      <c r="B4090" s="25"/>
      <c r="C4090" s="7"/>
      <c r="D4090" s="7"/>
      <c r="E4090" s="27"/>
      <c r="F4090" s="27"/>
      <c r="G4090" s="7"/>
    </row>
    <row r="4091" spans="2:7" x14ac:dyDescent="0.25">
      <c r="B4091" s="25"/>
      <c r="C4091" s="7"/>
      <c r="D4091" s="7"/>
      <c r="E4091" s="27"/>
      <c r="F4091" s="27"/>
      <c r="G4091" s="7"/>
    </row>
    <row r="4092" spans="2:7" x14ac:dyDescent="0.25">
      <c r="B4092" s="25"/>
      <c r="C4092" s="7"/>
      <c r="D4092" s="7"/>
      <c r="E4092" s="27"/>
      <c r="F4092" s="27"/>
      <c r="G4092" s="7"/>
    </row>
    <row r="4093" spans="2:7" x14ac:dyDescent="0.25">
      <c r="B4093" s="25"/>
      <c r="C4093" s="7"/>
      <c r="D4093" s="7"/>
      <c r="E4093" s="27"/>
      <c r="F4093" s="27"/>
      <c r="G4093" s="7"/>
    </row>
    <row r="4094" spans="2:7" x14ac:dyDescent="0.25">
      <c r="B4094" s="25"/>
      <c r="C4094" s="7"/>
      <c r="D4094" s="7"/>
      <c r="E4094" s="27"/>
      <c r="F4094" s="27"/>
      <c r="G4094" s="7"/>
    </row>
    <row r="4095" spans="2:7" x14ac:dyDescent="0.25">
      <c r="B4095" s="25"/>
      <c r="C4095" s="7"/>
      <c r="D4095" s="7"/>
      <c r="E4095" s="27"/>
      <c r="F4095" s="27"/>
      <c r="G4095" s="7"/>
    </row>
    <row r="4096" spans="2:7" x14ac:dyDescent="0.25">
      <c r="B4096" s="25"/>
      <c r="C4096" s="7"/>
      <c r="D4096" s="7"/>
      <c r="E4096" s="27"/>
      <c r="F4096" s="27"/>
      <c r="G4096" s="7"/>
    </row>
    <row r="4097" spans="2:7" x14ac:dyDescent="0.25">
      <c r="B4097" s="25"/>
      <c r="C4097" s="7"/>
      <c r="D4097" s="7"/>
      <c r="E4097" s="27"/>
      <c r="F4097" s="27"/>
      <c r="G4097" s="7"/>
    </row>
    <row r="4098" spans="2:7" x14ac:dyDescent="0.25">
      <c r="B4098" s="25"/>
      <c r="C4098" s="7"/>
      <c r="D4098" s="7"/>
      <c r="E4098" s="27"/>
      <c r="F4098" s="27"/>
      <c r="G4098" s="7"/>
    </row>
    <row r="4099" spans="2:7" x14ac:dyDescent="0.25">
      <c r="B4099" s="25"/>
      <c r="C4099" s="7"/>
      <c r="D4099" s="7"/>
      <c r="E4099" s="27"/>
      <c r="F4099" s="27"/>
      <c r="G4099" s="7"/>
    </row>
    <row r="4100" spans="2:7" x14ac:dyDescent="0.25">
      <c r="B4100" s="25"/>
      <c r="C4100" s="7"/>
      <c r="D4100" s="7"/>
      <c r="E4100" s="27"/>
      <c r="F4100" s="27"/>
      <c r="G4100" s="7"/>
    </row>
    <row r="4101" spans="2:7" x14ac:dyDescent="0.25">
      <c r="B4101" s="25"/>
      <c r="C4101" s="7"/>
      <c r="D4101" s="7"/>
      <c r="E4101" s="27"/>
      <c r="F4101" s="27"/>
      <c r="G4101" s="7"/>
    </row>
    <row r="4102" spans="2:7" x14ac:dyDescent="0.25">
      <c r="B4102" s="25"/>
      <c r="C4102" s="7"/>
      <c r="D4102" s="7"/>
      <c r="E4102" s="27"/>
      <c r="F4102" s="27"/>
      <c r="G4102" s="7"/>
    </row>
    <row r="4103" spans="2:7" x14ac:dyDescent="0.25">
      <c r="B4103" s="25"/>
      <c r="C4103" s="7"/>
      <c r="D4103" s="7"/>
      <c r="E4103" s="27"/>
      <c r="F4103" s="27"/>
      <c r="G4103" s="7"/>
    </row>
    <row r="4104" spans="2:7" x14ac:dyDescent="0.25">
      <c r="B4104" s="25"/>
      <c r="C4104" s="7"/>
      <c r="D4104" s="7"/>
      <c r="E4104" s="27"/>
      <c r="F4104" s="27"/>
      <c r="G4104" s="7"/>
    </row>
    <row r="4105" spans="2:7" x14ac:dyDescent="0.25">
      <c r="B4105" s="25"/>
      <c r="C4105" s="7"/>
      <c r="D4105" s="7"/>
      <c r="E4105" s="27"/>
      <c r="F4105" s="27"/>
      <c r="G4105" s="7"/>
    </row>
    <row r="4106" spans="2:7" x14ac:dyDescent="0.25">
      <c r="B4106" s="25"/>
      <c r="C4106" s="7"/>
      <c r="D4106" s="7"/>
      <c r="E4106" s="27"/>
      <c r="F4106" s="27"/>
      <c r="G4106" s="7"/>
    </row>
    <row r="4107" spans="2:7" x14ac:dyDescent="0.25">
      <c r="B4107" s="25"/>
      <c r="C4107" s="7"/>
      <c r="D4107" s="7"/>
      <c r="E4107" s="27"/>
      <c r="F4107" s="27"/>
      <c r="G4107" s="7"/>
    </row>
    <row r="4108" spans="2:7" x14ac:dyDescent="0.25">
      <c r="B4108" s="25"/>
      <c r="C4108" s="7"/>
      <c r="D4108" s="7"/>
      <c r="E4108" s="27"/>
      <c r="F4108" s="27"/>
      <c r="G4108" s="7"/>
    </row>
    <row r="4109" spans="2:7" x14ac:dyDescent="0.25">
      <c r="B4109" s="25"/>
      <c r="C4109" s="7"/>
      <c r="D4109" s="7"/>
      <c r="E4109" s="27"/>
      <c r="F4109" s="27"/>
      <c r="G4109" s="7"/>
    </row>
    <row r="4110" spans="2:7" x14ac:dyDescent="0.25">
      <c r="B4110" s="25"/>
      <c r="C4110" s="7"/>
      <c r="D4110" s="7"/>
      <c r="E4110" s="27"/>
      <c r="F4110" s="27"/>
      <c r="G4110" s="7"/>
    </row>
    <row r="4111" spans="2:7" x14ac:dyDescent="0.25">
      <c r="B4111" s="25"/>
      <c r="C4111" s="7"/>
      <c r="D4111" s="7"/>
      <c r="E4111" s="27"/>
      <c r="F4111" s="27"/>
      <c r="G4111" s="7"/>
    </row>
    <row r="4112" spans="2:7" x14ac:dyDescent="0.25">
      <c r="B4112" s="25"/>
      <c r="C4112" s="7"/>
      <c r="D4112" s="7"/>
      <c r="E4112" s="27"/>
      <c r="F4112" s="27"/>
      <c r="G4112" s="7"/>
    </row>
    <row r="4113" spans="2:7" x14ac:dyDescent="0.25">
      <c r="B4113" s="25"/>
      <c r="C4113" s="7"/>
      <c r="D4113" s="7"/>
      <c r="E4113" s="27"/>
      <c r="F4113" s="27"/>
      <c r="G4113" s="7"/>
    </row>
    <row r="4114" spans="2:7" x14ac:dyDescent="0.25">
      <c r="B4114" s="25"/>
      <c r="C4114" s="7"/>
      <c r="D4114" s="7"/>
      <c r="E4114" s="27"/>
      <c r="F4114" s="27"/>
      <c r="G4114" s="7"/>
    </row>
    <row r="4115" spans="2:7" x14ac:dyDescent="0.25">
      <c r="B4115" s="25"/>
      <c r="C4115" s="7"/>
      <c r="D4115" s="7"/>
      <c r="E4115" s="27"/>
      <c r="F4115" s="27"/>
      <c r="G4115" s="7"/>
    </row>
    <row r="4116" spans="2:7" x14ac:dyDescent="0.25">
      <c r="B4116" s="25"/>
      <c r="C4116" s="7"/>
      <c r="D4116" s="7"/>
      <c r="E4116" s="27"/>
      <c r="F4116" s="27"/>
      <c r="G4116" s="7"/>
    </row>
    <row r="4117" spans="2:7" x14ac:dyDescent="0.25">
      <c r="B4117" s="25"/>
      <c r="C4117" s="7"/>
      <c r="D4117" s="7"/>
      <c r="E4117" s="27"/>
      <c r="F4117" s="27"/>
      <c r="G4117" s="7"/>
    </row>
    <row r="4118" spans="2:7" x14ac:dyDescent="0.25">
      <c r="B4118" s="25"/>
      <c r="C4118" s="7"/>
      <c r="D4118" s="7"/>
      <c r="E4118" s="27"/>
      <c r="F4118" s="27"/>
      <c r="G4118" s="7"/>
    </row>
    <row r="4119" spans="2:7" x14ac:dyDescent="0.25">
      <c r="B4119" s="25"/>
      <c r="C4119" s="7"/>
      <c r="D4119" s="7"/>
      <c r="E4119" s="27"/>
      <c r="F4119" s="27"/>
      <c r="G4119" s="7"/>
    </row>
    <row r="4120" spans="2:7" x14ac:dyDescent="0.25">
      <c r="B4120" s="25"/>
      <c r="C4120" s="7"/>
      <c r="D4120" s="7"/>
      <c r="E4120" s="27"/>
      <c r="F4120" s="27"/>
      <c r="G4120" s="7"/>
    </row>
    <row r="4121" spans="2:7" x14ac:dyDescent="0.25">
      <c r="B4121" s="25"/>
      <c r="C4121" s="7"/>
      <c r="D4121" s="7"/>
      <c r="E4121" s="27"/>
      <c r="F4121" s="27"/>
      <c r="G4121" s="7"/>
    </row>
    <row r="4122" spans="2:7" x14ac:dyDescent="0.25">
      <c r="B4122" s="25"/>
      <c r="C4122" s="7"/>
      <c r="D4122" s="7"/>
      <c r="E4122" s="27"/>
      <c r="F4122" s="27"/>
      <c r="G4122" s="7"/>
    </row>
    <row r="4123" spans="2:7" x14ac:dyDescent="0.25">
      <c r="B4123" s="25"/>
      <c r="C4123" s="7"/>
      <c r="D4123" s="7"/>
      <c r="E4123" s="27"/>
      <c r="F4123" s="27"/>
      <c r="G4123" s="7"/>
    </row>
    <row r="4124" spans="2:7" x14ac:dyDescent="0.25">
      <c r="B4124" s="25"/>
      <c r="C4124" s="7"/>
      <c r="D4124" s="7"/>
      <c r="E4124" s="27"/>
      <c r="F4124" s="27"/>
      <c r="G4124" s="7"/>
    </row>
    <row r="4125" spans="2:7" x14ac:dyDescent="0.25">
      <c r="B4125" s="25"/>
      <c r="C4125" s="7"/>
      <c r="D4125" s="7"/>
      <c r="E4125" s="27"/>
      <c r="F4125" s="27"/>
      <c r="G4125" s="7"/>
    </row>
    <row r="4126" spans="2:7" x14ac:dyDescent="0.25">
      <c r="B4126" s="25"/>
      <c r="C4126" s="7"/>
      <c r="D4126" s="7"/>
      <c r="E4126" s="27"/>
      <c r="F4126" s="27"/>
      <c r="G4126" s="7"/>
    </row>
    <row r="4127" spans="2:7" x14ac:dyDescent="0.25">
      <c r="B4127" s="25"/>
      <c r="C4127" s="7"/>
      <c r="D4127" s="7"/>
      <c r="E4127" s="27"/>
      <c r="F4127" s="27"/>
      <c r="G4127" s="7"/>
    </row>
    <row r="4128" spans="2:7" x14ac:dyDescent="0.25">
      <c r="B4128" s="25"/>
      <c r="C4128" s="7"/>
      <c r="D4128" s="7"/>
      <c r="E4128" s="27"/>
      <c r="F4128" s="27"/>
      <c r="G4128" s="7"/>
    </row>
    <row r="4129" spans="2:7" x14ac:dyDescent="0.25">
      <c r="B4129" s="25"/>
      <c r="C4129" s="7"/>
      <c r="D4129" s="7"/>
      <c r="E4129" s="27"/>
      <c r="F4129" s="27"/>
      <c r="G4129" s="7"/>
    </row>
    <row r="4130" spans="2:7" x14ac:dyDescent="0.25">
      <c r="B4130" s="25"/>
      <c r="C4130" s="7"/>
      <c r="D4130" s="7"/>
      <c r="E4130" s="27"/>
      <c r="F4130" s="27"/>
      <c r="G4130" s="7"/>
    </row>
    <row r="4131" spans="2:7" x14ac:dyDescent="0.25">
      <c r="B4131" s="25"/>
      <c r="C4131" s="7"/>
      <c r="D4131" s="7"/>
      <c r="E4131" s="27"/>
      <c r="F4131" s="27"/>
      <c r="G4131" s="7"/>
    </row>
    <row r="4132" spans="2:7" x14ac:dyDescent="0.25">
      <c r="B4132" s="25"/>
      <c r="C4132" s="7"/>
      <c r="D4132" s="7"/>
      <c r="E4132" s="27"/>
      <c r="F4132" s="27"/>
      <c r="G4132" s="7"/>
    </row>
    <row r="4133" spans="2:7" x14ac:dyDescent="0.25">
      <c r="B4133" s="25"/>
      <c r="C4133" s="7"/>
      <c r="D4133" s="7"/>
      <c r="E4133" s="27"/>
      <c r="F4133" s="27"/>
      <c r="G4133" s="7"/>
    </row>
    <row r="4134" spans="2:7" x14ac:dyDescent="0.25">
      <c r="B4134" s="25"/>
      <c r="C4134" s="7"/>
      <c r="D4134" s="7"/>
      <c r="E4134" s="27"/>
      <c r="F4134" s="27"/>
      <c r="G4134" s="7"/>
    </row>
    <row r="4135" spans="2:7" x14ac:dyDescent="0.25">
      <c r="B4135" s="25"/>
      <c r="C4135" s="7"/>
      <c r="D4135" s="7"/>
      <c r="E4135" s="27"/>
      <c r="F4135" s="27"/>
      <c r="G4135" s="7"/>
    </row>
    <row r="4136" spans="2:7" x14ac:dyDescent="0.25">
      <c r="B4136" s="25"/>
      <c r="C4136" s="7"/>
      <c r="D4136" s="7"/>
      <c r="E4136" s="27"/>
      <c r="F4136" s="27"/>
      <c r="G4136" s="7"/>
    </row>
    <row r="4137" spans="2:7" x14ac:dyDescent="0.25">
      <c r="B4137" s="25"/>
      <c r="C4137" s="7"/>
      <c r="D4137" s="7"/>
      <c r="E4137" s="27"/>
      <c r="F4137" s="27"/>
      <c r="G4137" s="7"/>
    </row>
    <row r="4138" spans="2:7" x14ac:dyDescent="0.25">
      <c r="B4138" s="25"/>
      <c r="C4138" s="7"/>
      <c r="D4138" s="7"/>
      <c r="E4138" s="27"/>
      <c r="F4138" s="27"/>
      <c r="G4138" s="7"/>
    </row>
    <row r="4139" spans="2:7" x14ac:dyDescent="0.25">
      <c r="B4139" s="25"/>
      <c r="C4139" s="7"/>
      <c r="D4139" s="7"/>
      <c r="E4139" s="27"/>
      <c r="F4139" s="27"/>
      <c r="G4139" s="7"/>
    </row>
    <row r="4140" spans="2:7" x14ac:dyDescent="0.25">
      <c r="B4140" s="25"/>
      <c r="C4140" s="7"/>
      <c r="D4140" s="7"/>
      <c r="E4140" s="27"/>
      <c r="F4140" s="27"/>
      <c r="G4140" s="7"/>
    </row>
    <row r="4141" spans="2:7" x14ac:dyDescent="0.25">
      <c r="B4141" s="25"/>
      <c r="C4141" s="7"/>
      <c r="D4141" s="7"/>
      <c r="E4141" s="27"/>
      <c r="F4141" s="27"/>
      <c r="G4141" s="7"/>
    </row>
    <row r="4142" spans="2:7" x14ac:dyDescent="0.25">
      <c r="B4142" s="25"/>
      <c r="C4142" s="7"/>
      <c r="D4142" s="7"/>
      <c r="E4142" s="27"/>
      <c r="F4142" s="27"/>
      <c r="G4142" s="7"/>
    </row>
    <row r="4143" spans="2:7" x14ac:dyDescent="0.25">
      <c r="B4143" s="25"/>
      <c r="C4143" s="7"/>
      <c r="D4143" s="7"/>
      <c r="E4143" s="27"/>
      <c r="F4143" s="27"/>
      <c r="G4143" s="7"/>
    </row>
    <row r="4144" spans="2:7" x14ac:dyDescent="0.25">
      <c r="B4144" s="25"/>
      <c r="C4144" s="7"/>
      <c r="D4144" s="7"/>
      <c r="E4144" s="27"/>
      <c r="F4144" s="27"/>
      <c r="G4144" s="7"/>
    </row>
    <row r="4145" spans="2:7" x14ac:dyDescent="0.25">
      <c r="B4145" s="25"/>
      <c r="C4145" s="7"/>
      <c r="D4145" s="7"/>
      <c r="E4145" s="27"/>
      <c r="F4145" s="27"/>
      <c r="G4145" s="7"/>
    </row>
    <row r="4146" spans="2:7" x14ac:dyDescent="0.25">
      <c r="B4146" s="25"/>
      <c r="C4146" s="7"/>
      <c r="D4146" s="7"/>
      <c r="E4146" s="27"/>
      <c r="F4146" s="27"/>
      <c r="G4146" s="7"/>
    </row>
    <row r="4147" spans="2:7" x14ac:dyDescent="0.25">
      <c r="B4147" s="25"/>
      <c r="C4147" s="7"/>
      <c r="D4147" s="7"/>
      <c r="E4147" s="27"/>
      <c r="F4147" s="27"/>
      <c r="G4147" s="7"/>
    </row>
    <row r="4148" spans="2:7" x14ac:dyDescent="0.25">
      <c r="B4148" s="25"/>
      <c r="C4148" s="7"/>
      <c r="D4148" s="7"/>
      <c r="E4148" s="27"/>
      <c r="F4148" s="27"/>
      <c r="G4148" s="7"/>
    </row>
    <row r="4149" spans="2:7" x14ac:dyDescent="0.25">
      <c r="B4149" s="25"/>
      <c r="C4149" s="7"/>
      <c r="D4149" s="7"/>
      <c r="E4149" s="27"/>
      <c r="F4149" s="27"/>
      <c r="G4149" s="7"/>
    </row>
    <row r="4150" spans="2:7" x14ac:dyDescent="0.25">
      <c r="B4150" s="25"/>
      <c r="C4150" s="7"/>
      <c r="D4150" s="7"/>
      <c r="E4150" s="27"/>
      <c r="F4150" s="27"/>
      <c r="G4150" s="7"/>
    </row>
    <row r="4151" spans="2:7" x14ac:dyDescent="0.25">
      <c r="B4151" s="25"/>
      <c r="C4151" s="7"/>
      <c r="D4151" s="7"/>
      <c r="E4151" s="27"/>
      <c r="F4151" s="27"/>
      <c r="G4151" s="7"/>
    </row>
    <row r="4152" spans="2:7" x14ac:dyDescent="0.25">
      <c r="B4152" s="25"/>
      <c r="C4152" s="7"/>
      <c r="D4152" s="7"/>
      <c r="E4152" s="27"/>
      <c r="F4152" s="27"/>
      <c r="G4152" s="7"/>
    </row>
    <row r="4153" spans="2:7" x14ac:dyDescent="0.25">
      <c r="B4153" s="25"/>
      <c r="C4153" s="7"/>
      <c r="D4153" s="7"/>
      <c r="E4153" s="27"/>
      <c r="F4153" s="27"/>
      <c r="G4153" s="7"/>
    </row>
    <row r="4154" spans="2:7" x14ac:dyDescent="0.25">
      <c r="B4154" s="25"/>
      <c r="C4154" s="7"/>
      <c r="D4154" s="7"/>
      <c r="E4154" s="27"/>
      <c r="F4154" s="27"/>
      <c r="G4154" s="7"/>
    </row>
    <row r="4155" spans="2:7" x14ac:dyDescent="0.25">
      <c r="B4155" s="25"/>
      <c r="C4155" s="7"/>
      <c r="D4155" s="7"/>
      <c r="E4155" s="27"/>
      <c r="F4155" s="27"/>
      <c r="G4155" s="7"/>
    </row>
    <row r="4156" spans="2:7" x14ac:dyDescent="0.25">
      <c r="B4156" s="25"/>
      <c r="C4156" s="7"/>
      <c r="D4156" s="7"/>
      <c r="E4156" s="27"/>
      <c r="F4156" s="27"/>
      <c r="G4156" s="7"/>
    </row>
    <row r="4157" spans="2:7" x14ac:dyDescent="0.25">
      <c r="B4157" s="25"/>
      <c r="C4157" s="7"/>
      <c r="D4157" s="7"/>
      <c r="E4157" s="27"/>
      <c r="F4157" s="27"/>
      <c r="G4157" s="7"/>
    </row>
    <row r="4158" spans="2:7" x14ac:dyDescent="0.25">
      <c r="B4158" s="25"/>
      <c r="C4158" s="7"/>
      <c r="D4158" s="7"/>
      <c r="E4158" s="27"/>
      <c r="F4158" s="27"/>
      <c r="G4158" s="7"/>
    </row>
    <row r="4159" spans="2:7" x14ac:dyDescent="0.25">
      <c r="B4159" s="25"/>
      <c r="C4159" s="7"/>
      <c r="D4159" s="7"/>
      <c r="E4159" s="27"/>
      <c r="F4159" s="27"/>
      <c r="G4159" s="7"/>
    </row>
    <row r="4160" spans="2:7" x14ac:dyDescent="0.25">
      <c r="B4160" s="25"/>
      <c r="C4160" s="7"/>
      <c r="D4160" s="7"/>
      <c r="E4160" s="27"/>
      <c r="F4160" s="27"/>
      <c r="G4160" s="7"/>
    </row>
    <row r="4161" spans="2:7" x14ac:dyDescent="0.25">
      <c r="B4161" s="25"/>
      <c r="C4161" s="7"/>
      <c r="D4161" s="7"/>
      <c r="E4161" s="27"/>
      <c r="F4161" s="27"/>
      <c r="G4161" s="7"/>
    </row>
    <row r="4162" spans="2:7" x14ac:dyDescent="0.25">
      <c r="B4162" s="25"/>
      <c r="C4162" s="7"/>
      <c r="D4162" s="7"/>
      <c r="E4162" s="27"/>
      <c r="F4162" s="27"/>
      <c r="G4162" s="7"/>
    </row>
    <row r="4163" spans="2:7" x14ac:dyDescent="0.25">
      <c r="B4163" s="25"/>
      <c r="C4163" s="7"/>
      <c r="D4163" s="7"/>
      <c r="E4163" s="27"/>
      <c r="F4163" s="27"/>
      <c r="G4163" s="7"/>
    </row>
    <row r="4164" spans="2:7" x14ac:dyDescent="0.25">
      <c r="B4164" s="25"/>
      <c r="C4164" s="7"/>
      <c r="D4164" s="7"/>
      <c r="E4164" s="27"/>
      <c r="F4164" s="27"/>
      <c r="G4164" s="7"/>
    </row>
    <row r="4165" spans="2:7" x14ac:dyDescent="0.25">
      <c r="B4165" s="25"/>
      <c r="C4165" s="7"/>
      <c r="D4165" s="7"/>
      <c r="E4165" s="27"/>
      <c r="F4165" s="27"/>
      <c r="G4165" s="7"/>
    </row>
    <row r="4166" spans="2:7" x14ac:dyDescent="0.25">
      <c r="B4166" s="25"/>
      <c r="C4166" s="7"/>
      <c r="D4166" s="7"/>
      <c r="E4166" s="27"/>
      <c r="F4166" s="27"/>
      <c r="G4166" s="7"/>
    </row>
    <row r="4167" spans="2:7" x14ac:dyDescent="0.25">
      <c r="B4167" s="25"/>
      <c r="C4167" s="7"/>
      <c r="D4167" s="7"/>
      <c r="E4167" s="27"/>
      <c r="F4167" s="27"/>
      <c r="G4167" s="7"/>
    </row>
    <row r="4168" spans="2:7" x14ac:dyDescent="0.25">
      <c r="B4168" s="25"/>
      <c r="C4168" s="7"/>
      <c r="D4168" s="7"/>
      <c r="E4168" s="27"/>
      <c r="F4168" s="27"/>
      <c r="G4168" s="7"/>
    </row>
    <row r="4169" spans="2:7" x14ac:dyDescent="0.25">
      <c r="B4169" s="25"/>
      <c r="C4169" s="7"/>
      <c r="D4169" s="7"/>
      <c r="E4169" s="27"/>
      <c r="F4169" s="27"/>
      <c r="G4169" s="7"/>
    </row>
    <row r="4170" spans="2:7" x14ac:dyDescent="0.25">
      <c r="B4170" s="25"/>
      <c r="C4170" s="7"/>
      <c r="D4170" s="7"/>
      <c r="E4170" s="27"/>
      <c r="F4170" s="27"/>
      <c r="G4170" s="7"/>
    </row>
    <row r="4171" spans="2:7" x14ac:dyDescent="0.25">
      <c r="B4171" s="25"/>
      <c r="C4171" s="7"/>
      <c r="D4171" s="7"/>
      <c r="E4171" s="27"/>
      <c r="F4171" s="27"/>
      <c r="G4171" s="7"/>
    </row>
    <row r="4172" spans="2:7" x14ac:dyDescent="0.25">
      <c r="B4172" s="25"/>
      <c r="C4172" s="7"/>
      <c r="D4172" s="7"/>
      <c r="E4172" s="27"/>
      <c r="F4172" s="27"/>
      <c r="G4172" s="7"/>
    </row>
    <row r="4173" spans="2:7" x14ac:dyDescent="0.25">
      <c r="B4173" s="25"/>
      <c r="C4173" s="7"/>
      <c r="D4173" s="7"/>
      <c r="E4173" s="27"/>
      <c r="F4173" s="27"/>
      <c r="G4173" s="7"/>
    </row>
    <row r="4174" spans="2:7" x14ac:dyDescent="0.25">
      <c r="B4174" s="25"/>
      <c r="C4174" s="7"/>
      <c r="D4174" s="7"/>
      <c r="E4174" s="27"/>
      <c r="F4174" s="27"/>
      <c r="G4174" s="7"/>
    </row>
    <row r="4175" spans="2:7" x14ac:dyDescent="0.25">
      <c r="B4175" s="25"/>
      <c r="C4175" s="7"/>
      <c r="D4175" s="7"/>
      <c r="E4175" s="27"/>
      <c r="F4175" s="27"/>
      <c r="G4175" s="7"/>
    </row>
    <row r="4176" spans="2:7" x14ac:dyDescent="0.25">
      <c r="B4176" s="25"/>
      <c r="C4176" s="7"/>
      <c r="D4176" s="7"/>
      <c r="E4176" s="27"/>
      <c r="F4176" s="27"/>
      <c r="G4176" s="7"/>
    </row>
    <row r="4177" spans="2:7" x14ac:dyDescent="0.25">
      <c r="B4177" s="25"/>
      <c r="C4177" s="7"/>
      <c r="D4177" s="7"/>
      <c r="E4177" s="27"/>
      <c r="F4177" s="27"/>
      <c r="G4177" s="7"/>
    </row>
    <row r="4178" spans="2:7" x14ac:dyDescent="0.25">
      <c r="B4178" s="25"/>
      <c r="C4178" s="7"/>
      <c r="D4178" s="7"/>
      <c r="E4178" s="27"/>
      <c r="F4178" s="27"/>
      <c r="G4178" s="7"/>
    </row>
    <row r="4179" spans="2:7" x14ac:dyDescent="0.25">
      <c r="B4179" s="25"/>
      <c r="C4179" s="7"/>
      <c r="D4179" s="7"/>
      <c r="E4179" s="27"/>
      <c r="F4179" s="27"/>
      <c r="G4179" s="7"/>
    </row>
    <row r="4180" spans="2:7" x14ac:dyDescent="0.25">
      <c r="B4180" s="25"/>
      <c r="C4180" s="7"/>
      <c r="D4180" s="7"/>
      <c r="E4180" s="27"/>
      <c r="F4180" s="27"/>
      <c r="G4180" s="7"/>
    </row>
    <row r="4181" spans="2:7" x14ac:dyDescent="0.25">
      <c r="B4181" s="25"/>
      <c r="C4181" s="7"/>
      <c r="D4181" s="7"/>
      <c r="E4181" s="27"/>
      <c r="F4181" s="27"/>
      <c r="G4181" s="7"/>
    </row>
    <row r="4182" spans="2:7" x14ac:dyDescent="0.25">
      <c r="B4182" s="25"/>
      <c r="C4182" s="7"/>
      <c r="D4182" s="7"/>
      <c r="E4182" s="27"/>
      <c r="F4182" s="27"/>
      <c r="G4182" s="7"/>
    </row>
    <row r="4183" spans="2:7" x14ac:dyDescent="0.25">
      <c r="B4183" s="25"/>
      <c r="C4183" s="7"/>
      <c r="D4183" s="7"/>
      <c r="E4183" s="27"/>
      <c r="F4183" s="27"/>
      <c r="G4183" s="7"/>
    </row>
    <row r="4184" spans="2:7" x14ac:dyDescent="0.25">
      <c r="B4184" s="25"/>
      <c r="C4184" s="7"/>
      <c r="D4184" s="7"/>
      <c r="E4184" s="27"/>
      <c r="F4184" s="27"/>
      <c r="G4184" s="7"/>
    </row>
    <row r="4185" spans="2:7" x14ac:dyDescent="0.25">
      <c r="B4185" s="25"/>
      <c r="C4185" s="7"/>
      <c r="D4185" s="7"/>
      <c r="E4185" s="27"/>
      <c r="F4185" s="27"/>
      <c r="G4185" s="7"/>
    </row>
    <row r="4186" spans="2:7" x14ac:dyDescent="0.25">
      <c r="B4186" s="25"/>
      <c r="C4186" s="7"/>
      <c r="D4186" s="7"/>
      <c r="E4186" s="27"/>
      <c r="F4186" s="27"/>
      <c r="G4186" s="7"/>
    </row>
    <row r="4187" spans="2:7" x14ac:dyDescent="0.25">
      <c r="B4187" s="25"/>
      <c r="C4187" s="7"/>
      <c r="D4187" s="7"/>
      <c r="E4187" s="27"/>
      <c r="F4187" s="27"/>
      <c r="G4187" s="7"/>
    </row>
    <row r="4188" spans="2:7" x14ac:dyDescent="0.25">
      <c r="B4188" s="25"/>
      <c r="C4188" s="7"/>
      <c r="D4188" s="7"/>
      <c r="E4188" s="27"/>
      <c r="F4188" s="27"/>
      <c r="G4188" s="7"/>
    </row>
    <row r="4189" spans="2:7" x14ac:dyDescent="0.25">
      <c r="B4189" s="25"/>
      <c r="C4189" s="7"/>
      <c r="D4189" s="7"/>
      <c r="E4189" s="27"/>
      <c r="F4189" s="27"/>
      <c r="G4189" s="7"/>
    </row>
    <row r="4190" spans="2:7" x14ac:dyDescent="0.25">
      <c r="B4190" s="25"/>
      <c r="C4190" s="7"/>
      <c r="D4190" s="7"/>
      <c r="E4190" s="27"/>
      <c r="F4190" s="27"/>
      <c r="G4190" s="7"/>
    </row>
    <row r="4191" spans="2:7" x14ac:dyDescent="0.25">
      <c r="B4191" s="25"/>
      <c r="C4191" s="7"/>
      <c r="D4191" s="7"/>
      <c r="E4191" s="27"/>
      <c r="F4191" s="27"/>
      <c r="G4191" s="7"/>
    </row>
    <row r="4192" spans="2:7" x14ac:dyDescent="0.25">
      <c r="B4192" s="25"/>
      <c r="C4192" s="7"/>
      <c r="D4192" s="7"/>
      <c r="E4192" s="27"/>
      <c r="F4192" s="27"/>
      <c r="G4192" s="7"/>
    </row>
    <row r="4193" spans="2:7" x14ac:dyDescent="0.25">
      <c r="B4193" s="25"/>
      <c r="C4193" s="7"/>
      <c r="D4193" s="7"/>
      <c r="E4193" s="27"/>
      <c r="F4193" s="27"/>
      <c r="G4193" s="7"/>
    </row>
    <row r="4194" spans="2:7" x14ac:dyDescent="0.25">
      <c r="B4194" s="25"/>
      <c r="C4194" s="7"/>
      <c r="D4194" s="7"/>
      <c r="E4194" s="27"/>
      <c r="F4194" s="27"/>
      <c r="G4194" s="7"/>
    </row>
    <row r="4195" spans="2:7" x14ac:dyDescent="0.25">
      <c r="B4195" s="25"/>
      <c r="C4195" s="7"/>
      <c r="D4195" s="7"/>
      <c r="E4195" s="27"/>
      <c r="F4195" s="27"/>
      <c r="G4195" s="7"/>
    </row>
    <row r="4196" spans="2:7" x14ac:dyDescent="0.25">
      <c r="B4196" s="25"/>
      <c r="C4196" s="7"/>
      <c r="D4196" s="7"/>
      <c r="E4196" s="27"/>
      <c r="F4196" s="27"/>
      <c r="G4196" s="7"/>
    </row>
    <row r="4197" spans="2:7" x14ac:dyDescent="0.25">
      <c r="B4197" s="25"/>
      <c r="C4197" s="7"/>
      <c r="D4197" s="7"/>
      <c r="E4197" s="27"/>
      <c r="F4197" s="27"/>
      <c r="G4197" s="7"/>
    </row>
    <row r="4198" spans="2:7" x14ac:dyDescent="0.25">
      <c r="B4198" s="25"/>
      <c r="C4198" s="7"/>
      <c r="D4198" s="7"/>
      <c r="E4198" s="27"/>
      <c r="F4198" s="27"/>
      <c r="G4198" s="7"/>
    </row>
    <row r="4199" spans="2:7" x14ac:dyDescent="0.25">
      <c r="B4199" s="25"/>
      <c r="C4199" s="7"/>
      <c r="D4199" s="7"/>
      <c r="E4199" s="27"/>
      <c r="F4199" s="27"/>
      <c r="G4199" s="7"/>
    </row>
    <row r="4200" spans="2:7" x14ac:dyDescent="0.25">
      <c r="B4200" s="25"/>
      <c r="C4200" s="7"/>
      <c r="D4200" s="7"/>
      <c r="E4200" s="27"/>
      <c r="F4200" s="27"/>
      <c r="G4200" s="7"/>
    </row>
    <row r="4201" spans="2:7" x14ac:dyDescent="0.25">
      <c r="B4201" s="25"/>
      <c r="C4201" s="7"/>
      <c r="D4201" s="7"/>
      <c r="E4201" s="27"/>
      <c r="F4201" s="27"/>
      <c r="G4201" s="7"/>
    </row>
    <row r="4202" spans="2:7" x14ac:dyDescent="0.25">
      <c r="B4202" s="25"/>
      <c r="C4202" s="7"/>
      <c r="D4202" s="7"/>
      <c r="E4202" s="27"/>
      <c r="F4202" s="27"/>
      <c r="G4202" s="7"/>
    </row>
    <row r="4203" spans="2:7" x14ac:dyDescent="0.25">
      <c r="B4203" s="25"/>
      <c r="C4203" s="7"/>
      <c r="D4203" s="7"/>
      <c r="E4203" s="27"/>
      <c r="F4203" s="27"/>
      <c r="G4203" s="7"/>
    </row>
    <row r="4204" spans="2:7" x14ac:dyDescent="0.25">
      <c r="B4204" s="25"/>
      <c r="C4204" s="7"/>
      <c r="D4204" s="7"/>
      <c r="E4204" s="27"/>
      <c r="F4204" s="27"/>
      <c r="G4204" s="7"/>
    </row>
    <row r="4205" spans="2:7" x14ac:dyDescent="0.25">
      <c r="B4205" s="25"/>
      <c r="C4205" s="7"/>
      <c r="D4205" s="7"/>
      <c r="E4205" s="27"/>
      <c r="F4205" s="27"/>
      <c r="G4205" s="7"/>
    </row>
    <row r="4206" spans="2:7" x14ac:dyDescent="0.25">
      <c r="B4206" s="25"/>
      <c r="C4206" s="7"/>
      <c r="D4206" s="7"/>
      <c r="E4206" s="27"/>
      <c r="F4206" s="27"/>
      <c r="G4206" s="7"/>
    </row>
    <row r="4207" spans="2:7" x14ac:dyDescent="0.25">
      <c r="B4207" s="25"/>
      <c r="C4207" s="7"/>
      <c r="D4207" s="7"/>
      <c r="E4207" s="27"/>
      <c r="F4207" s="27"/>
      <c r="G4207" s="7"/>
    </row>
    <row r="4208" spans="2:7" x14ac:dyDescent="0.25">
      <c r="B4208" s="25"/>
      <c r="C4208" s="7"/>
      <c r="D4208" s="7"/>
      <c r="E4208" s="27"/>
      <c r="F4208" s="27"/>
      <c r="G4208" s="7"/>
    </row>
    <row r="4209" spans="2:7" x14ac:dyDescent="0.25">
      <c r="B4209" s="25"/>
      <c r="C4209" s="7"/>
      <c r="D4209" s="7"/>
      <c r="E4209" s="27"/>
      <c r="F4209" s="27"/>
      <c r="G4209" s="7"/>
    </row>
    <row r="4210" spans="2:7" x14ac:dyDescent="0.25">
      <c r="B4210" s="25"/>
      <c r="C4210" s="7"/>
      <c r="D4210" s="7"/>
      <c r="E4210" s="27"/>
      <c r="F4210" s="27"/>
      <c r="G4210" s="7"/>
    </row>
    <row r="4211" spans="2:7" x14ac:dyDescent="0.25">
      <c r="B4211" s="25"/>
      <c r="C4211" s="7"/>
      <c r="D4211" s="7"/>
      <c r="E4211" s="27"/>
      <c r="F4211" s="27"/>
      <c r="G4211" s="7"/>
    </row>
    <row r="4212" spans="2:7" x14ac:dyDescent="0.25">
      <c r="B4212" s="25"/>
      <c r="C4212" s="7"/>
      <c r="D4212" s="7"/>
      <c r="E4212" s="27"/>
      <c r="F4212" s="27"/>
      <c r="G4212" s="7"/>
    </row>
    <row r="4213" spans="2:7" x14ac:dyDescent="0.25">
      <c r="B4213" s="25"/>
      <c r="C4213" s="7"/>
      <c r="D4213" s="7"/>
      <c r="E4213" s="27"/>
      <c r="F4213" s="27"/>
      <c r="G4213" s="7"/>
    </row>
    <row r="4214" spans="2:7" x14ac:dyDescent="0.25">
      <c r="B4214" s="25"/>
      <c r="C4214" s="7"/>
      <c r="D4214" s="7"/>
      <c r="E4214" s="27"/>
      <c r="F4214" s="27"/>
      <c r="G4214" s="7"/>
    </row>
    <row r="4215" spans="2:7" x14ac:dyDescent="0.25">
      <c r="B4215" s="25"/>
      <c r="C4215" s="7"/>
      <c r="D4215" s="7"/>
      <c r="E4215" s="27"/>
      <c r="F4215" s="27"/>
      <c r="G4215" s="7"/>
    </row>
    <row r="4216" spans="2:7" x14ac:dyDescent="0.25">
      <c r="B4216" s="25"/>
      <c r="C4216" s="7"/>
      <c r="D4216" s="7"/>
      <c r="E4216" s="27"/>
      <c r="F4216" s="27"/>
      <c r="G4216" s="7"/>
    </row>
    <row r="4217" spans="2:7" x14ac:dyDescent="0.25">
      <c r="B4217" s="25"/>
      <c r="C4217" s="7"/>
      <c r="D4217" s="7"/>
      <c r="E4217" s="27"/>
      <c r="F4217" s="27"/>
      <c r="G4217" s="7"/>
    </row>
    <row r="4218" spans="2:7" x14ac:dyDescent="0.25">
      <c r="B4218" s="25"/>
      <c r="C4218" s="7"/>
      <c r="D4218" s="7"/>
      <c r="E4218" s="27"/>
      <c r="F4218" s="27"/>
      <c r="G4218" s="7"/>
    </row>
    <row r="4219" spans="2:7" x14ac:dyDescent="0.25">
      <c r="B4219" s="25"/>
      <c r="C4219" s="7"/>
      <c r="D4219" s="7"/>
      <c r="E4219" s="27"/>
      <c r="F4219" s="27"/>
      <c r="G4219" s="7"/>
    </row>
    <row r="4220" spans="2:7" x14ac:dyDescent="0.25">
      <c r="B4220" s="25"/>
      <c r="C4220" s="7"/>
      <c r="D4220" s="7"/>
      <c r="E4220" s="27"/>
      <c r="F4220" s="27"/>
      <c r="G4220" s="7"/>
    </row>
    <row r="4221" spans="2:7" x14ac:dyDescent="0.25">
      <c r="B4221" s="25"/>
      <c r="C4221" s="7"/>
      <c r="D4221" s="7"/>
      <c r="E4221" s="27"/>
      <c r="F4221" s="27"/>
      <c r="G4221" s="7"/>
    </row>
    <row r="4222" spans="2:7" x14ac:dyDescent="0.25">
      <c r="B4222" s="25"/>
      <c r="C4222" s="7"/>
      <c r="D4222" s="7"/>
      <c r="E4222" s="27"/>
      <c r="F4222" s="27"/>
      <c r="G4222" s="7"/>
    </row>
    <row r="4223" spans="2:7" x14ac:dyDescent="0.25">
      <c r="B4223" s="25"/>
      <c r="C4223" s="7"/>
      <c r="D4223" s="7"/>
      <c r="E4223" s="27"/>
      <c r="F4223" s="27"/>
      <c r="G4223" s="7"/>
    </row>
    <row r="4224" spans="2:7" x14ac:dyDescent="0.25">
      <c r="B4224" s="25"/>
      <c r="C4224" s="7"/>
      <c r="D4224" s="7"/>
      <c r="E4224" s="27"/>
      <c r="F4224" s="27"/>
      <c r="G4224" s="7"/>
    </row>
    <row r="4225" spans="2:7" x14ac:dyDescent="0.25">
      <c r="B4225" s="25"/>
      <c r="C4225" s="7"/>
      <c r="D4225" s="7"/>
      <c r="E4225" s="27"/>
      <c r="F4225" s="27"/>
      <c r="G4225" s="7"/>
    </row>
    <row r="4226" spans="2:7" x14ac:dyDescent="0.25">
      <c r="B4226" s="25"/>
      <c r="C4226" s="7"/>
      <c r="D4226" s="7"/>
      <c r="E4226" s="27"/>
      <c r="F4226" s="27"/>
      <c r="G4226" s="7"/>
    </row>
    <row r="4227" spans="2:7" x14ac:dyDescent="0.25">
      <c r="B4227" s="25"/>
      <c r="C4227" s="7"/>
      <c r="D4227" s="7"/>
      <c r="E4227" s="27"/>
      <c r="F4227" s="27"/>
      <c r="G4227" s="7"/>
    </row>
    <row r="4228" spans="2:7" x14ac:dyDescent="0.25">
      <c r="B4228" s="25"/>
      <c r="C4228" s="7"/>
      <c r="D4228" s="7"/>
      <c r="E4228" s="27"/>
      <c r="F4228" s="27"/>
      <c r="G4228" s="7"/>
    </row>
    <row r="4229" spans="2:7" x14ac:dyDescent="0.25">
      <c r="B4229" s="25"/>
      <c r="C4229" s="7"/>
      <c r="D4229" s="7"/>
      <c r="E4229" s="27"/>
      <c r="F4229" s="27"/>
      <c r="G4229" s="7"/>
    </row>
    <row r="4230" spans="2:7" x14ac:dyDescent="0.25">
      <c r="B4230" s="25"/>
      <c r="C4230" s="7"/>
      <c r="D4230" s="7"/>
      <c r="E4230" s="27"/>
      <c r="F4230" s="27"/>
      <c r="G4230" s="7"/>
    </row>
    <row r="4231" spans="2:7" x14ac:dyDescent="0.25">
      <c r="B4231" s="25"/>
      <c r="C4231" s="7"/>
      <c r="D4231" s="7"/>
      <c r="E4231" s="27"/>
      <c r="F4231" s="27"/>
      <c r="G4231" s="7"/>
    </row>
    <row r="4232" spans="2:7" x14ac:dyDescent="0.25">
      <c r="B4232" s="25"/>
      <c r="C4232" s="7"/>
      <c r="D4232" s="7"/>
      <c r="E4232" s="27"/>
      <c r="F4232" s="27"/>
      <c r="G4232" s="7"/>
    </row>
    <row r="4233" spans="2:7" x14ac:dyDescent="0.25">
      <c r="B4233" s="25"/>
      <c r="C4233" s="7"/>
      <c r="D4233" s="7"/>
      <c r="E4233" s="27"/>
      <c r="F4233" s="27"/>
      <c r="G4233" s="7"/>
    </row>
    <row r="4234" spans="2:7" x14ac:dyDescent="0.25">
      <c r="B4234" s="25"/>
      <c r="C4234" s="7"/>
      <c r="D4234" s="7"/>
      <c r="E4234" s="27"/>
      <c r="F4234" s="27"/>
      <c r="G4234" s="7"/>
    </row>
    <row r="4235" spans="2:7" x14ac:dyDescent="0.25">
      <c r="B4235" s="25"/>
      <c r="C4235" s="7"/>
      <c r="D4235" s="7"/>
      <c r="E4235" s="27"/>
      <c r="F4235" s="27"/>
      <c r="G4235" s="7"/>
    </row>
    <row r="4236" spans="2:7" x14ac:dyDescent="0.25">
      <c r="B4236" s="25"/>
      <c r="C4236" s="7"/>
      <c r="D4236" s="7"/>
      <c r="E4236" s="27"/>
      <c r="F4236" s="27"/>
      <c r="G4236" s="7"/>
    </row>
    <row r="4237" spans="2:7" x14ac:dyDescent="0.25">
      <c r="B4237" s="25"/>
      <c r="C4237" s="7"/>
      <c r="D4237" s="7"/>
      <c r="E4237" s="27"/>
      <c r="F4237" s="27"/>
      <c r="G4237" s="7"/>
    </row>
    <row r="4238" spans="2:7" x14ac:dyDescent="0.25">
      <c r="B4238" s="25"/>
      <c r="C4238" s="7"/>
      <c r="D4238" s="7"/>
      <c r="E4238" s="27"/>
      <c r="F4238" s="27"/>
      <c r="G4238" s="7"/>
    </row>
    <row r="4239" spans="2:7" x14ac:dyDescent="0.25">
      <c r="B4239" s="25"/>
      <c r="C4239" s="7"/>
      <c r="D4239" s="7"/>
      <c r="E4239" s="27"/>
      <c r="F4239" s="27"/>
      <c r="G4239" s="7"/>
    </row>
    <row r="4240" spans="2:7" x14ac:dyDescent="0.25">
      <c r="B4240" s="25"/>
      <c r="C4240" s="7"/>
      <c r="D4240" s="7"/>
      <c r="E4240" s="27"/>
      <c r="F4240" s="27"/>
      <c r="G4240" s="7"/>
    </row>
    <row r="4241" spans="2:7" x14ac:dyDescent="0.25">
      <c r="B4241" s="25"/>
      <c r="C4241" s="7"/>
      <c r="D4241" s="7"/>
      <c r="E4241" s="27"/>
      <c r="F4241" s="27"/>
      <c r="G4241" s="7"/>
    </row>
    <row r="4242" spans="2:7" x14ac:dyDescent="0.25">
      <c r="B4242" s="25"/>
      <c r="C4242" s="7"/>
      <c r="D4242" s="7"/>
      <c r="E4242" s="27"/>
      <c r="F4242" s="27"/>
      <c r="G4242" s="7"/>
    </row>
    <row r="4243" spans="2:7" x14ac:dyDescent="0.25">
      <c r="B4243" s="25"/>
      <c r="C4243" s="7"/>
      <c r="D4243" s="7"/>
      <c r="E4243" s="27"/>
      <c r="F4243" s="27"/>
      <c r="G4243" s="7"/>
    </row>
    <row r="4244" spans="2:7" x14ac:dyDescent="0.25">
      <c r="B4244" s="25"/>
      <c r="C4244" s="7"/>
      <c r="D4244" s="7"/>
      <c r="E4244" s="27"/>
      <c r="F4244" s="27"/>
      <c r="G4244" s="7"/>
    </row>
    <row r="4245" spans="2:7" x14ac:dyDescent="0.25">
      <c r="B4245" s="25"/>
      <c r="C4245" s="7"/>
      <c r="D4245" s="7"/>
      <c r="E4245" s="27"/>
      <c r="F4245" s="27"/>
      <c r="G4245" s="7"/>
    </row>
    <row r="4246" spans="2:7" x14ac:dyDescent="0.25">
      <c r="B4246" s="25"/>
      <c r="C4246" s="7"/>
      <c r="D4246" s="7"/>
      <c r="E4246" s="27"/>
      <c r="F4246" s="27"/>
      <c r="G4246" s="7"/>
    </row>
    <row r="4247" spans="2:7" x14ac:dyDescent="0.25">
      <c r="B4247" s="25"/>
      <c r="C4247" s="7"/>
      <c r="D4247" s="7"/>
      <c r="E4247" s="27"/>
      <c r="F4247" s="27"/>
      <c r="G4247" s="7"/>
    </row>
    <row r="4248" spans="2:7" x14ac:dyDescent="0.25">
      <c r="B4248" s="25"/>
      <c r="C4248" s="7"/>
      <c r="D4248" s="7"/>
      <c r="E4248" s="27"/>
      <c r="F4248" s="27"/>
      <c r="G4248" s="7"/>
    </row>
    <row r="4249" spans="2:7" x14ac:dyDescent="0.25">
      <c r="B4249" s="25"/>
      <c r="C4249" s="7"/>
      <c r="D4249" s="7"/>
      <c r="E4249" s="27"/>
      <c r="F4249" s="27"/>
      <c r="G4249" s="7"/>
    </row>
    <row r="4250" spans="2:7" x14ac:dyDescent="0.25">
      <c r="B4250" s="25"/>
      <c r="C4250" s="7"/>
      <c r="D4250" s="7"/>
      <c r="E4250" s="27"/>
      <c r="F4250" s="27"/>
      <c r="G4250" s="7"/>
    </row>
    <row r="4251" spans="2:7" x14ac:dyDescent="0.25">
      <c r="B4251" s="25"/>
      <c r="C4251" s="7"/>
      <c r="D4251" s="7"/>
      <c r="E4251" s="27"/>
      <c r="F4251" s="27"/>
      <c r="G4251" s="7"/>
    </row>
    <row r="4252" spans="2:7" x14ac:dyDescent="0.25">
      <c r="B4252" s="25"/>
      <c r="C4252" s="7"/>
      <c r="D4252" s="7"/>
      <c r="E4252" s="27"/>
      <c r="F4252" s="27"/>
      <c r="G4252" s="7"/>
    </row>
    <row r="4253" spans="2:7" x14ac:dyDescent="0.25">
      <c r="B4253" s="25"/>
      <c r="C4253" s="7"/>
      <c r="D4253" s="7"/>
      <c r="E4253" s="27"/>
      <c r="F4253" s="27"/>
      <c r="G4253" s="7"/>
    </row>
    <row r="4254" spans="2:7" x14ac:dyDescent="0.25">
      <c r="B4254" s="25"/>
      <c r="C4254" s="7"/>
      <c r="D4254" s="7"/>
      <c r="E4254" s="27"/>
      <c r="F4254" s="27"/>
      <c r="G4254" s="7"/>
    </row>
    <row r="4255" spans="2:7" x14ac:dyDescent="0.25">
      <c r="B4255" s="25"/>
      <c r="C4255" s="7"/>
      <c r="D4255" s="7"/>
      <c r="E4255" s="27"/>
      <c r="F4255" s="27"/>
      <c r="G4255" s="7"/>
    </row>
    <row r="4256" spans="2:7" x14ac:dyDescent="0.25">
      <c r="B4256" s="25"/>
      <c r="C4256" s="7"/>
      <c r="D4256" s="7"/>
      <c r="E4256" s="27"/>
      <c r="F4256" s="27"/>
      <c r="G4256" s="7"/>
    </row>
    <row r="4257" spans="2:7" x14ac:dyDescent="0.25">
      <c r="B4257" s="25"/>
      <c r="C4257" s="7"/>
      <c r="D4257" s="7"/>
      <c r="E4257" s="27"/>
      <c r="F4257" s="27"/>
      <c r="G4257" s="7"/>
    </row>
    <row r="4258" spans="2:7" x14ac:dyDescent="0.25">
      <c r="B4258" s="25"/>
      <c r="C4258" s="7"/>
      <c r="D4258" s="7"/>
      <c r="E4258" s="27"/>
      <c r="F4258" s="27"/>
      <c r="G4258" s="7"/>
    </row>
    <row r="4259" spans="2:7" x14ac:dyDescent="0.25">
      <c r="B4259" s="25"/>
      <c r="C4259" s="7"/>
      <c r="D4259" s="7"/>
      <c r="E4259" s="27"/>
      <c r="F4259" s="27"/>
      <c r="G4259" s="7"/>
    </row>
    <row r="4260" spans="2:7" x14ac:dyDescent="0.25">
      <c r="B4260" s="25"/>
      <c r="C4260" s="7"/>
      <c r="D4260" s="7"/>
      <c r="E4260" s="27"/>
      <c r="F4260" s="27"/>
      <c r="G4260" s="7"/>
    </row>
    <row r="4261" spans="2:7" x14ac:dyDescent="0.25">
      <c r="B4261" s="25"/>
      <c r="C4261" s="7"/>
      <c r="D4261" s="7"/>
      <c r="E4261" s="27"/>
      <c r="F4261" s="27"/>
      <c r="G4261" s="7"/>
    </row>
    <row r="4262" spans="2:7" x14ac:dyDescent="0.25">
      <c r="B4262" s="25"/>
      <c r="C4262" s="7"/>
      <c r="D4262" s="7"/>
      <c r="E4262" s="27"/>
      <c r="F4262" s="27"/>
      <c r="G4262" s="7"/>
    </row>
    <row r="4263" spans="2:7" x14ac:dyDescent="0.25">
      <c r="B4263" s="25"/>
      <c r="C4263" s="7"/>
      <c r="D4263" s="7"/>
      <c r="E4263" s="27"/>
      <c r="F4263" s="27"/>
      <c r="G4263" s="7"/>
    </row>
    <row r="4264" spans="2:7" x14ac:dyDescent="0.25">
      <c r="B4264" s="25"/>
      <c r="C4264" s="7"/>
      <c r="D4264" s="7"/>
      <c r="E4264" s="27"/>
      <c r="F4264" s="27"/>
      <c r="G4264" s="7"/>
    </row>
    <row r="4265" spans="2:7" x14ac:dyDescent="0.25">
      <c r="B4265" s="25"/>
      <c r="C4265" s="7"/>
      <c r="D4265" s="7"/>
      <c r="E4265" s="27"/>
      <c r="F4265" s="27"/>
      <c r="G4265" s="7"/>
    </row>
    <row r="4266" spans="2:7" x14ac:dyDescent="0.25">
      <c r="B4266" s="25"/>
      <c r="C4266" s="7"/>
      <c r="D4266" s="7"/>
      <c r="E4266" s="27"/>
      <c r="F4266" s="27"/>
      <c r="G4266" s="7"/>
    </row>
    <row r="4267" spans="2:7" x14ac:dyDescent="0.25">
      <c r="B4267" s="25"/>
      <c r="C4267" s="7"/>
      <c r="D4267" s="7"/>
      <c r="E4267" s="27"/>
      <c r="F4267" s="27"/>
      <c r="G4267" s="7"/>
    </row>
    <row r="4268" spans="2:7" x14ac:dyDescent="0.25">
      <c r="B4268" s="25"/>
      <c r="C4268" s="7"/>
      <c r="D4268" s="7"/>
      <c r="E4268" s="27"/>
      <c r="F4268" s="27"/>
      <c r="G4268" s="7"/>
    </row>
    <row r="4269" spans="2:7" x14ac:dyDescent="0.25">
      <c r="B4269" s="25"/>
      <c r="C4269" s="7"/>
      <c r="D4269" s="7"/>
      <c r="E4269" s="27"/>
      <c r="F4269" s="27"/>
      <c r="G4269" s="7"/>
    </row>
    <row r="4270" spans="2:7" x14ac:dyDescent="0.25">
      <c r="B4270" s="25"/>
      <c r="C4270" s="7"/>
      <c r="D4270" s="7"/>
      <c r="E4270" s="27"/>
      <c r="F4270" s="27"/>
      <c r="G4270" s="7"/>
    </row>
    <row r="4271" spans="2:7" x14ac:dyDescent="0.25">
      <c r="B4271" s="25"/>
      <c r="C4271" s="7"/>
      <c r="D4271" s="7"/>
      <c r="E4271" s="27"/>
      <c r="F4271" s="27"/>
      <c r="G4271" s="7"/>
    </row>
    <row r="4272" spans="2:7" x14ac:dyDescent="0.25">
      <c r="B4272" s="25"/>
      <c r="C4272" s="7"/>
      <c r="D4272" s="7"/>
      <c r="E4272" s="27"/>
      <c r="F4272" s="27"/>
      <c r="G4272" s="7"/>
    </row>
    <row r="4273" spans="2:7" x14ac:dyDescent="0.25">
      <c r="B4273" s="25"/>
      <c r="C4273" s="7"/>
      <c r="D4273" s="7"/>
      <c r="E4273" s="27"/>
      <c r="F4273" s="27"/>
      <c r="G4273" s="7"/>
    </row>
    <row r="4274" spans="2:7" x14ac:dyDescent="0.25">
      <c r="B4274" s="25"/>
      <c r="C4274" s="7"/>
      <c r="D4274" s="7"/>
      <c r="E4274" s="27"/>
      <c r="F4274" s="27"/>
      <c r="G4274" s="7"/>
    </row>
    <row r="4275" spans="2:7" x14ac:dyDescent="0.25">
      <c r="B4275" s="25"/>
      <c r="C4275" s="7"/>
      <c r="D4275" s="7"/>
      <c r="E4275" s="27"/>
      <c r="F4275" s="27"/>
      <c r="G4275" s="7"/>
    </row>
    <row r="4276" spans="2:7" x14ac:dyDescent="0.25">
      <c r="B4276" s="25"/>
      <c r="C4276" s="7"/>
      <c r="D4276" s="7"/>
      <c r="E4276" s="27"/>
      <c r="F4276" s="27"/>
      <c r="G4276" s="7"/>
    </row>
    <row r="4277" spans="2:7" x14ac:dyDescent="0.25">
      <c r="B4277" s="25"/>
      <c r="C4277" s="7"/>
      <c r="D4277" s="7"/>
      <c r="E4277" s="27"/>
      <c r="F4277" s="27"/>
      <c r="G4277" s="7"/>
    </row>
    <row r="4278" spans="2:7" x14ac:dyDescent="0.25">
      <c r="B4278" s="25"/>
      <c r="C4278" s="7"/>
      <c r="D4278" s="7"/>
      <c r="E4278" s="27"/>
      <c r="F4278" s="27"/>
      <c r="G4278" s="7"/>
    </row>
    <row r="4279" spans="2:7" x14ac:dyDescent="0.25">
      <c r="B4279" s="25"/>
      <c r="C4279" s="7"/>
      <c r="D4279" s="7"/>
      <c r="E4279" s="27"/>
      <c r="F4279" s="27"/>
      <c r="G4279" s="7"/>
    </row>
    <row r="4280" spans="2:7" x14ac:dyDescent="0.25">
      <c r="B4280" s="25"/>
      <c r="C4280" s="7"/>
      <c r="D4280" s="7"/>
      <c r="E4280" s="27"/>
      <c r="F4280" s="27"/>
      <c r="G4280" s="7"/>
    </row>
    <row r="4281" spans="2:7" x14ac:dyDescent="0.25">
      <c r="B4281" s="25"/>
      <c r="C4281" s="7"/>
      <c r="D4281" s="7"/>
      <c r="E4281" s="27"/>
      <c r="F4281" s="27"/>
      <c r="G4281" s="7"/>
    </row>
    <row r="4282" spans="2:7" x14ac:dyDescent="0.25">
      <c r="B4282" s="25"/>
      <c r="C4282" s="7"/>
      <c r="D4282" s="7"/>
      <c r="E4282" s="27"/>
      <c r="F4282" s="27"/>
      <c r="G4282" s="7"/>
    </row>
    <row r="4283" spans="2:7" x14ac:dyDescent="0.25">
      <c r="B4283" s="25"/>
      <c r="C4283" s="7"/>
      <c r="D4283" s="7"/>
      <c r="E4283" s="27"/>
      <c r="F4283" s="27"/>
      <c r="G4283" s="7"/>
    </row>
    <row r="4284" spans="2:7" x14ac:dyDescent="0.25">
      <c r="B4284" s="25"/>
      <c r="C4284" s="7"/>
      <c r="D4284" s="7"/>
      <c r="E4284" s="27"/>
      <c r="F4284" s="27"/>
      <c r="G4284" s="7"/>
    </row>
    <row r="4285" spans="2:7" x14ac:dyDescent="0.25">
      <c r="B4285" s="25"/>
      <c r="C4285" s="7"/>
      <c r="D4285" s="7"/>
      <c r="E4285" s="27"/>
      <c r="F4285" s="27"/>
      <c r="G4285" s="7"/>
    </row>
    <row r="4286" spans="2:7" x14ac:dyDescent="0.25">
      <c r="B4286" s="25"/>
      <c r="C4286" s="7"/>
      <c r="D4286" s="7"/>
      <c r="E4286" s="27"/>
      <c r="F4286" s="27"/>
      <c r="G4286" s="7"/>
    </row>
    <row r="4287" spans="2:7" x14ac:dyDescent="0.25">
      <c r="B4287" s="25"/>
      <c r="C4287" s="7"/>
      <c r="D4287" s="7"/>
      <c r="E4287" s="27"/>
      <c r="F4287" s="27"/>
      <c r="G4287" s="7"/>
    </row>
    <row r="4288" spans="2:7" x14ac:dyDescent="0.25">
      <c r="B4288" s="25"/>
      <c r="C4288" s="7"/>
      <c r="D4288" s="7"/>
      <c r="E4288" s="27"/>
      <c r="F4288" s="27"/>
      <c r="G4288" s="7"/>
    </row>
    <row r="4289" spans="2:7" x14ac:dyDescent="0.25">
      <c r="B4289" s="25"/>
      <c r="C4289" s="7"/>
      <c r="D4289" s="7"/>
      <c r="E4289" s="27"/>
      <c r="F4289" s="27"/>
      <c r="G4289" s="7"/>
    </row>
    <row r="4290" spans="2:7" x14ac:dyDescent="0.25">
      <c r="B4290" s="25"/>
      <c r="C4290" s="7"/>
      <c r="D4290" s="7"/>
      <c r="E4290" s="27"/>
      <c r="F4290" s="27"/>
      <c r="G4290" s="7"/>
    </row>
    <row r="4291" spans="2:7" x14ac:dyDescent="0.25">
      <c r="B4291" s="25"/>
      <c r="C4291" s="7"/>
      <c r="D4291" s="7"/>
      <c r="E4291" s="27"/>
      <c r="F4291" s="27"/>
      <c r="G4291" s="7"/>
    </row>
    <row r="4292" spans="2:7" x14ac:dyDescent="0.25">
      <c r="B4292" s="25"/>
      <c r="C4292" s="7"/>
      <c r="D4292" s="7"/>
      <c r="E4292" s="27"/>
      <c r="F4292" s="27"/>
      <c r="G4292" s="7"/>
    </row>
    <row r="4293" spans="2:7" x14ac:dyDescent="0.25">
      <c r="B4293" s="25"/>
      <c r="C4293" s="7"/>
      <c r="D4293" s="7"/>
      <c r="E4293" s="27"/>
      <c r="F4293" s="27"/>
      <c r="G4293" s="7"/>
    </row>
    <row r="4294" spans="2:7" x14ac:dyDescent="0.25">
      <c r="B4294" s="25"/>
      <c r="C4294" s="7"/>
      <c r="D4294" s="7"/>
      <c r="E4294" s="27"/>
      <c r="F4294" s="27"/>
      <c r="G4294" s="7"/>
    </row>
    <row r="4295" spans="2:7" x14ac:dyDescent="0.25">
      <c r="B4295" s="25"/>
      <c r="C4295" s="7"/>
      <c r="D4295" s="7"/>
      <c r="E4295" s="27"/>
      <c r="F4295" s="27"/>
      <c r="G4295" s="7"/>
    </row>
    <row r="4296" spans="2:7" x14ac:dyDescent="0.25">
      <c r="B4296" s="25"/>
      <c r="C4296" s="7"/>
      <c r="D4296" s="7"/>
      <c r="E4296" s="27"/>
      <c r="F4296" s="27"/>
      <c r="G4296" s="7"/>
    </row>
    <row r="4297" spans="2:7" x14ac:dyDescent="0.25">
      <c r="B4297" s="25"/>
      <c r="C4297" s="7"/>
      <c r="D4297" s="7"/>
      <c r="E4297" s="27"/>
      <c r="F4297" s="27"/>
      <c r="G4297" s="7"/>
    </row>
    <row r="4298" spans="2:7" x14ac:dyDescent="0.25">
      <c r="B4298" s="25"/>
      <c r="C4298" s="7"/>
      <c r="D4298" s="7"/>
      <c r="E4298" s="27"/>
      <c r="F4298" s="27"/>
      <c r="G4298" s="7"/>
    </row>
    <row r="4299" spans="2:7" x14ac:dyDescent="0.25">
      <c r="B4299" s="25"/>
      <c r="C4299" s="7"/>
      <c r="D4299" s="7"/>
      <c r="E4299" s="27"/>
      <c r="F4299" s="27"/>
      <c r="G4299" s="7"/>
    </row>
    <row r="4300" spans="2:7" x14ac:dyDescent="0.25">
      <c r="B4300" s="25"/>
      <c r="C4300" s="7"/>
      <c r="D4300" s="7"/>
      <c r="E4300" s="27"/>
      <c r="F4300" s="27"/>
      <c r="G4300" s="7"/>
    </row>
    <row r="4301" spans="2:7" x14ac:dyDescent="0.25">
      <c r="B4301" s="25"/>
      <c r="C4301" s="7"/>
      <c r="D4301" s="7"/>
      <c r="E4301" s="27"/>
      <c r="F4301" s="27"/>
      <c r="G4301" s="7"/>
    </row>
    <row r="4302" spans="2:7" x14ac:dyDescent="0.25">
      <c r="B4302" s="25"/>
      <c r="C4302" s="7"/>
      <c r="D4302" s="7"/>
      <c r="E4302" s="27"/>
      <c r="F4302" s="27"/>
      <c r="G4302" s="7"/>
    </row>
    <row r="4303" spans="2:7" x14ac:dyDescent="0.25">
      <c r="B4303" s="25"/>
      <c r="C4303" s="7"/>
      <c r="D4303" s="7"/>
      <c r="E4303" s="27"/>
      <c r="F4303" s="27"/>
      <c r="G4303" s="7"/>
    </row>
    <row r="4304" spans="2:7" x14ac:dyDescent="0.25">
      <c r="B4304" s="25"/>
      <c r="C4304" s="7"/>
      <c r="D4304" s="7"/>
      <c r="E4304" s="27"/>
      <c r="F4304" s="27"/>
      <c r="G4304" s="7"/>
    </row>
    <row r="4305" spans="2:7" x14ac:dyDescent="0.25">
      <c r="B4305" s="25"/>
      <c r="C4305" s="7"/>
      <c r="D4305" s="7"/>
      <c r="E4305" s="27"/>
      <c r="F4305" s="27"/>
      <c r="G4305" s="7"/>
    </row>
    <row r="4306" spans="2:7" x14ac:dyDescent="0.25">
      <c r="B4306" s="25"/>
      <c r="C4306" s="7"/>
      <c r="D4306" s="7"/>
      <c r="E4306" s="27"/>
      <c r="F4306" s="27"/>
      <c r="G4306" s="7"/>
    </row>
    <row r="4307" spans="2:7" x14ac:dyDescent="0.25">
      <c r="B4307" s="25"/>
      <c r="C4307" s="7"/>
      <c r="D4307" s="7"/>
      <c r="E4307" s="27"/>
      <c r="F4307" s="27"/>
      <c r="G4307" s="7"/>
    </row>
    <row r="4308" spans="2:7" x14ac:dyDescent="0.25">
      <c r="B4308" s="25"/>
      <c r="C4308" s="7"/>
      <c r="D4308" s="7"/>
      <c r="E4308" s="27"/>
      <c r="F4308" s="27"/>
      <c r="G4308" s="7"/>
    </row>
    <row r="4309" spans="2:7" x14ac:dyDescent="0.25">
      <c r="B4309" s="25"/>
      <c r="C4309" s="7"/>
      <c r="D4309" s="7"/>
      <c r="E4309" s="27"/>
      <c r="F4309" s="27"/>
      <c r="G4309" s="7"/>
    </row>
    <row r="4310" spans="2:7" x14ac:dyDescent="0.25">
      <c r="B4310" s="25"/>
      <c r="C4310" s="7"/>
      <c r="D4310" s="7"/>
      <c r="E4310" s="27"/>
      <c r="F4310" s="27"/>
      <c r="G4310" s="7"/>
    </row>
    <row r="4311" spans="2:7" x14ac:dyDescent="0.25">
      <c r="B4311" s="25"/>
      <c r="C4311" s="7"/>
      <c r="D4311" s="7"/>
      <c r="E4311" s="27"/>
      <c r="F4311" s="27"/>
      <c r="G4311" s="7"/>
    </row>
    <row r="4312" spans="2:7" x14ac:dyDescent="0.25">
      <c r="B4312" s="25"/>
      <c r="C4312" s="7"/>
      <c r="D4312" s="7"/>
      <c r="E4312" s="27"/>
      <c r="F4312" s="27"/>
      <c r="G4312" s="7"/>
    </row>
    <row r="4313" spans="2:7" x14ac:dyDescent="0.25">
      <c r="B4313" s="25"/>
      <c r="C4313" s="7"/>
      <c r="D4313" s="7"/>
      <c r="E4313" s="27"/>
      <c r="F4313" s="27"/>
      <c r="G4313" s="7"/>
    </row>
    <row r="4314" spans="2:7" x14ac:dyDescent="0.25">
      <c r="B4314" s="25"/>
      <c r="C4314" s="7"/>
      <c r="D4314" s="7"/>
      <c r="E4314" s="27"/>
      <c r="F4314" s="27"/>
      <c r="G4314" s="7"/>
    </row>
    <row r="4315" spans="2:7" x14ac:dyDescent="0.25">
      <c r="B4315" s="25"/>
      <c r="C4315" s="7"/>
      <c r="D4315" s="7"/>
      <c r="E4315" s="27"/>
      <c r="F4315" s="27"/>
      <c r="G4315" s="7"/>
    </row>
    <row r="4316" spans="2:7" x14ac:dyDescent="0.25">
      <c r="B4316" s="25"/>
      <c r="C4316" s="7"/>
      <c r="D4316" s="7"/>
      <c r="E4316" s="27"/>
      <c r="F4316" s="27"/>
      <c r="G4316" s="7"/>
    </row>
    <row r="4317" spans="2:7" x14ac:dyDescent="0.25">
      <c r="B4317" s="25"/>
      <c r="C4317" s="7"/>
      <c r="D4317" s="7"/>
      <c r="E4317" s="27"/>
      <c r="F4317" s="27"/>
      <c r="G4317" s="7"/>
    </row>
    <row r="4318" spans="2:7" x14ac:dyDescent="0.25">
      <c r="B4318" s="25"/>
      <c r="C4318" s="7"/>
      <c r="D4318" s="7"/>
      <c r="E4318" s="27"/>
      <c r="F4318" s="27"/>
      <c r="G4318" s="7"/>
    </row>
    <row r="4319" spans="2:7" x14ac:dyDescent="0.25">
      <c r="B4319" s="25"/>
      <c r="C4319" s="7"/>
      <c r="D4319" s="7"/>
      <c r="E4319" s="27"/>
      <c r="F4319" s="27"/>
      <c r="G4319" s="7"/>
    </row>
    <row r="4320" spans="2:7" x14ac:dyDescent="0.25">
      <c r="B4320" s="25"/>
      <c r="C4320" s="7"/>
      <c r="D4320" s="7"/>
      <c r="E4320" s="27"/>
      <c r="F4320" s="27"/>
      <c r="G4320" s="7"/>
    </row>
    <row r="4321" spans="2:7" x14ac:dyDescent="0.25">
      <c r="B4321" s="25"/>
      <c r="C4321" s="7"/>
      <c r="D4321" s="7"/>
      <c r="E4321" s="27"/>
      <c r="F4321" s="27"/>
      <c r="G4321" s="7"/>
    </row>
    <row r="4322" spans="2:7" x14ac:dyDescent="0.25">
      <c r="B4322" s="25"/>
      <c r="C4322" s="7"/>
      <c r="D4322" s="7"/>
      <c r="E4322" s="27"/>
      <c r="F4322" s="27"/>
      <c r="G4322" s="7"/>
    </row>
    <row r="4323" spans="2:7" x14ac:dyDescent="0.25">
      <c r="B4323" s="25"/>
      <c r="C4323" s="7"/>
      <c r="D4323" s="7"/>
      <c r="E4323" s="27"/>
      <c r="F4323" s="27"/>
      <c r="G4323" s="7"/>
    </row>
    <row r="4324" spans="2:7" x14ac:dyDescent="0.25">
      <c r="B4324" s="25"/>
      <c r="C4324" s="7"/>
      <c r="D4324" s="7"/>
      <c r="E4324" s="27"/>
      <c r="F4324" s="27"/>
      <c r="G4324" s="7"/>
    </row>
    <row r="4325" spans="2:7" x14ac:dyDescent="0.25">
      <c r="B4325" s="25"/>
      <c r="C4325" s="7"/>
      <c r="D4325" s="7"/>
      <c r="E4325" s="27"/>
      <c r="F4325" s="27"/>
      <c r="G4325" s="7"/>
    </row>
    <row r="4326" spans="2:7" x14ac:dyDescent="0.25">
      <c r="B4326" s="25"/>
      <c r="C4326" s="7"/>
      <c r="D4326" s="7"/>
      <c r="E4326" s="27"/>
      <c r="F4326" s="27"/>
      <c r="G4326" s="7"/>
    </row>
    <row r="4327" spans="2:7" x14ac:dyDescent="0.25">
      <c r="B4327" s="25"/>
      <c r="C4327" s="7"/>
      <c r="D4327" s="7"/>
      <c r="E4327" s="27"/>
      <c r="F4327" s="27"/>
      <c r="G4327" s="7"/>
    </row>
    <row r="4328" spans="2:7" x14ac:dyDescent="0.25">
      <c r="B4328" s="25"/>
      <c r="C4328" s="7"/>
      <c r="D4328" s="7"/>
      <c r="E4328" s="27"/>
      <c r="F4328" s="27"/>
      <c r="G4328" s="7"/>
    </row>
    <row r="4329" spans="2:7" x14ac:dyDescent="0.25">
      <c r="B4329" s="25"/>
      <c r="C4329" s="7"/>
      <c r="D4329" s="7"/>
      <c r="E4329" s="27"/>
      <c r="F4329" s="27"/>
      <c r="G4329" s="7"/>
    </row>
    <row r="4330" spans="2:7" x14ac:dyDescent="0.25">
      <c r="B4330" s="25"/>
      <c r="C4330" s="7"/>
      <c r="D4330" s="7"/>
      <c r="E4330" s="27"/>
      <c r="F4330" s="27"/>
      <c r="G4330" s="7"/>
    </row>
    <row r="4331" spans="2:7" x14ac:dyDescent="0.25">
      <c r="B4331" s="25"/>
      <c r="C4331" s="7"/>
      <c r="D4331" s="7"/>
      <c r="E4331" s="27"/>
      <c r="F4331" s="27"/>
      <c r="G4331" s="7"/>
    </row>
    <row r="4332" spans="2:7" x14ac:dyDescent="0.25">
      <c r="B4332" s="25"/>
      <c r="C4332" s="7"/>
      <c r="D4332" s="7"/>
      <c r="E4332" s="27"/>
      <c r="F4332" s="27"/>
      <c r="G4332" s="7"/>
    </row>
    <row r="4333" spans="2:7" x14ac:dyDescent="0.25">
      <c r="B4333" s="25"/>
      <c r="C4333" s="7"/>
      <c r="D4333" s="7"/>
      <c r="E4333" s="27"/>
      <c r="F4333" s="27"/>
      <c r="G4333" s="7"/>
    </row>
    <row r="4334" spans="2:7" x14ac:dyDescent="0.25">
      <c r="B4334" s="25"/>
      <c r="C4334" s="7"/>
      <c r="D4334" s="7"/>
      <c r="E4334" s="27"/>
      <c r="F4334" s="27"/>
      <c r="G4334" s="7"/>
    </row>
    <row r="4335" spans="2:7" x14ac:dyDescent="0.25">
      <c r="B4335" s="25"/>
      <c r="C4335" s="7"/>
      <c r="D4335" s="7"/>
      <c r="E4335" s="27"/>
      <c r="F4335" s="27"/>
      <c r="G4335" s="7"/>
    </row>
    <row r="4336" spans="2:7" x14ac:dyDescent="0.25">
      <c r="B4336" s="25"/>
      <c r="C4336" s="7"/>
      <c r="D4336" s="7"/>
      <c r="E4336" s="27"/>
      <c r="F4336" s="27"/>
      <c r="G4336" s="7"/>
    </row>
    <row r="4337" spans="2:7" x14ac:dyDescent="0.25">
      <c r="B4337" s="25"/>
      <c r="C4337" s="7"/>
      <c r="D4337" s="7"/>
      <c r="E4337" s="27"/>
      <c r="F4337" s="27"/>
      <c r="G4337" s="7"/>
    </row>
    <row r="4338" spans="2:7" x14ac:dyDescent="0.25">
      <c r="B4338" s="25"/>
      <c r="C4338" s="7"/>
      <c r="D4338" s="7"/>
      <c r="E4338" s="27"/>
      <c r="F4338" s="27"/>
      <c r="G4338" s="7"/>
    </row>
    <row r="4339" spans="2:7" x14ac:dyDescent="0.25">
      <c r="B4339" s="25"/>
      <c r="C4339" s="7"/>
      <c r="D4339" s="7"/>
      <c r="E4339" s="27"/>
      <c r="F4339" s="27"/>
      <c r="G4339" s="7"/>
    </row>
    <row r="4340" spans="2:7" x14ac:dyDescent="0.25">
      <c r="B4340" s="25"/>
      <c r="C4340" s="7"/>
      <c r="D4340" s="7"/>
      <c r="E4340" s="27"/>
      <c r="F4340" s="27"/>
      <c r="G4340" s="7"/>
    </row>
    <row r="4341" spans="2:7" x14ac:dyDescent="0.25">
      <c r="B4341" s="25"/>
      <c r="C4341" s="7"/>
      <c r="D4341" s="7"/>
      <c r="E4341" s="27"/>
      <c r="F4341" s="27"/>
      <c r="G4341" s="7"/>
    </row>
    <row r="4342" spans="2:7" x14ac:dyDescent="0.25">
      <c r="B4342" s="25"/>
      <c r="C4342" s="7"/>
      <c r="D4342" s="7"/>
      <c r="E4342" s="27"/>
      <c r="F4342" s="27"/>
      <c r="G4342" s="7"/>
    </row>
    <row r="4343" spans="2:7" x14ac:dyDescent="0.25">
      <c r="B4343" s="25"/>
      <c r="C4343" s="7"/>
      <c r="D4343" s="7"/>
      <c r="E4343" s="27"/>
      <c r="F4343" s="27"/>
      <c r="G4343" s="7"/>
    </row>
    <row r="4344" spans="2:7" x14ac:dyDescent="0.25">
      <c r="B4344" s="25"/>
      <c r="C4344" s="7"/>
      <c r="D4344" s="7"/>
      <c r="E4344" s="27"/>
      <c r="F4344" s="27"/>
      <c r="G4344" s="7"/>
    </row>
    <row r="4345" spans="2:7" x14ac:dyDescent="0.25">
      <c r="B4345" s="25"/>
      <c r="C4345" s="7"/>
      <c r="D4345" s="7"/>
      <c r="E4345" s="27"/>
      <c r="F4345" s="27"/>
      <c r="G4345" s="7"/>
    </row>
    <row r="4346" spans="2:7" x14ac:dyDescent="0.25">
      <c r="B4346" s="25"/>
      <c r="C4346" s="7"/>
      <c r="D4346" s="7"/>
      <c r="E4346" s="27"/>
      <c r="F4346" s="27"/>
      <c r="G4346" s="7"/>
    </row>
    <row r="4347" spans="2:7" x14ac:dyDescent="0.25">
      <c r="B4347" s="25"/>
      <c r="C4347" s="7"/>
      <c r="D4347" s="7"/>
      <c r="E4347" s="27"/>
      <c r="F4347" s="27"/>
      <c r="G4347" s="7"/>
    </row>
    <row r="4348" spans="2:7" x14ac:dyDescent="0.25">
      <c r="B4348" s="25"/>
      <c r="C4348" s="7"/>
      <c r="D4348" s="7"/>
      <c r="E4348" s="27"/>
      <c r="F4348" s="27"/>
      <c r="G4348" s="7"/>
    </row>
    <row r="4349" spans="2:7" x14ac:dyDescent="0.25">
      <c r="B4349" s="25"/>
      <c r="C4349" s="7"/>
      <c r="D4349" s="7"/>
      <c r="E4349" s="27"/>
      <c r="F4349" s="27"/>
      <c r="G4349" s="7"/>
    </row>
    <row r="4350" spans="2:7" x14ac:dyDescent="0.25">
      <c r="B4350" s="25"/>
      <c r="C4350" s="7"/>
      <c r="D4350" s="7"/>
      <c r="E4350" s="27"/>
      <c r="F4350" s="27"/>
      <c r="G4350" s="7"/>
    </row>
    <row r="4351" spans="2:7" x14ac:dyDescent="0.25">
      <c r="B4351" s="25"/>
      <c r="C4351" s="7"/>
      <c r="D4351" s="7"/>
      <c r="E4351" s="27"/>
      <c r="F4351" s="27"/>
      <c r="G4351" s="7"/>
    </row>
    <row r="4352" spans="2:7" x14ac:dyDescent="0.25">
      <c r="B4352" s="25"/>
      <c r="C4352" s="7"/>
      <c r="D4352" s="7"/>
      <c r="E4352" s="27"/>
      <c r="F4352" s="27"/>
      <c r="G4352" s="7"/>
    </row>
    <row r="4353" spans="2:7" x14ac:dyDescent="0.25">
      <c r="B4353" s="25"/>
      <c r="C4353" s="7"/>
      <c r="D4353" s="7"/>
      <c r="E4353" s="27"/>
      <c r="F4353" s="27"/>
      <c r="G4353" s="7"/>
    </row>
    <row r="4354" spans="2:7" x14ac:dyDescent="0.25">
      <c r="B4354" s="25"/>
      <c r="C4354" s="7"/>
      <c r="D4354" s="7"/>
      <c r="E4354" s="27"/>
      <c r="F4354" s="27"/>
      <c r="G4354" s="7"/>
    </row>
    <row r="4355" spans="2:7" x14ac:dyDescent="0.25">
      <c r="B4355" s="25"/>
      <c r="C4355" s="7"/>
      <c r="D4355" s="7"/>
      <c r="E4355" s="27"/>
      <c r="F4355" s="27"/>
      <c r="G4355" s="7"/>
    </row>
    <row r="4356" spans="2:7" x14ac:dyDescent="0.25">
      <c r="B4356" s="25"/>
      <c r="C4356" s="7"/>
      <c r="D4356" s="7"/>
      <c r="E4356" s="27"/>
      <c r="F4356" s="27"/>
      <c r="G4356" s="7"/>
    </row>
    <row r="4357" spans="2:7" x14ac:dyDescent="0.25">
      <c r="B4357" s="25"/>
      <c r="C4357" s="7"/>
      <c r="D4357" s="7"/>
      <c r="E4357" s="27"/>
      <c r="F4357" s="27"/>
      <c r="G4357" s="7"/>
    </row>
    <row r="4358" spans="2:7" x14ac:dyDescent="0.25">
      <c r="B4358" s="25"/>
      <c r="C4358" s="7"/>
      <c r="D4358" s="7"/>
      <c r="E4358" s="27"/>
      <c r="F4358" s="27"/>
      <c r="G4358" s="7"/>
    </row>
    <row r="4359" spans="2:7" x14ac:dyDescent="0.25">
      <c r="B4359" s="25"/>
      <c r="C4359" s="7"/>
      <c r="D4359" s="7"/>
      <c r="E4359" s="27"/>
      <c r="F4359" s="27"/>
      <c r="G4359" s="7"/>
    </row>
    <row r="4360" spans="2:7" x14ac:dyDescent="0.25">
      <c r="B4360" s="25"/>
      <c r="C4360" s="7"/>
      <c r="D4360" s="7"/>
      <c r="E4360" s="27"/>
      <c r="F4360" s="27"/>
      <c r="G4360" s="7"/>
    </row>
    <row r="4361" spans="2:7" x14ac:dyDescent="0.25">
      <c r="B4361" s="25"/>
      <c r="C4361" s="7"/>
      <c r="D4361" s="7"/>
      <c r="E4361" s="27"/>
      <c r="F4361" s="27"/>
      <c r="G4361" s="7"/>
    </row>
    <row r="4362" spans="2:7" x14ac:dyDescent="0.25">
      <c r="B4362" s="25"/>
      <c r="C4362" s="7"/>
      <c r="D4362" s="7"/>
      <c r="E4362" s="27"/>
      <c r="F4362" s="27"/>
      <c r="G4362" s="7"/>
    </row>
    <row r="4363" spans="2:7" x14ac:dyDescent="0.25">
      <c r="B4363" s="25"/>
      <c r="C4363" s="7"/>
      <c r="D4363" s="7"/>
      <c r="E4363" s="27"/>
      <c r="F4363" s="27"/>
      <c r="G4363" s="7"/>
    </row>
    <row r="4364" spans="2:7" x14ac:dyDescent="0.25">
      <c r="B4364" s="25"/>
      <c r="C4364" s="7"/>
      <c r="D4364" s="7"/>
      <c r="E4364" s="27"/>
      <c r="F4364" s="27"/>
      <c r="G4364" s="7"/>
    </row>
    <row r="4365" spans="2:7" x14ac:dyDescent="0.25">
      <c r="B4365" s="25"/>
      <c r="C4365" s="7"/>
      <c r="D4365" s="7"/>
      <c r="E4365" s="27"/>
      <c r="F4365" s="27"/>
      <c r="G4365" s="7"/>
    </row>
    <row r="4366" spans="2:7" x14ac:dyDescent="0.25">
      <c r="B4366" s="25"/>
      <c r="C4366" s="7"/>
      <c r="D4366" s="7"/>
      <c r="E4366" s="27"/>
      <c r="F4366" s="27"/>
      <c r="G4366" s="7"/>
    </row>
    <row r="4367" spans="2:7" x14ac:dyDescent="0.25">
      <c r="B4367" s="25"/>
      <c r="C4367" s="7"/>
      <c r="D4367" s="7"/>
      <c r="E4367" s="27"/>
      <c r="F4367" s="27"/>
      <c r="G4367" s="7"/>
    </row>
    <row r="4368" spans="2:7" x14ac:dyDescent="0.25">
      <c r="B4368" s="25"/>
      <c r="C4368" s="7"/>
      <c r="D4368" s="7"/>
      <c r="E4368" s="27"/>
      <c r="F4368" s="27"/>
      <c r="G4368" s="7"/>
    </row>
    <row r="4369" spans="2:7" x14ac:dyDescent="0.25">
      <c r="B4369" s="25"/>
      <c r="C4369" s="7"/>
      <c r="D4369" s="7"/>
      <c r="E4369" s="27"/>
      <c r="F4369" s="27"/>
      <c r="G4369" s="7"/>
    </row>
    <row r="4370" spans="2:7" x14ac:dyDescent="0.25">
      <c r="B4370" s="25"/>
      <c r="C4370" s="7"/>
      <c r="D4370" s="7"/>
      <c r="E4370" s="27"/>
      <c r="F4370" s="27"/>
      <c r="G4370" s="7"/>
    </row>
    <row r="4371" spans="2:7" x14ac:dyDescent="0.25">
      <c r="B4371" s="25"/>
      <c r="C4371" s="7"/>
      <c r="D4371" s="7"/>
      <c r="E4371" s="27"/>
      <c r="F4371" s="27"/>
      <c r="G4371" s="7"/>
    </row>
    <row r="4372" spans="2:7" x14ac:dyDescent="0.25">
      <c r="B4372" s="25"/>
      <c r="C4372" s="7"/>
      <c r="D4372" s="7"/>
      <c r="E4372" s="27"/>
      <c r="F4372" s="27"/>
      <c r="G4372" s="7"/>
    </row>
    <row r="4373" spans="2:7" x14ac:dyDescent="0.25">
      <c r="B4373" s="25"/>
      <c r="C4373" s="7"/>
      <c r="D4373" s="7"/>
      <c r="E4373" s="27"/>
      <c r="F4373" s="27"/>
      <c r="G4373" s="7"/>
    </row>
    <row r="4374" spans="2:7" x14ac:dyDescent="0.25">
      <c r="B4374" s="25"/>
      <c r="C4374" s="7"/>
      <c r="D4374" s="7"/>
      <c r="E4374" s="27"/>
      <c r="F4374" s="27"/>
      <c r="G4374" s="7"/>
    </row>
    <row r="4375" spans="2:7" x14ac:dyDescent="0.25">
      <c r="B4375" s="25"/>
      <c r="C4375" s="7"/>
      <c r="D4375" s="7"/>
      <c r="E4375" s="27"/>
      <c r="F4375" s="27"/>
      <c r="G4375" s="7"/>
    </row>
    <row r="4376" spans="2:7" x14ac:dyDescent="0.25">
      <c r="B4376" s="25"/>
      <c r="C4376" s="7"/>
      <c r="D4376" s="7"/>
      <c r="E4376" s="27"/>
      <c r="F4376" s="27"/>
      <c r="G4376" s="7"/>
    </row>
    <row r="4377" spans="2:7" x14ac:dyDescent="0.25">
      <c r="B4377" s="25"/>
      <c r="C4377" s="7"/>
      <c r="D4377" s="7"/>
      <c r="E4377" s="27"/>
      <c r="F4377" s="27"/>
      <c r="G4377" s="7"/>
    </row>
    <row r="4378" spans="2:7" x14ac:dyDescent="0.25">
      <c r="B4378" s="25"/>
      <c r="C4378" s="7"/>
      <c r="D4378" s="7"/>
      <c r="E4378" s="27"/>
      <c r="F4378" s="27"/>
      <c r="G4378" s="7"/>
    </row>
    <row r="4379" spans="2:7" x14ac:dyDescent="0.25">
      <c r="B4379" s="25"/>
      <c r="C4379" s="7"/>
      <c r="D4379" s="7"/>
      <c r="E4379" s="27"/>
      <c r="F4379" s="27"/>
      <c r="G4379" s="7"/>
    </row>
    <row r="4380" spans="2:7" x14ac:dyDescent="0.25">
      <c r="B4380" s="25"/>
      <c r="C4380" s="7"/>
      <c r="D4380" s="7"/>
      <c r="E4380" s="27"/>
      <c r="F4380" s="27"/>
      <c r="G4380" s="7"/>
    </row>
    <row r="4381" spans="2:7" x14ac:dyDescent="0.25">
      <c r="B4381" s="25"/>
      <c r="C4381" s="7"/>
      <c r="D4381" s="7"/>
      <c r="E4381" s="27"/>
      <c r="F4381" s="27"/>
      <c r="G4381" s="7"/>
    </row>
    <row r="4382" spans="2:7" x14ac:dyDescent="0.25">
      <c r="B4382" s="25"/>
      <c r="C4382" s="7"/>
      <c r="D4382" s="7"/>
      <c r="E4382" s="27"/>
      <c r="F4382" s="27"/>
      <c r="G4382" s="7"/>
    </row>
    <row r="4383" spans="2:7" x14ac:dyDescent="0.25">
      <c r="B4383" s="25"/>
      <c r="C4383" s="7"/>
      <c r="D4383" s="7"/>
      <c r="E4383" s="27"/>
      <c r="F4383" s="27"/>
      <c r="G4383" s="7"/>
    </row>
    <row r="4384" spans="2:7" x14ac:dyDescent="0.25">
      <c r="B4384" s="25"/>
      <c r="C4384" s="7"/>
      <c r="D4384" s="7"/>
      <c r="E4384" s="27"/>
      <c r="F4384" s="27"/>
      <c r="G4384" s="7"/>
    </row>
    <row r="4385" spans="2:7" x14ac:dyDescent="0.25">
      <c r="B4385" s="25"/>
      <c r="C4385" s="7"/>
      <c r="D4385" s="7"/>
      <c r="E4385" s="27"/>
      <c r="F4385" s="27"/>
      <c r="G4385" s="7"/>
    </row>
    <row r="4386" spans="2:7" x14ac:dyDescent="0.25">
      <c r="B4386" s="25"/>
      <c r="C4386" s="7"/>
      <c r="D4386" s="7"/>
      <c r="E4386" s="27"/>
      <c r="F4386" s="27"/>
      <c r="G4386" s="7"/>
    </row>
    <row r="4387" spans="2:7" x14ac:dyDescent="0.25">
      <c r="B4387" s="25"/>
      <c r="C4387" s="7"/>
      <c r="D4387" s="7"/>
      <c r="E4387" s="27"/>
      <c r="F4387" s="27"/>
      <c r="G4387" s="7"/>
    </row>
    <row r="4388" spans="2:7" x14ac:dyDescent="0.25">
      <c r="B4388" s="25"/>
      <c r="C4388" s="7"/>
      <c r="D4388" s="7"/>
      <c r="E4388" s="27"/>
      <c r="F4388" s="27"/>
      <c r="G4388" s="7"/>
    </row>
    <row r="4389" spans="2:7" x14ac:dyDescent="0.25">
      <c r="B4389" s="25"/>
      <c r="C4389" s="7"/>
      <c r="D4389" s="7"/>
      <c r="E4389" s="27"/>
      <c r="F4389" s="27"/>
      <c r="G4389" s="7"/>
    </row>
    <row r="4390" spans="2:7" x14ac:dyDescent="0.25">
      <c r="B4390" s="25"/>
      <c r="C4390" s="7"/>
      <c r="D4390" s="7"/>
      <c r="E4390" s="27"/>
      <c r="F4390" s="27"/>
      <c r="G4390" s="7"/>
    </row>
    <row r="4391" spans="2:7" x14ac:dyDescent="0.25">
      <c r="B4391" s="25"/>
      <c r="C4391" s="7"/>
      <c r="D4391" s="7"/>
      <c r="E4391" s="27"/>
      <c r="F4391" s="27"/>
      <c r="G4391" s="7"/>
    </row>
    <row r="4392" spans="2:7" x14ac:dyDescent="0.25">
      <c r="B4392" s="25"/>
      <c r="C4392" s="7"/>
      <c r="D4392" s="7"/>
      <c r="E4392" s="27"/>
      <c r="F4392" s="27"/>
      <c r="G4392" s="7"/>
    </row>
    <row r="4393" spans="2:7" x14ac:dyDescent="0.25">
      <c r="B4393" s="25"/>
      <c r="C4393" s="7"/>
      <c r="D4393" s="7"/>
      <c r="E4393" s="27"/>
      <c r="F4393" s="27"/>
      <c r="G4393" s="7"/>
    </row>
    <row r="4394" spans="2:7" x14ac:dyDescent="0.25">
      <c r="B4394" s="25"/>
      <c r="C4394" s="7"/>
      <c r="D4394" s="7"/>
      <c r="E4394" s="27"/>
      <c r="F4394" s="27"/>
      <c r="G4394" s="7"/>
    </row>
    <row r="4395" spans="2:7" x14ac:dyDescent="0.25">
      <c r="B4395" s="25"/>
      <c r="C4395" s="7"/>
      <c r="D4395" s="7"/>
      <c r="E4395" s="27"/>
      <c r="F4395" s="27"/>
      <c r="G4395" s="7"/>
    </row>
    <row r="4396" spans="2:7" x14ac:dyDescent="0.25">
      <c r="B4396" s="25"/>
      <c r="C4396" s="7"/>
      <c r="D4396" s="7"/>
      <c r="E4396" s="27"/>
      <c r="F4396" s="27"/>
      <c r="G4396" s="7"/>
    </row>
    <row r="4397" spans="2:7" x14ac:dyDescent="0.25">
      <c r="B4397" s="25"/>
      <c r="C4397" s="7"/>
      <c r="D4397" s="7"/>
      <c r="E4397" s="27"/>
      <c r="F4397" s="27"/>
      <c r="G4397" s="7"/>
    </row>
    <row r="4398" spans="2:7" x14ac:dyDescent="0.25">
      <c r="B4398" s="25"/>
      <c r="C4398" s="7"/>
      <c r="D4398" s="7"/>
      <c r="E4398" s="27"/>
      <c r="F4398" s="27"/>
      <c r="G4398" s="7"/>
    </row>
    <row r="4399" spans="2:7" x14ac:dyDescent="0.25">
      <c r="B4399" s="25"/>
      <c r="C4399" s="7"/>
      <c r="D4399" s="7"/>
      <c r="E4399" s="27"/>
      <c r="F4399" s="27"/>
      <c r="G4399" s="7"/>
    </row>
    <row r="4400" spans="2:7" x14ac:dyDescent="0.25">
      <c r="B4400" s="25"/>
      <c r="C4400" s="7"/>
      <c r="D4400" s="7"/>
      <c r="E4400" s="27"/>
      <c r="F4400" s="27"/>
      <c r="G4400" s="7"/>
    </row>
    <row r="4401" spans="2:7" x14ac:dyDescent="0.25">
      <c r="B4401" s="25"/>
      <c r="C4401" s="7"/>
      <c r="D4401" s="7"/>
      <c r="E4401" s="27"/>
      <c r="F4401" s="27"/>
      <c r="G4401" s="7"/>
    </row>
    <row r="4402" spans="2:7" x14ac:dyDescent="0.25">
      <c r="B4402" s="25"/>
      <c r="C4402" s="7"/>
      <c r="D4402" s="7"/>
      <c r="E4402" s="27"/>
      <c r="F4402" s="27"/>
      <c r="G4402" s="7"/>
    </row>
    <row r="4403" spans="2:7" x14ac:dyDescent="0.25">
      <c r="B4403" s="25"/>
      <c r="C4403" s="7"/>
      <c r="D4403" s="7"/>
      <c r="E4403" s="27"/>
      <c r="F4403" s="27"/>
      <c r="G4403" s="7"/>
    </row>
    <row r="4404" spans="2:7" x14ac:dyDescent="0.25">
      <c r="B4404" s="25"/>
      <c r="C4404" s="7"/>
      <c r="D4404" s="7"/>
      <c r="E4404" s="27"/>
      <c r="F4404" s="27"/>
      <c r="G4404" s="7"/>
    </row>
    <row r="4405" spans="2:7" x14ac:dyDescent="0.25">
      <c r="B4405" s="25"/>
      <c r="C4405" s="7"/>
      <c r="D4405" s="7"/>
      <c r="E4405" s="27"/>
      <c r="F4405" s="27"/>
      <c r="G4405" s="7"/>
    </row>
    <row r="4406" spans="2:7" x14ac:dyDescent="0.25">
      <c r="B4406" s="25"/>
      <c r="C4406" s="7"/>
      <c r="D4406" s="7"/>
      <c r="E4406" s="27"/>
      <c r="F4406" s="27"/>
      <c r="G4406" s="7"/>
    </row>
    <row r="4407" spans="2:7" x14ac:dyDescent="0.25">
      <c r="B4407" s="25"/>
      <c r="C4407" s="7"/>
      <c r="D4407" s="7"/>
      <c r="E4407" s="27"/>
      <c r="F4407" s="27"/>
      <c r="G4407" s="7"/>
    </row>
    <row r="4408" spans="2:7" x14ac:dyDescent="0.25">
      <c r="B4408" s="25"/>
      <c r="C4408" s="7"/>
      <c r="D4408" s="7"/>
      <c r="E4408" s="27"/>
      <c r="F4408" s="27"/>
      <c r="G4408" s="7"/>
    </row>
    <row r="4409" spans="2:7" x14ac:dyDescent="0.25">
      <c r="B4409" s="25"/>
      <c r="C4409" s="7"/>
      <c r="D4409" s="7"/>
      <c r="E4409" s="27"/>
      <c r="F4409" s="27"/>
      <c r="G4409" s="7"/>
    </row>
    <row r="4410" spans="2:7" x14ac:dyDescent="0.25">
      <c r="B4410" s="25"/>
      <c r="C4410" s="7"/>
      <c r="D4410" s="7"/>
      <c r="E4410" s="27"/>
      <c r="F4410" s="27"/>
      <c r="G4410" s="7"/>
    </row>
    <row r="4411" spans="2:7" x14ac:dyDescent="0.25">
      <c r="B4411" s="25"/>
      <c r="C4411" s="7"/>
      <c r="D4411" s="7"/>
      <c r="E4411" s="27"/>
      <c r="F4411" s="27"/>
      <c r="G4411" s="7"/>
    </row>
    <row r="4412" spans="2:7" x14ac:dyDescent="0.25">
      <c r="B4412" s="25"/>
      <c r="C4412" s="7"/>
      <c r="D4412" s="7"/>
      <c r="E4412" s="27"/>
      <c r="F4412" s="27"/>
      <c r="G4412" s="7"/>
    </row>
    <row r="4413" spans="2:7" x14ac:dyDescent="0.25">
      <c r="B4413" s="25"/>
      <c r="C4413" s="7"/>
      <c r="D4413" s="7"/>
      <c r="E4413" s="27"/>
      <c r="F4413" s="27"/>
      <c r="G4413" s="7"/>
    </row>
    <row r="4414" spans="2:7" x14ac:dyDescent="0.25">
      <c r="B4414" s="25"/>
      <c r="C4414" s="7"/>
      <c r="D4414" s="7"/>
      <c r="E4414" s="27"/>
      <c r="F4414" s="27"/>
      <c r="G4414" s="7"/>
    </row>
    <row r="4415" spans="2:7" x14ac:dyDescent="0.25">
      <c r="B4415" s="25"/>
      <c r="C4415" s="7"/>
      <c r="D4415" s="7"/>
      <c r="E4415" s="27"/>
      <c r="F4415" s="27"/>
      <c r="G4415" s="7"/>
    </row>
    <row r="4416" spans="2:7" x14ac:dyDescent="0.25">
      <c r="B4416" s="25"/>
      <c r="C4416" s="7"/>
      <c r="D4416" s="7"/>
      <c r="E4416" s="27"/>
      <c r="F4416" s="27"/>
      <c r="G4416" s="7"/>
    </row>
    <row r="4417" spans="2:7" x14ac:dyDescent="0.25">
      <c r="B4417" s="25"/>
      <c r="C4417" s="7"/>
      <c r="D4417" s="7"/>
      <c r="E4417" s="27"/>
      <c r="F4417" s="27"/>
      <c r="G4417" s="7"/>
    </row>
    <row r="4418" spans="2:7" x14ac:dyDescent="0.25">
      <c r="B4418" s="25"/>
      <c r="C4418" s="7"/>
      <c r="D4418" s="7"/>
      <c r="E4418" s="27"/>
      <c r="F4418" s="27"/>
      <c r="G4418" s="7"/>
    </row>
    <row r="4419" spans="2:7" x14ac:dyDescent="0.25">
      <c r="B4419" s="25"/>
      <c r="C4419" s="7"/>
      <c r="D4419" s="7"/>
      <c r="E4419" s="27"/>
      <c r="F4419" s="27"/>
      <c r="G4419" s="7"/>
    </row>
    <row r="4420" spans="2:7" x14ac:dyDescent="0.25">
      <c r="B4420" s="25"/>
      <c r="C4420" s="7"/>
      <c r="D4420" s="7"/>
      <c r="E4420" s="27"/>
      <c r="F4420" s="27"/>
      <c r="G4420" s="7"/>
    </row>
    <row r="4421" spans="2:7" x14ac:dyDescent="0.25">
      <c r="B4421" s="25"/>
      <c r="C4421" s="7"/>
      <c r="D4421" s="7"/>
      <c r="E4421" s="27"/>
      <c r="F4421" s="27"/>
      <c r="G4421" s="7"/>
    </row>
    <row r="4422" spans="2:7" x14ac:dyDescent="0.25">
      <c r="B4422" s="25"/>
      <c r="C4422" s="7"/>
      <c r="D4422" s="7"/>
      <c r="E4422" s="27"/>
      <c r="F4422" s="27"/>
      <c r="G4422" s="7"/>
    </row>
    <row r="4423" spans="2:7" x14ac:dyDescent="0.25">
      <c r="B4423" s="25"/>
      <c r="C4423" s="7"/>
      <c r="D4423" s="7"/>
      <c r="E4423" s="27"/>
      <c r="F4423" s="27"/>
      <c r="G4423" s="7"/>
    </row>
    <row r="4424" spans="2:7" x14ac:dyDescent="0.25">
      <c r="B4424" s="25"/>
      <c r="C4424" s="7"/>
      <c r="D4424" s="7"/>
      <c r="E4424" s="27"/>
      <c r="F4424" s="27"/>
      <c r="G4424" s="7"/>
    </row>
    <row r="4425" spans="2:7" x14ac:dyDescent="0.25">
      <c r="B4425" s="25"/>
      <c r="C4425" s="7"/>
      <c r="D4425" s="7"/>
      <c r="E4425" s="27"/>
      <c r="F4425" s="27"/>
      <c r="G4425" s="7"/>
    </row>
    <row r="4426" spans="2:7" x14ac:dyDescent="0.25">
      <c r="B4426" s="25"/>
      <c r="C4426" s="7"/>
      <c r="D4426" s="7"/>
      <c r="E4426" s="27"/>
      <c r="F4426" s="27"/>
      <c r="G4426" s="7"/>
    </row>
    <row r="4427" spans="2:7" x14ac:dyDescent="0.25">
      <c r="B4427" s="25"/>
      <c r="C4427" s="7"/>
      <c r="D4427" s="7"/>
      <c r="E4427" s="27"/>
      <c r="F4427" s="27"/>
      <c r="G4427" s="7"/>
    </row>
    <row r="4428" spans="2:7" x14ac:dyDescent="0.25">
      <c r="B4428" s="25"/>
      <c r="C4428" s="7"/>
      <c r="D4428" s="7"/>
      <c r="E4428" s="27"/>
      <c r="F4428" s="27"/>
      <c r="G4428" s="7"/>
    </row>
    <row r="4429" spans="2:7" x14ac:dyDescent="0.25">
      <c r="B4429" s="25"/>
      <c r="C4429" s="7"/>
      <c r="D4429" s="7"/>
      <c r="E4429" s="27"/>
      <c r="F4429" s="27"/>
      <c r="G4429" s="7"/>
    </row>
    <row r="4430" spans="2:7" x14ac:dyDescent="0.25">
      <c r="B4430" s="25"/>
      <c r="C4430" s="7"/>
      <c r="D4430" s="7"/>
      <c r="E4430" s="27"/>
      <c r="F4430" s="27"/>
      <c r="G4430" s="7"/>
    </row>
    <row r="4431" spans="2:7" x14ac:dyDescent="0.25">
      <c r="B4431" s="25"/>
      <c r="C4431" s="7"/>
      <c r="D4431" s="7"/>
      <c r="E4431" s="27"/>
      <c r="F4431" s="27"/>
      <c r="G4431" s="7"/>
    </row>
    <row r="4432" spans="2:7" x14ac:dyDescent="0.25">
      <c r="B4432" s="25"/>
      <c r="C4432" s="7"/>
      <c r="D4432" s="7"/>
      <c r="E4432" s="27"/>
      <c r="F4432" s="27"/>
      <c r="G4432" s="7"/>
    </row>
    <row r="4433" spans="2:7" x14ac:dyDescent="0.25">
      <c r="B4433" s="25"/>
      <c r="C4433" s="7"/>
      <c r="D4433" s="7"/>
      <c r="E4433" s="27"/>
      <c r="F4433" s="27"/>
      <c r="G4433" s="7"/>
    </row>
    <row r="4434" spans="2:7" x14ac:dyDescent="0.25">
      <c r="B4434" s="25"/>
      <c r="C4434" s="7"/>
      <c r="D4434" s="7"/>
      <c r="E4434" s="27"/>
      <c r="F4434" s="27"/>
      <c r="G4434" s="7"/>
    </row>
    <row r="4435" spans="2:7" x14ac:dyDescent="0.25">
      <c r="B4435" s="25"/>
      <c r="C4435" s="7"/>
      <c r="D4435" s="7"/>
      <c r="E4435" s="27"/>
      <c r="F4435" s="27"/>
      <c r="G4435" s="7"/>
    </row>
    <row r="4436" spans="2:7" x14ac:dyDescent="0.25">
      <c r="B4436" s="25"/>
      <c r="C4436" s="7"/>
      <c r="D4436" s="7"/>
      <c r="E4436" s="27"/>
      <c r="F4436" s="27"/>
      <c r="G4436" s="7"/>
    </row>
    <row r="4437" spans="2:7" x14ac:dyDescent="0.25">
      <c r="B4437" s="25"/>
      <c r="C4437" s="7"/>
      <c r="D4437" s="7"/>
      <c r="E4437" s="27"/>
      <c r="F4437" s="27"/>
      <c r="G4437" s="7"/>
    </row>
    <row r="4438" spans="2:7" x14ac:dyDescent="0.25">
      <c r="B4438" s="25"/>
      <c r="C4438" s="7"/>
      <c r="D4438" s="7"/>
      <c r="E4438" s="27"/>
      <c r="F4438" s="27"/>
      <c r="G4438" s="7"/>
    </row>
    <row r="4439" spans="2:7" x14ac:dyDescent="0.25">
      <c r="B4439" s="25"/>
      <c r="C4439" s="7"/>
      <c r="D4439" s="7"/>
      <c r="E4439" s="27"/>
      <c r="F4439" s="27"/>
      <c r="G4439" s="7"/>
    </row>
    <row r="4440" spans="2:7" x14ac:dyDescent="0.25">
      <c r="B4440" s="25"/>
      <c r="C4440" s="7"/>
      <c r="D4440" s="7"/>
      <c r="E4440" s="27"/>
      <c r="F4440" s="27"/>
      <c r="G4440" s="7"/>
    </row>
    <row r="4441" spans="2:7" x14ac:dyDescent="0.25">
      <c r="B4441" s="25"/>
      <c r="C4441" s="7"/>
      <c r="D4441" s="7"/>
      <c r="E4441" s="27"/>
      <c r="F4441" s="27"/>
      <c r="G4441" s="7"/>
    </row>
    <row r="4442" spans="2:7" x14ac:dyDescent="0.25">
      <c r="B4442" s="25"/>
      <c r="C4442" s="7"/>
      <c r="D4442" s="7"/>
      <c r="E4442" s="27"/>
      <c r="F4442" s="27"/>
      <c r="G4442" s="7"/>
    </row>
    <row r="4443" spans="2:7" x14ac:dyDescent="0.25">
      <c r="B4443" s="25"/>
      <c r="C4443" s="7"/>
      <c r="D4443" s="7"/>
      <c r="E4443" s="27"/>
      <c r="F4443" s="27"/>
      <c r="G4443" s="7"/>
    </row>
    <row r="4444" spans="2:7" x14ac:dyDescent="0.25">
      <c r="B4444" s="25"/>
      <c r="C4444" s="7"/>
      <c r="D4444" s="7"/>
      <c r="E4444" s="27"/>
      <c r="F4444" s="27"/>
      <c r="G4444" s="7"/>
    </row>
    <row r="4445" spans="2:7" x14ac:dyDescent="0.25">
      <c r="B4445" s="25"/>
      <c r="C4445" s="7"/>
      <c r="D4445" s="7"/>
      <c r="E4445" s="27"/>
      <c r="F4445" s="27"/>
      <c r="G4445" s="7"/>
    </row>
    <row r="4446" spans="2:7" x14ac:dyDescent="0.25">
      <c r="B4446" s="25"/>
      <c r="C4446" s="7"/>
      <c r="D4446" s="7"/>
      <c r="E4446" s="27"/>
      <c r="F4446" s="27"/>
      <c r="G4446" s="7"/>
    </row>
    <row r="4447" spans="2:7" x14ac:dyDescent="0.25">
      <c r="B4447" s="25"/>
      <c r="C4447" s="7"/>
      <c r="D4447" s="7"/>
      <c r="E4447" s="27"/>
      <c r="F4447" s="27"/>
      <c r="G4447" s="7"/>
    </row>
    <row r="4448" spans="2:7" x14ac:dyDescent="0.25">
      <c r="B4448" s="25"/>
      <c r="C4448" s="7"/>
      <c r="D4448" s="7"/>
      <c r="E4448" s="27"/>
      <c r="F4448" s="27"/>
      <c r="G4448" s="7"/>
    </row>
    <row r="4449" spans="2:7" x14ac:dyDescent="0.25">
      <c r="B4449" s="25"/>
      <c r="C4449" s="7"/>
      <c r="D4449" s="7"/>
      <c r="E4449" s="27"/>
      <c r="F4449" s="27"/>
      <c r="G4449" s="7"/>
    </row>
    <row r="4450" spans="2:7" x14ac:dyDescent="0.25">
      <c r="B4450" s="25"/>
      <c r="C4450" s="7"/>
      <c r="D4450" s="7"/>
      <c r="E4450" s="27"/>
      <c r="F4450" s="27"/>
      <c r="G4450" s="7"/>
    </row>
    <row r="4451" spans="2:7" x14ac:dyDescent="0.25">
      <c r="B4451" s="25"/>
      <c r="C4451" s="7"/>
      <c r="D4451" s="7"/>
      <c r="E4451" s="27"/>
      <c r="F4451" s="27"/>
      <c r="G4451" s="7"/>
    </row>
    <row r="4452" spans="2:7" x14ac:dyDescent="0.25">
      <c r="B4452" s="25"/>
      <c r="C4452" s="7"/>
      <c r="D4452" s="7"/>
      <c r="E4452" s="27"/>
      <c r="F4452" s="27"/>
      <c r="G4452" s="7"/>
    </row>
    <row r="4453" spans="2:7" x14ac:dyDescent="0.25">
      <c r="B4453" s="25"/>
      <c r="C4453" s="7"/>
      <c r="D4453" s="7"/>
      <c r="E4453" s="27"/>
      <c r="F4453" s="27"/>
      <c r="G4453" s="7"/>
    </row>
    <row r="4454" spans="2:7" x14ac:dyDescent="0.25">
      <c r="B4454" s="25"/>
      <c r="C4454" s="7"/>
      <c r="D4454" s="7"/>
      <c r="E4454" s="27"/>
      <c r="F4454" s="27"/>
      <c r="G4454" s="7"/>
    </row>
    <row r="4455" spans="2:7" x14ac:dyDescent="0.25">
      <c r="B4455" s="25"/>
      <c r="C4455" s="7"/>
      <c r="D4455" s="7"/>
      <c r="E4455" s="27"/>
      <c r="F4455" s="27"/>
      <c r="G4455" s="7"/>
    </row>
    <row r="4456" spans="2:7" x14ac:dyDescent="0.25">
      <c r="B4456" s="25"/>
      <c r="C4456" s="7"/>
      <c r="D4456" s="7"/>
      <c r="E4456" s="27"/>
      <c r="F4456" s="27"/>
      <c r="G4456" s="7"/>
    </row>
    <row r="4457" spans="2:7" x14ac:dyDescent="0.25">
      <c r="B4457" s="25"/>
      <c r="C4457" s="7"/>
      <c r="D4457" s="7"/>
      <c r="E4457" s="27"/>
      <c r="F4457" s="27"/>
      <c r="G4457" s="7"/>
    </row>
    <row r="4458" spans="2:7" x14ac:dyDescent="0.25">
      <c r="B4458" s="25"/>
      <c r="C4458" s="7"/>
      <c r="D4458" s="7"/>
      <c r="E4458" s="27"/>
      <c r="F4458" s="27"/>
      <c r="G4458" s="7"/>
    </row>
    <row r="4459" spans="2:7" x14ac:dyDescent="0.25">
      <c r="B4459" s="25"/>
      <c r="C4459" s="7"/>
      <c r="D4459" s="7"/>
      <c r="E4459" s="27"/>
      <c r="F4459" s="27"/>
      <c r="G4459" s="7"/>
    </row>
    <row r="4460" spans="2:7" x14ac:dyDescent="0.25">
      <c r="B4460" s="25"/>
      <c r="C4460" s="7"/>
      <c r="D4460" s="7"/>
      <c r="E4460" s="27"/>
      <c r="F4460" s="27"/>
      <c r="G4460" s="7"/>
    </row>
    <row r="4461" spans="2:7" x14ac:dyDescent="0.25">
      <c r="B4461" s="25"/>
      <c r="C4461" s="7"/>
      <c r="D4461" s="7"/>
      <c r="E4461" s="27"/>
      <c r="F4461" s="27"/>
      <c r="G4461" s="7"/>
    </row>
    <row r="4462" spans="2:7" x14ac:dyDescent="0.25">
      <c r="B4462" s="25"/>
      <c r="C4462" s="7"/>
      <c r="D4462" s="7"/>
      <c r="E4462" s="27"/>
      <c r="F4462" s="27"/>
      <c r="G4462" s="7"/>
    </row>
    <row r="4463" spans="2:7" x14ac:dyDescent="0.25">
      <c r="B4463" s="25"/>
      <c r="C4463" s="7"/>
      <c r="D4463" s="7"/>
      <c r="E4463" s="27"/>
      <c r="F4463" s="27"/>
      <c r="G4463" s="7"/>
    </row>
    <row r="4464" spans="2:7" x14ac:dyDescent="0.25">
      <c r="B4464" s="25"/>
      <c r="C4464" s="7"/>
      <c r="D4464" s="7"/>
      <c r="E4464" s="27"/>
      <c r="F4464" s="27"/>
      <c r="G4464" s="7"/>
    </row>
    <row r="4465" spans="2:7" x14ac:dyDescent="0.25">
      <c r="B4465" s="25"/>
      <c r="C4465" s="7"/>
      <c r="D4465" s="7"/>
      <c r="E4465" s="27"/>
      <c r="F4465" s="27"/>
      <c r="G4465" s="7"/>
    </row>
    <row r="4466" spans="2:7" x14ac:dyDescent="0.25">
      <c r="B4466" s="25"/>
      <c r="C4466" s="7"/>
      <c r="D4466" s="7"/>
      <c r="E4466" s="27"/>
      <c r="F4466" s="27"/>
      <c r="G4466" s="7"/>
    </row>
    <row r="4467" spans="2:7" x14ac:dyDescent="0.25">
      <c r="B4467" s="25"/>
      <c r="C4467" s="7"/>
      <c r="D4467" s="7"/>
      <c r="E4467" s="27"/>
      <c r="F4467" s="27"/>
      <c r="G4467" s="7"/>
    </row>
    <row r="4468" spans="2:7" x14ac:dyDescent="0.25">
      <c r="B4468" s="25"/>
      <c r="C4468" s="7"/>
      <c r="D4468" s="7"/>
      <c r="E4468" s="27"/>
      <c r="F4468" s="27"/>
      <c r="G4468" s="7"/>
    </row>
    <row r="4469" spans="2:7" x14ac:dyDescent="0.25">
      <c r="B4469" s="25"/>
      <c r="C4469" s="7"/>
      <c r="D4469" s="7"/>
      <c r="E4469" s="27"/>
      <c r="F4469" s="27"/>
      <c r="G4469" s="7"/>
    </row>
    <row r="4470" spans="2:7" x14ac:dyDescent="0.25">
      <c r="B4470" s="25"/>
      <c r="C4470" s="7"/>
      <c r="D4470" s="7"/>
      <c r="E4470" s="27"/>
      <c r="F4470" s="27"/>
      <c r="G4470" s="7"/>
    </row>
    <row r="4471" spans="2:7" x14ac:dyDescent="0.25">
      <c r="B4471" s="25"/>
      <c r="C4471" s="7"/>
      <c r="D4471" s="7"/>
      <c r="E4471" s="27"/>
      <c r="F4471" s="27"/>
      <c r="G4471" s="7"/>
    </row>
    <row r="4472" spans="2:7" x14ac:dyDescent="0.25">
      <c r="B4472" s="25"/>
      <c r="C4472" s="7"/>
      <c r="D4472" s="7"/>
      <c r="E4472" s="27"/>
      <c r="F4472" s="27"/>
      <c r="G4472" s="7"/>
    </row>
    <row r="4473" spans="2:7" x14ac:dyDescent="0.25">
      <c r="B4473" s="25"/>
      <c r="C4473" s="7"/>
      <c r="D4473" s="7"/>
      <c r="E4473" s="27"/>
      <c r="F4473" s="27"/>
      <c r="G4473" s="7"/>
    </row>
    <row r="4474" spans="2:7" x14ac:dyDescent="0.25">
      <c r="B4474" s="25"/>
      <c r="C4474" s="7"/>
      <c r="D4474" s="7"/>
      <c r="E4474" s="27"/>
      <c r="F4474" s="27"/>
      <c r="G4474" s="7"/>
    </row>
    <row r="4475" spans="2:7" x14ac:dyDescent="0.25">
      <c r="B4475" s="25"/>
      <c r="C4475" s="7"/>
      <c r="D4475" s="7"/>
      <c r="E4475" s="27"/>
      <c r="F4475" s="27"/>
      <c r="G4475" s="7"/>
    </row>
    <row r="4476" spans="2:7" x14ac:dyDescent="0.25">
      <c r="B4476" s="25"/>
      <c r="C4476" s="7"/>
      <c r="D4476" s="7"/>
      <c r="E4476" s="27"/>
      <c r="F4476" s="27"/>
      <c r="G4476" s="7"/>
    </row>
    <row r="4477" spans="2:7" x14ac:dyDescent="0.25">
      <c r="B4477" s="25"/>
      <c r="C4477" s="7"/>
      <c r="D4477" s="7"/>
      <c r="E4477" s="27"/>
      <c r="F4477" s="27"/>
      <c r="G4477" s="7"/>
    </row>
    <row r="4478" spans="2:7" x14ac:dyDescent="0.25">
      <c r="B4478" s="25"/>
      <c r="C4478" s="7"/>
      <c r="D4478" s="7"/>
      <c r="E4478" s="27"/>
      <c r="F4478" s="27"/>
      <c r="G4478" s="7"/>
    </row>
    <row r="4479" spans="2:7" x14ac:dyDescent="0.25">
      <c r="B4479" s="25"/>
      <c r="C4479" s="7"/>
      <c r="D4479" s="7"/>
      <c r="E4479" s="27"/>
      <c r="F4479" s="27"/>
      <c r="G4479" s="7"/>
    </row>
    <row r="4480" spans="2:7" x14ac:dyDescent="0.25">
      <c r="B4480" s="25"/>
      <c r="C4480" s="7"/>
      <c r="D4480" s="7"/>
      <c r="E4480" s="27"/>
      <c r="F4480" s="27"/>
      <c r="G4480" s="7"/>
    </row>
    <row r="4481" spans="2:7" x14ac:dyDescent="0.25">
      <c r="B4481" s="25"/>
      <c r="C4481" s="7"/>
      <c r="D4481" s="7"/>
      <c r="E4481" s="27"/>
      <c r="F4481" s="27"/>
      <c r="G4481" s="7"/>
    </row>
    <row r="4482" spans="2:7" x14ac:dyDescent="0.25">
      <c r="B4482" s="25"/>
      <c r="C4482" s="7"/>
      <c r="D4482" s="7"/>
      <c r="E4482" s="27"/>
      <c r="F4482" s="27"/>
      <c r="G4482" s="7"/>
    </row>
    <row r="4483" spans="2:7" x14ac:dyDescent="0.25">
      <c r="B4483" s="25"/>
      <c r="C4483" s="7"/>
      <c r="D4483" s="7"/>
      <c r="E4483" s="27"/>
      <c r="F4483" s="27"/>
      <c r="G4483" s="7"/>
    </row>
    <row r="4484" spans="2:7" x14ac:dyDescent="0.25">
      <c r="B4484" s="25"/>
      <c r="C4484" s="7"/>
      <c r="D4484" s="7"/>
      <c r="E4484" s="27"/>
      <c r="F4484" s="27"/>
      <c r="G4484" s="7"/>
    </row>
    <row r="4485" spans="2:7" x14ac:dyDescent="0.25">
      <c r="B4485" s="25"/>
      <c r="C4485" s="7"/>
      <c r="D4485" s="7"/>
      <c r="E4485" s="27"/>
      <c r="F4485" s="27"/>
      <c r="G4485" s="7"/>
    </row>
    <row r="4486" spans="2:7" x14ac:dyDescent="0.25">
      <c r="B4486" s="25"/>
      <c r="C4486" s="7"/>
      <c r="D4486" s="7"/>
      <c r="E4486" s="27"/>
      <c r="F4486" s="27"/>
      <c r="G4486" s="7"/>
    </row>
    <row r="4487" spans="2:7" x14ac:dyDescent="0.25">
      <c r="B4487" s="25"/>
      <c r="C4487" s="7"/>
      <c r="D4487" s="7"/>
      <c r="E4487" s="27"/>
      <c r="F4487" s="27"/>
      <c r="G4487" s="7"/>
    </row>
    <row r="4488" spans="2:7" x14ac:dyDescent="0.25">
      <c r="B4488" s="25"/>
      <c r="C4488" s="7"/>
      <c r="D4488" s="7"/>
      <c r="E4488" s="27"/>
      <c r="F4488" s="27"/>
      <c r="G4488" s="7"/>
    </row>
    <row r="4489" spans="2:7" x14ac:dyDescent="0.25">
      <c r="B4489" s="25"/>
      <c r="C4489" s="7"/>
      <c r="D4489" s="7"/>
      <c r="E4489" s="27"/>
      <c r="F4489" s="27"/>
      <c r="G4489" s="7"/>
    </row>
    <row r="4490" spans="2:7" x14ac:dyDescent="0.25">
      <c r="B4490" s="25"/>
      <c r="C4490" s="7"/>
      <c r="D4490" s="7"/>
      <c r="E4490" s="27"/>
      <c r="F4490" s="27"/>
      <c r="G4490" s="7"/>
    </row>
    <row r="4491" spans="2:7" x14ac:dyDescent="0.25">
      <c r="B4491" s="25"/>
      <c r="C4491" s="7"/>
      <c r="D4491" s="7"/>
      <c r="E4491" s="27"/>
      <c r="F4491" s="27"/>
      <c r="G4491" s="7"/>
    </row>
    <row r="4492" spans="2:7" x14ac:dyDescent="0.25">
      <c r="B4492" s="25"/>
      <c r="C4492" s="7"/>
      <c r="D4492" s="7"/>
      <c r="E4492" s="27"/>
      <c r="F4492" s="27"/>
      <c r="G4492" s="7"/>
    </row>
    <row r="4493" spans="2:7" x14ac:dyDescent="0.25">
      <c r="B4493" s="25"/>
      <c r="C4493" s="7"/>
      <c r="D4493" s="7"/>
      <c r="E4493" s="27"/>
      <c r="F4493" s="27"/>
      <c r="G4493" s="7"/>
    </row>
    <row r="4494" spans="2:7" x14ac:dyDescent="0.25">
      <c r="B4494" s="25"/>
      <c r="C4494" s="7"/>
      <c r="D4494" s="7"/>
      <c r="E4494" s="27"/>
      <c r="F4494" s="27"/>
      <c r="G4494" s="7"/>
    </row>
    <row r="4495" spans="2:7" x14ac:dyDescent="0.25">
      <c r="B4495" s="25"/>
      <c r="C4495" s="7"/>
      <c r="D4495" s="7"/>
      <c r="E4495" s="27"/>
      <c r="F4495" s="27"/>
      <c r="G4495" s="7"/>
    </row>
    <row r="4496" spans="2:7" x14ac:dyDescent="0.25">
      <c r="B4496" s="25"/>
      <c r="C4496" s="7"/>
      <c r="D4496" s="7"/>
      <c r="E4496" s="27"/>
      <c r="F4496" s="27"/>
      <c r="G4496" s="7"/>
    </row>
    <row r="4497" spans="2:7" x14ac:dyDescent="0.25">
      <c r="B4497" s="25"/>
      <c r="C4497" s="7"/>
      <c r="D4497" s="7"/>
      <c r="E4497" s="27"/>
      <c r="F4497" s="27"/>
      <c r="G4497" s="7"/>
    </row>
    <row r="4498" spans="2:7" x14ac:dyDescent="0.25">
      <c r="B4498" s="25"/>
      <c r="C4498" s="7"/>
      <c r="D4498" s="7"/>
      <c r="E4498" s="27"/>
      <c r="F4498" s="27"/>
      <c r="G4498" s="7"/>
    </row>
    <row r="4499" spans="2:7" x14ac:dyDescent="0.25">
      <c r="B4499" s="25"/>
      <c r="C4499" s="7"/>
      <c r="D4499" s="7"/>
      <c r="E4499" s="27"/>
      <c r="F4499" s="27"/>
      <c r="G4499" s="7"/>
    </row>
    <row r="4500" spans="2:7" x14ac:dyDescent="0.25">
      <c r="B4500" s="25"/>
      <c r="C4500" s="7"/>
      <c r="D4500" s="7"/>
      <c r="E4500" s="27"/>
      <c r="F4500" s="27"/>
      <c r="G4500" s="7"/>
    </row>
    <row r="4501" spans="2:7" x14ac:dyDescent="0.25">
      <c r="B4501" s="25"/>
      <c r="C4501" s="7"/>
      <c r="D4501" s="7"/>
      <c r="E4501" s="27"/>
      <c r="F4501" s="27"/>
      <c r="G4501" s="7"/>
    </row>
    <row r="4502" spans="2:7" x14ac:dyDescent="0.25">
      <c r="B4502" s="25"/>
      <c r="C4502" s="7"/>
      <c r="D4502" s="7"/>
      <c r="E4502" s="27"/>
      <c r="F4502" s="27"/>
      <c r="G4502" s="7"/>
    </row>
    <row r="4503" spans="2:7" x14ac:dyDescent="0.25">
      <c r="B4503" s="25"/>
      <c r="C4503" s="7"/>
      <c r="D4503" s="7"/>
      <c r="E4503" s="27"/>
      <c r="F4503" s="27"/>
      <c r="G4503" s="7"/>
    </row>
    <row r="4504" spans="2:7" x14ac:dyDescent="0.25">
      <c r="B4504" s="25"/>
      <c r="C4504" s="7"/>
      <c r="D4504" s="7"/>
      <c r="E4504" s="27"/>
      <c r="F4504" s="27"/>
      <c r="G4504" s="7"/>
    </row>
    <row r="4505" spans="2:7" x14ac:dyDescent="0.25">
      <c r="B4505" s="25"/>
      <c r="C4505" s="7"/>
      <c r="D4505" s="7"/>
      <c r="E4505" s="27"/>
      <c r="F4505" s="27"/>
      <c r="G4505" s="7"/>
    </row>
    <row r="4506" spans="2:7" x14ac:dyDescent="0.25">
      <c r="B4506" s="25"/>
      <c r="C4506" s="7"/>
      <c r="D4506" s="7"/>
      <c r="E4506" s="27"/>
      <c r="F4506" s="27"/>
      <c r="G4506" s="7"/>
    </row>
    <row r="4507" spans="2:7" x14ac:dyDescent="0.25">
      <c r="B4507" s="25"/>
      <c r="C4507" s="7"/>
      <c r="D4507" s="7"/>
      <c r="E4507" s="27"/>
      <c r="F4507" s="27"/>
      <c r="G4507" s="7"/>
    </row>
    <row r="4508" spans="2:7" x14ac:dyDescent="0.25">
      <c r="B4508" s="25"/>
      <c r="C4508" s="7"/>
      <c r="D4508" s="7"/>
      <c r="E4508" s="27"/>
      <c r="F4508" s="27"/>
      <c r="G4508" s="7"/>
    </row>
    <row r="4509" spans="2:7" x14ac:dyDescent="0.25">
      <c r="B4509" s="25"/>
      <c r="C4509" s="7"/>
      <c r="D4509" s="7"/>
      <c r="E4509" s="27"/>
      <c r="F4509" s="27"/>
      <c r="G4509" s="7"/>
    </row>
    <row r="4510" spans="2:7" x14ac:dyDescent="0.25">
      <c r="B4510" s="25"/>
      <c r="C4510" s="7"/>
      <c r="D4510" s="7"/>
      <c r="E4510" s="27"/>
      <c r="F4510" s="27"/>
      <c r="G4510" s="7"/>
    </row>
    <row r="4511" spans="2:7" x14ac:dyDescent="0.25">
      <c r="B4511" s="25"/>
      <c r="C4511" s="7"/>
      <c r="D4511" s="7"/>
      <c r="E4511" s="27"/>
      <c r="F4511" s="27"/>
      <c r="G4511" s="7"/>
    </row>
    <row r="4512" spans="2:7" x14ac:dyDescent="0.25">
      <c r="B4512" s="25"/>
      <c r="C4512" s="7"/>
      <c r="D4512" s="7"/>
      <c r="E4512" s="27"/>
      <c r="F4512" s="27"/>
      <c r="G4512" s="7"/>
    </row>
    <row r="4513" spans="2:7" x14ac:dyDescent="0.25">
      <c r="B4513" s="25"/>
      <c r="C4513" s="7"/>
      <c r="D4513" s="7"/>
      <c r="E4513" s="27"/>
      <c r="F4513" s="27"/>
      <c r="G4513" s="7"/>
    </row>
    <row r="4514" spans="2:7" x14ac:dyDescent="0.25">
      <c r="B4514" s="25"/>
      <c r="C4514" s="7"/>
      <c r="D4514" s="7"/>
      <c r="E4514" s="27"/>
      <c r="F4514" s="27"/>
      <c r="G4514" s="7"/>
    </row>
    <row r="4515" spans="2:7" x14ac:dyDescent="0.25">
      <c r="B4515" s="25"/>
      <c r="C4515" s="7"/>
      <c r="D4515" s="7"/>
      <c r="E4515" s="27"/>
      <c r="F4515" s="27"/>
      <c r="G4515" s="7"/>
    </row>
    <row r="4516" spans="2:7" x14ac:dyDescent="0.25">
      <c r="B4516" s="25"/>
      <c r="C4516" s="7"/>
      <c r="D4516" s="7"/>
      <c r="E4516" s="27"/>
      <c r="F4516" s="27"/>
      <c r="G4516" s="7"/>
    </row>
    <row r="4517" spans="2:7" x14ac:dyDescent="0.25">
      <c r="B4517" s="25"/>
      <c r="C4517" s="7"/>
      <c r="D4517" s="7"/>
      <c r="E4517" s="27"/>
      <c r="F4517" s="27"/>
      <c r="G4517" s="7"/>
    </row>
    <row r="4518" spans="2:7" x14ac:dyDescent="0.25">
      <c r="B4518" s="25"/>
      <c r="C4518" s="7"/>
      <c r="D4518" s="7"/>
      <c r="E4518" s="27"/>
      <c r="F4518" s="27"/>
      <c r="G4518" s="7"/>
    </row>
    <row r="4519" spans="2:7" x14ac:dyDescent="0.25">
      <c r="B4519" s="25"/>
      <c r="C4519" s="7"/>
      <c r="D4519" s="7"/>
      <c r="E4519" s="27"/>
      <c r="F4519" s="27"/>
      <c r="G4519" s="7"/>
    </row>
    <row r="4520" spans="2:7" x14ac:dyDescent="0.25">
      <c r="B4520" s="25"/>
      <c r="C4520" s="7"/>
      <c r="D4520" s="7"/>
      <c r="E4520" s="27"/>
      <c r="F4520" s="27"/>
      <c r="G4520" s="7"/>
    </row>
    <row r="4521" spans="2:7" x14ac:dyDescent="0.25">
      <c r="B4521" s="25"/>
      <c r="C4521" s="7"/>
      <c r="D4521" s="7"/>
      <c r="E4521" s="27"/>
      <c r="F4521" s="27"/>
      <c r="G4521" s="7"/>
    </row>
    <row r="4522" spans="2:7" x14ac:dyDescent="0.25">
      <c r="B4522" s="25"/>
      <c r="C4522" s="7"/>
      <c r="D4522" s="7"/>
      <c r="E4522" s="27"/>
      <c r="F4522" s="27"/>
      <c r="G4522" s="7"/>
    </row>
    <row r="4523" spans="2:7" x14ac:dyDescent="0.25">
      <c r="B4523" s="25"/>
      <c r="C4523" s="7"/>
      <c r="D4523" s="7"/>
      <c r="E4523" s="27"/>
      <c r="F4523" s="27"/>
      <c r="G4523" s="7"/>
    </row>
    <row r="4524" spans="2:7" x14ac:dyDescent="0.25">
      <c r="B4524" s="25"/>
      <c r="C4524" s="7"/>
      <c r="D4524" s="7"/>
      <c r="E4524" s="27"/>
      <c r="F4524" s="27"/>
      <c r="G4524" s="7"/>
    </row>
    <row r="4525" spans="2:7" x14ac:dyDescent="0.25">
      <c r="B4525" s="25"/>
      <c r="C4525" s="7"/>
      <c r="D4525" s="7"/>
      <c r="E4525" s="27"/>
      <c r="F4525" s="27"/>
      <c r="G4525" s="7"/>
    </row>
    <row r="4526" spans="2:7" x14ac:dyDescent="0.25">
      <c r="B4526" s="25"/>
      <c r="C4526" s="7"/>
      <c r="D4526" s="7"/>
      <c r="E4526" s="27"/>
      <c r="F4526" s="27"/>
      <c r="G4526" s="7"/>
    </row>
    <row r="4527" spans="2:7" x14ac:dyDescent="0.25">
      <c r="B4527" s="25"/>
      <c r="C4527" s="7"/>
      <c r="D4527" s="7"/>
      <c r="E4527" s="27"/>
      <c r="F4527" s="27"/>
      <c r="G4527" s="7"/>
    </row>
    <row r="4528" spans="2:7" x14ac:dyDescent="0.25">
      <c r="B4528" s="25"/>
      <c r="C4528" s="7"/>
      <c r="D4528" s="7"/>
      <c r="E4528" s="27"/>
      <c r="F4528" s="27"/>
      <c r="G4528" s="7"/>
    </row>
    <row r="4529" spans="2:7" x14ac:dyDescent="0.25">
      <c r="B4529" s="25"/>
      <c r="C4529" s="7"/>
      <c r="D4529" s="7"/>
      <c r="E4529" s="27"/>
      <c r="F4529" s="27"/>
      <c r="G4529" s="7"/>
    </row>
    <row r="4530" spans="2:7" x14ac:dyDescent="0.25">
      <c r="B4530" s="25"/>
      <c r="C4530" s="7"/>
      <c r="D4530" s="7"/>
      <c r="E4530" s="27"/>
      <c r="F4530" s="27"/>
      <c r="G4530" s="7"/>
    </row>
    <row r="4531" spans="2:7" x14ac:dyDescent="0.25">
      <c r="B4531" s="25"/>
      <c r="C4531" s="7"/>
      <c r="D4531" s="7"/>
      <c r="E4531" s="27"/>
      <c r="F4531" s="27"/>
      <c r="G4531" s="7"/>
    </row>
    <row r="4532" spans="2:7" x14ac:dyDescent="0.25">
      <c r="B4532" s="25"/>
      <c r="C4532" s="7"/>
      <c r="D4532" s="7"/>
      <c r="E4532" s="27"/>
      <c r="F4532" s="27"/>
      <c r="G4532" s="7"/>
    </row>
    <row r="4533" spans="2:7" x14ac:dyDescent="0.25">
      <c r="B4533" s="25"/>
      <c r="C4533" s="7"/>
      <c r="D4533" s="7"/>
      <c r="E4533" s="27"/>
      <c r="F4533" s="27"/>
      <c r="G4533" s="7"/>
    </row>
    <row r="4534" spans="2:7" x14ac:dyDescent="0.25">
      <c r="B4534" s="25"/>
      <c r="C4534" s="7"/>
      <c r="D4534" s="7"/>
      <c r="E4534" s="27"/>
      <c r="F4534" s="27"/>
      <c r="G4534" s="7"/>
    </row>
    <row r="4535" spans="2:7" x14ac:dyDescent="0.25">
      <c r="B4535" s="25"/>
      <c r="C4535" s="7"/>
      <c r="D4535" s="7"/>
      <c r="E4535" s="27"/>
      <c r="F4535" s="27"/>
      <c r="G4535" s="7"/>
    </row>
    <row r="4536" spans="2:7" x14ac:dyDescent="0.25">
      <c r="B4536" s="25"/>
      <c r="C4536" s="7"/>
      <c r="D4536" s="7"/>
      <c r="E4536" s="27"/>
      <c r="F4536" s="27"/>
      <c r="G4536" s="7"/>
    </row>
    <row r="4537" spans="2:7" x14ac:dyDescent="0.25">
      <c r="B4537" s="25"/>
      <c r="C4537" s="7"/>
      <c r="D4537" s="7"/>
      <c r="E4537" s="27"/>
      <c r="F4537" s="27"/>
      <c r="G4537" s="7"/>
    </row>
    <row r="4538" spans="2:7" x14ac:dyDescent="0.25">
      <c r="B4538" s="25"/>
      <c r="C4538" s="7"/>
      <c r="D4538" s="7"/>
      <c r="E4538" s="27"/>
      <c r="F4538" s="27"/>
      <c r="G4538" s="7"/>
    </row>
    <row r="4539" spans="2:7" x14ac:dyDescent="0.25">
      <c r="B4539" s="25"/>
      <c r="C4539" s="7"/>
      <c r="D4539" s="7"/>
      <c r="E4539" s="27"/>
      <c r="F4539" s="27"/>
      <c r="G4539" s="7"/>
    </row>
    <row r="4540" spans="2:7" x14ac:dyDescent="0.25">
      <c r="B4540" s="25"/>
      <c r="C4540" s="7"/>
      <c r="D4540" s="7"/>
      <c r="E4540" s="27"/>
      <c r="F4540" s="27"/>
      <c r="G4540" s="7"/>
    </row>
    <row r="4541" spans="2:7" x14ac:dyDescent="0.25">
      <c r="B4541" s="25"/>
      <c r="C4541" s="7"/>
      <c r="D4541" s="7"/>
      <c r="E4541" s="27"/>
      <c r="F4541" s="27"/>
      <c r="G4541" s="7"/>
    </row>
    <row r="4542" spans="2:7" x14ac:dyDescent="0.25">
      <c r="B4542" s="25"/>
      <c r="C4542" s="7"/>
      <c r="D4542" s="7"/>
      <c r="E4542" s="27"/>
      <c r="F4542" s="27"/>
      <c r="G4542" s="7"/>
    </row>
    <row r="4543" spans="2:7" x14ac:dyDescent="0.25">
      <c r="B4543" s="25"/>
      <c r="C4543" s="7"/>
      <c r="D4543" s="7"/>
      <c r="E4543" s="27"/>
      <c r="F4543" s="27"/>
      <c r="G4543" s="7"/>
    </row>
    <row r="4544" spans="2:7" x14ac:dyDescent="0.25">
      <c r="B4544" s="25"/>
      <c r="C4544" s="7"/>
      <c r="D4544" s="7"/>
      <c r="E4544" s="27"/>
      <c r="F4544" s="27"/>
      <c r="G4544" s="7"/>
    </row>
    <row r="4545" spans="2:7" x14ac:dyDescent="0.25">
      <c r="B4545" s="25"/>
      <c r="C4545" s="7"/>
      <c r="D4545" s="7"/>
      <c r="E4545" s="27"/>
      <c r="F4545" s="27"/>
      <c r="G4545" s="7"/>
    </row>
    <row r="4546" spans="2:7" x14ac:dyDescent="0.25">
      <c r="B4546" s="25"/>
      <c r="C4546" s="7"/>
      <c r="D4546" s="7"/>
      <c r="E4546" s="27"/>
      <c r="F4546" s="27"/>
      <c r="G4546" s="7"/>
    </row>
    <row r="4547" spans="2:7" x14ac:dyDescent="0.25">
      <c r="B4547" s="25"/>
      <c r="C4547" s="7"/>
      <c r="D4547" s="7"/>
      <c r="E4547" s="27"/>
      <c r="F4547" s="27"/>
      <c r="G4547" s="7"/>
    </row>
    <row r="4548" spans="2:7" x14ac:dyDescent="0.25">
      <c r="B4548" s="25"/>
      <c r="C4548" s="7"/>
      <c r="D4548" s="7"/>
      <c r="E4548" s="27"/>
      <c r="F4548" s="27"/>
      <c r="G4548" s="7"/>
    </row>
    <row r="4549" spans="2:7" x14ac:dyDescent="0.25">
      <c r="B4549" s="25"/>
      <c r="C4549" s="7"/>
      <c r="D4549" s="7"/>
      <c r="E4549" s="27"/>
      <c r="F4549" s="27"/>
      <c r="G4549" s="7"/>
    </row>
    <row r="4550" spans="2:7" x14ac:dyDescent="0.25">
      <c r="B4550" s="25"/>
      <c r="C4550" s="7"/>
      <c r="D4550" s="7"/>
      <c r="E4550" s="27"/>
      <c r="F4550" s="27"/>
      <c r="G4550" s="7"/>
    </row>
    <row r="4551" spans="2:7" x14ac:dyDescent="0.25">
      <c r="B4551" s="25"/>
      <c r="C4551" s="7"/>
      <c r="D4551" s="7"/>
      <c r="E4551" s="27"/>
      <c r="F4551" s="27"/>
      <c r="G4551" s="7"/>
    </row>
    <row r="4552" spans="2:7" x14ac:dyDescent="0.25">
      <c r="B4552" s="25"/>
      <c r="C4552" s="7"/>
      <c r="D4552" s="7"/>
      <c r="E4552" s="27"/>
      <c r="F4552" s="27"/>
      <c r="G4552" s="7"/>
    </row>
    <row r="4553" spans="2:7" x14ac:dyDescent="0.25">
      <c r="B4553" s="25"/>
      <c r="C4553" s="7"/>
      <c r="D4553" s="7"/>
      <c r="E4553" s="27"/>
      <c r="F4553" s="27"/>
      <c r="G4553" s="7"/>
    </row>
    <row r="4554" spans="2:7" x14ac:dyDescent="0.25">
      <c r="B4554" s="25"/>
      <c r="C4554" s="7"/>
      <c r="D4554" s="7"/>
      <c r="E4554" s="27"/>
      <c r="F4554" s="27"/>
      <c r="G4554" s="7"/>
    </row>
    <row r="4555" spans="2:7" x14ac:dyDescent="0.25">
      <c r="B4555" s="25"/>
      <c r="C4555" s="7"/>
      <c r="D4555" s="7"/>
      <c r="E4555" s="27"/>
      <c r="F4555" s="27"/>
      <c r="G4555" s="7"/>
    </row>
    <row r="4556" spans="2:7" x14ac:dyDescent="0.25">
      <c r="B4556" s="25"/>
      <c r="C4556" s="7"/>
      <c r="D4556" s="7"/>
      <c r="E4556" s="27"/>
      <c r="F4556" s="27"/>
      <c r="G4556" s="7"/>
    </row>
    <row r="4557" spans="2:7" x14ac:dyDescent="0.25">
      <c r="B4557" s="25"/>
      <c r="C4557" s="7"/>
      <c r="D4557" s="7"/>
      <c r="E4557" s="27"/>
      <c r="F4557" s="27"/>
      <c r="G4557" s="7"/>
    </row>
    <row r="4558" spans="2:7" x14ac:dyDescent="0.25">
      <c r="B4558" s="25"/>
      <c r="C4558" s="7"/>
      <c r="D4558" s="7"/>
      <c r="E4558" s="27"/>
      <c r="F4558" s="27"/>
      <c r="G4558" s="7"/>
    </row>
    <row r="4559" spans="2:7" x14ac:dyDescent="0.25">
      <c r="B4559" s="25"/>
      <c r="C4559" s="7"/>
      <c r="D4559" s="7"/>
      <c r="E4559" s="27"/>
      <c r="F4559" s="27"/>
      <c r="G4559" s="7"/>
    </row>
    <row r="4560" spans="2:7" x14ac:dyDescent="0.25">
      <c r="B4560" s="25"/>
      <c r="C4560" s="7"/>
      <c r="D4560" s="7"/>
      <c r="E4560" s="27"/>
      <c r="F4560" s="27"/>
      <c r="G4560" s="7"/>
    </row>
    <row r="4561" spans="2:7" x14ac:dyDescent="0.25">
      <c r="B4561" s="25"/>
      <c r="C4561" s="7"/>
      <c r="D4561" s="7"/>
      <c r="E4561" s="27"/>
      <c r="F4561" s="27"/>
      <c r="G4561" s="7"/>
    </row>
    <row r="4562" spans="2:7" x14ac:dyDescent="0.25">
      <c r="B4562" s="25"/>
      <c r="C4562" s="7"/>
      <c r="D4562" s="7"/>
      <c r="E4562" s="27"/>
      <c r="F4562" s="27"/>
      <c r="G4562" s="7"/>
    </row>
    <row r="4563" spans="2:7" x14ac:dyDescent="0.25">
      <c r="B4563" s="25"/>
      <c r="C4563" s="7"/>
      <c r="D4563" s="7"/>
      <c r="E4563" s="27"/>
      <c r="F4563" s="27"/>
      <c r="G4563" s="7"/>
    </row>
    <row r="4564" spans="2:7" x14ac:dyDescent="0.25">
      <c r="B4564" s="25"/>
      <c r="C4564" s="7"/>
      <c r="D4564" s="7"/>
      <c r="E4564" s="27"/>
      <c r="F4564" s="27"/>
      <c r="G4564" s="7"/>
    </row>
    <row r="4565" spans="2:7" x14ac:dyDescent="0.25">
      <c r="B4565" s="25"/>
      <c r="C4565" s="7"/>
      <c r="D4565" s="7"/>
      <c r="E4565" s="27"/>
      <c r="F4565" s="27"/>
      <c r="G4565" s="7"/>
    </row>
    <row r="4566" spans="2:7" x14ac:dyDescent="0.25">
      <c r="B4566" s="25"/>
      <c r="C4566" s="7"/>
      <c r="D4566" s="7"/>
      <c r="E4566" s="27"/>
      <c r="F4566" s="27"/>
      <c r="G4566" s="7"/>
    </row>
    <row r="4567" spans="2:7" x14ac:dyDescent="0.25">
      <c r="B4567" s="25"/>
      <c r="C4567" s="7"/>
      <c r="D4567" s="7"/>
      <c r="E4567" s="27"/>
      <c r="F4567" s="27"/>
      <c r="G4567" s="7"/>
    </row>
    <row r="4568" spans="2:7" x14ac:dyDescent="0.25">
      <c r="B4568" s="25"/>
      <c r="C4568" s="7"/>
      <c r="D4568" s="7"/>
      <c r="E4568" s="27"/>
      <c r="F4568" s="27"/>
      <c r="G4568" s="7"/>
    </row>
    <row r="4569" spans="2:7" x14ac:dyDescent="0.25">
      <c r="B4569" s="25"/>
      <c r="C4569" s="7"/>
      <c r="D4569" s="7"/>
      <c r="E4569" s="27"/>
      <c r="F4569" s="27"/>
      <c r="G4569" s="7"/>
    </row>
    <row r="4570" spans="2:7" x14ac:dyDescent="0.25">
      <c r="B4570" s="25"/>
      <c r="C4570" s="7"/>
      <c r="D4570" s="7"/>
      <c r="E4570" s="27"/>
      <c r="F4570" s="27"/>
      <c r="G4570" s="7"/>
    </row>
    <row r="4571" spans="2:7" x14ac:dyDescent="0.25">
      <c r="B4571" s="25"/>
      <c r="C4571" s="7"/>
      <c r="D4571" s="7"/>
      <c r="E4571" s="27"/>
      <c r="F4571" s="27"/>
      <c r="G4571" s="7"/>
    </row>
    <row r="4572" spans="2:7" x14ac:dyDescent="0.25">
      <c r="B4572" s="25"/>
      <c r="C4572" s="7"/>
      <c r="D4572" s="7"/>
      <c r="E4572" s="27"/>
      <c r="F4572" s="27"/>
      <c r="G4572" s="7"/>
    </row>
    <row r="4573" spans="2:7" x14ac:dyDescent="0.25">
      <c r="B4573" s="25"/>
      <c r="C4573" s="7"/>
      <c r="D4573" s="7"/>
      <c r="E4573" s="27"/>
      <c r="F4573" s="27"/>
      <c r="G4573" s="7"/>
    </row>
    <row r="4574" spans="2:7" x14ac:dyDescent="0.25">
      <c r="B4574" s="25"/>
      <c r="C4574" s="7"/>
      <c r="D4574" s="7"/>
      <c r="E4574" s="27"/>
      <c r="F4574" s="27"/>
      <c r="G4574" s="7"/>
    </row>
    <row r="4575" spans="2:7" x14ac:dyDescent="0.25">
      <c r="B4575" s="25"/>
      <c r="C4575" s="7"/>
      <c r="D4575" s="7"/>
      <c r="E4575" s="27"/>
      <c r="F4575" s="27"/>
      <c r="G4575" s="7"/>
    </row>
    <row r="4576" spans="2:7" x14ac:dyDescent="0.25">
      <c r="B4576" s="25"/>
      <c r="C4576" s="7"/>
      <c r="D4576" s="7"/>
      <c r="E4576" s="27"/>
      <c r="F4576" s="27"/>
      <c r="G4576" s="7"/>
    </row>
    <row r="4577" spans="2:7" x14ac:dyDescent="0.25">
      <c r="B4577" s="25"/>
      <c r="C4577" s="7"/>
      <c r="D4577" s="7"/>
      <c r="E4577" s="27"/>
      <c r="F4577" s="27"/>
      <c r="G4577" s="7"/>
    </row>
    <row r="4578" spans="2:7" x14ac:dyDescent="0.25">
      <c r="B4578" s="25"/>
      <c r="C4578" s="7"/>
      <c r="D4578" s="7"/>
      <c r="E4578" s="27"/>
      <c r="F4578" s="27"/>
      <c r="G4578" s="7"/>
    </row>
    <row r="4579" spans="2:7" x14ac:dyDescent="0.25">
      <c r="B4579" s="25"/>
      <c r="C4579" s="7"/>
      <c r="D4579" s="7"/>
      <c r="E4579" s="27"/>
      <c r="F4579" s="27"/>
      <c r="G4579" s="7"/>
    </row>
    <row r="4580" spans="2:7" x14ac:dyDescent="0.25">
      <c r="B4580" s="25"/>
      <c r="C4580" s="7"/>
      <c r="D4580" s="7"/>
      <c r="E4580" s="27"/>
      <c r="F4580" s="27"/>
      <c r="G4580" s="7"/>
    </row>
    <row r="4581" spans="2:7" x14ac:dyDescent="0.25">
      <c r="B4581" s="25"/>
      <c r="C4581" s="7"/>
      <c r="D4581" s="7"/>
      <c r="E4581" s="27"/>
      <c r="F4581" s="27"/>
      <c r="G4581" s="7"/>
    </row>
    <row r="4582" spans="2:7" x14ac:dyDescent="0.25">
      <c r="B4582" s="25"/>
      <c r="C4582" s="7"/>
      <c r="D4582" s="7"/>
      <c r="E4582" s="27"/>
      <c r="F4582" s="27"/>
      <c r="G4582" s="7"/>
    </row>
    <row r="4583" spans="2:7" x14ac:dyDescent="0.25">
      <c r="B4583" s="25"/>
      <c r="C4583" s="7"/>
      <c r="D4583" s="7"/>
      <c r="E4583" s="27"/>
      <c r="F4583" s="27"/>
      <c r="G4583" s="7"/>
    </row>
    <row r="4584" spans="2:7" x14ac:dyDescent="0.25">
      <c r="B4584" s="25"/>
      <c r="C4584" s="7"/>
      <c r="D4584" s="7"/>
      <c r="E4584" s="27"/>
      <c r="F4584" s="27"/>
      <c r="G4584" s="7"/>
    </row>
    <row r="4585" spans="2:7" x14ac:dyDescent="0.25">
      <c r="B4585" s="25"/>
      <c r="C4585" s="7"/>
      <c r="D4585" s="7"/>
      <c r="E4585" s="27"/>
      <c r="F4585" s="27"/>
      <c r="G4585" s="7"/>
    </row>
    <row r="4586" spans="2:7" x14ac:dyDescent="0.25">
      <c r="B4586" s="25"/>
      <c r="C4586" s="7"/>
      <c r="D4586" s="7"/>
      <c r="E4586" s="27"/>
      <c r="F4586" s="27"/>
      <c r="G4586" s="7"/>
    </row>
    <row r="4587" spans="2:7" x14ac:dyDescent="0.25">
      <c r="B4587" s="25"/>
      <c r="C4587" s="7"/>
      <c r="D4587" s="7"/>
      <c r="E4587" s="27"/>
      <c r="F4587" s="27"/>
      <c r="G4587" s="7"/>
    </row>
    <row r="4588" spans="2:7" x14ac:dyDescent="0.25">
      <c r="B4588" s="25"/>
      <c r="C4588" s="7"/>
      <c r="D4588" s="7"/>
      <c r="E4588" s="27"/>
      <c r="F4588" s="27"/>
      <c r="G4588" s="7"/>
    </row>
    <row r="4589" spans="2:7" x14ac:dyDescent="0.25">
      <c r="B4589" s="25"/>
      <c r="C4589" s="7"/>
      <c r="D4589" s="7"/>
      <c r="E4589" s="27"/>
      <c r="F4589" s="27"/>
      <c r="G4589" s="7"/>
    </row>
    <row r="4590" spans="2:7" x14ac:dyDescent="0.25">
      <c r="B4590" s="25"/>
      <c r="C4590" s="7"/>
      <c r="D4590" s="7"/>
      <c r="E4590" s="27"/>
      <c r="F4590" s="27"/>
      <c r="G4590" s="7"/>
    </row>
    <row r="4591" spans="2:7" x14ac:dyDescent="0.25">
      <c r="B4591" s="25"/>
      <c r="C4591" s="7"/>
      <c r="D4591" s="7"/>
      <c r="E4591" s="27"/>
      <c r="F4591" s="27"/>
      <c r="G4591" s="7"/>
    </row>
    <row r="4592" spans="2:7" x14ac:dyDescent="0.25">
      <c r="B4592" s="25"/>
      <c r="C4592" s="7"/>
      <c r="D4592" s="7"/>
      <c r="E4592" s="27"/>
      <c r="F4592" s="27"/>
      <c r="G4592" s="7"/>
    </row>
    <row r="4593" spans="2:7" x14ac:dyDescent="0.25">
      <c r="B4593" s="25"/>
      <c r="C4593" s="7"/>
      <c r="D4593" s="7"/>
      <c r="E4593" s="27"/>
      <c r="F4593" s="27"/>
      <c r="G4593" s="7"/>
    </row>
    <row r="4594" spans="2:7" x14ac:dyDescent="0.25">
      <c r="B4594" s="25"/>
      <c r="C4594" s="7"/>
      <c r="D4594" s="7"/>
      <c r="E4594" s="27"/>
      <c r="F4594" s="27"/>
      <c r="G4594" s="7"/>
    </row>
    <row r="4595" spans="2:7" x14ac:dyDescent="0.25">
      <c r="B4595" s="25"/>
      <c r="C4595" s="7"/>
      <c r="D4595" s="7"/>
      <c r="E4595" s="27"/>
      <c r="F4595" s="27"/>
      <c r="G4595" s="7"/>
    </row>
    <row r="4596" spans="2:7" x14ac:dyDescent="0.25">
      <c r="B4596" s="25"/>
      <c r="C4596" s="7"/>
      <c r="D4596" s="7"/>
      <c r="E4596" s="27"/>
      <c r="F4596" s="27"/>
      <c r="G4596" s="7"/>
    </row>
    <row r="4597" spans="2:7" x14ac:dyDescent="0.25">
      <c r="B4597" s="25"/>
      <c r="C4597" s="7"/>
      <c r="D4597" s="7"/>
      <c r="E4597" s="27"/>
      <c r="F4597" s="27"/>
      <c r="G4597" s="7"/>
    </row>
    <row r="4598" spans="2:7" x14ac:dyDescent="0.25">
      <c r="B4598" s="25"/>
      <c r="C4598" s="7"/>
      <c r="D4598" s="7"/>
      <c r="E4598" s="27"/>
      <c r="F4598" s="27"/>
      <c r="G4598" s="7"/>
    </row>
    <row r="4599" spans="2:7" x14ac:dyDescent="0.25">
      <c r="B4599" s="25"/>
      <c r="C4599" s="7"/>
      <c r="D4599" s="7"/>
      <c r="E4599" s="27"/>
      <c r="F4599" s="27"/>
      <c r="G4599" s="7"/>
    </row>
    <row r="4600" spans="2:7" x14ac:dyDescent="0.25">
      <c r="B4600" s="25"/>
      <c r="C4600" s="7"/>
      <c r="D4600" s="7"/>
      <c r="E4600" s="27"/>
      <c r="F4600" s="27"/>
      <c r="G4600" s="7"/>
    </row>
    <row r="4601" spans="2:7" x14ac:dyDescent="0.25">
      <c r="B4601" s="25"/>
      <c r="C4601" s="7"/>
      <c r="D4601" s="7"/>
      <c r="E4601" s="27"/>
      <c r="F4601" s="27"/>
      <c r="G4601" s="7"/>
    </row>
    <row r="4602" spans="2:7" x14ac:dyDescent="0.25">
      <c r="B4602" s="25"/>
      <c r="C4602" s="7"/>
      <c r="D4602" s="7"/>
      <c r="E4602" s="27"/>
      <c r="F4602" s="27"/>
      <c r="G4602" s="7"/>
    </row>
    <row r="4603" spans="2:7" x14ac:dyDescent="0.25">
      <c r="B4603" s="25"/>
      <c r="C4603" s="7"/>
      <c r="D4603" s="7"/>
      <c r="E4603" s="27"/>
      <c r="F4603" s="27"/>
      <c r="G4603" s="7"/>
    </row>
    <row r="4604" spans="2:7" x14ac:dyDescent="0.25">
      <c r="B4604" s="25"/>
      <c r="C4604" s="7"/>
      <c r="D4604" s="7"/>
      <c r="E4604" s="27"/>
      <c r="F4604" s="27"/>
      <c r="G4604" s="7"/>
    </row>
    <row r="4605" spans="2:7" x14ac:dyDescent="0.25">
      <c r="B4605" s="25"/>
      <c r="C4605" s="7"/>
      <c r="D4605" s="7"/>
      <c r="E4605" s="27"/>
      <c r="F4605" s="27"/>
      <c r="G4605" s="7"/>
    </row>
    <row r="4606" spans="2:7" x14ac:dyDescent="0.25">
      <c r="B4606" s="25"/>
      <c r="C4606" s="7"/>
      <c r="D4606" s="7"/>
      <c r="E4606" s="27"/>
      <c r="F4606" s="27"/>
      <c r="G4606" s="7"/>
    </row>
    <row r="4607" spans="2:7" x14ac:dyDescent="0.25">
      <c r="B4607" s="25"/>
      <c r="C4607" s="7"/>
      <c r="D4607" s="7"/>
      <c r="E4607" s="27"/>
      <c r="F4607" s="27"/>
      <c r="G4607" s="7"/>
    </row>
    <row r="4608" spans="2:7" x14ac:dyDescent="0.25">
      <c r="B4608" s="25"/>
      <c r="C4608" s="7"/>
      <c r="D4608" s="7"/>
      <c r="E4608" s="27"/>
      <c r="F4608" s="27"/>
      <c r="G4608" s="7"/>
    </row>
    <row r="4609" spans="2:7" x14ac:dyDescent="0.25">
      <c r="B4609" s="25"/>
      <c r="C4609" s="7"/>
      <c r="D4609" s="7"/>
      <c r="E4609" s="27"/>
      <c r="F4609" s="27"/>
      <c r="G4609" s="7"/>
    </row>
    <row r="4610" spans="2:7" x14ac:dyDescent="0.25">
      <c r="B4610" s="25"/>
      <c r="C4610" s="7"/>
      <c r="D4610" s="7"/>
      <c r="E4610" s="27"/>
      <c r="F4610" s="27"/>
      <c r="G4610" s="7"/>
    </row>
    <row r="4611" spans="2:7" x14ac:dyDescent="0.25">
      <c r="B4611" s="25"/>
      <c r="C4611" s="7"/>
      <c r="D4611" s="7"/>
      <c r="E4611" s="27"/>
      <c r="F4611" s="27"/>
      <c r="G4611" s="7"/>
    </row>
    <row r="4612" spans="2:7" x14ac:dyDescent="0.25">
      <c r="B4612" s="25"/>
      <c r="C4612" s="7"/>
      <c r="D4612" s="7"/>
      <c r="E4612" s="27"/>
      <c r="F4612" s="27"/>
      <c r="G4612" s="7"/>
    </row>
    <row r="4613" spans="2:7" x14ac:dyDescent="0.25">
      <c r="B4613" s="25"/>
      <c r="C4613" s="7"/>
      <c r="D4613" s="7"/>
      <c r="E4613" s="27"/>
      <c r="F4613" s="27"/>
      <c r="G4613" s="7"/>
    </row>
    <row r="4614" spans="2:7" x14ac:dyDescent="0.25">
      <c r="B4614" s="25"/>
      <c r="C4614" s="7"/>
      <c r="D4614" s="7"/>
      <c r="E4614" s="27"/>
      <c r="F4614" s="27"/>
      <c r="G4614" s="7"/>
    </row>
    <row r="4615" spans="2:7" x14ac:dyDescent="0.25">
      <c r="B4615" s="25"/>
      <c r="C4615" s="7"/>
      <c r="D4615" s="7"/>
      <c r="E4615" s="27"/>
      <c r="F4615" s="27"/>
      <c r="G4615" s="7"/>
    </row>
    <row r="4616" spans="2:7" x14ac:dyDescent="0.25">
      <c r="B4616" s="25"/>
      <c r="C4616" s="7"/>
      <c r="D4616" s="7"/>
      <c r="E4616" s="27"/>
      <c r="F4616" s="27"/>
      <c r="G4616" s="7"/>
    </row>
    <row r="4617" spans="2:7" x14ac:dyDescent="0.25">
      <c r="B4617" s="25"/>
      <c r="C4617" s="7"/>
      <c r="D4617" s="7"/>
      <c r="E4617" s="27"/>
      <c r="F4617" s="27"/>
      <c r="G4617" s="7"/>
    </row>
    <row r="4618" spans="2:7" x14ac:dyDescent="0.25">
      <c r="B4618" s="25"/>
      <c r="C4618" s="7"/>
      <c r="D4618" s="7"/>
      <c r="E4618" s="27"/>
      <c r="F4618" s="27"/>
      <c r="G4618" s="7"/>
    </row>
    <row r="4619" spans="2:7" x14ac:dyDescent="0.25">
      <c r="B4619" s="25"/>
      <c r="C4619" s="7"/>
      <c r="D4619" s="7"/>
      <c r="E4619" s="27"/>
      <c r="F4619" s="27"/>
      <c r="G4619" s="7"/>
    </row>
    <row r="4620" spans="2:7" x14ac:dyDescent="0.25">
      <c r="B4620" s="25"/>
      <c r="C4620" s="7"/>
      <c r="D4620" s="7"/>
      <c r="E4620" s="27"/>
      <c r="F4620" s="27"/>
      <c r="G4620" s="7"/>
    </row>
    <row r="4621" spans="2:7" x14ac:dyDescent="0.25">
      <c r="B4621" s="25"/>
      <c r="C4621" s="7"/>
      <c r="D4621" s="7"/>
      <c r="E4621" s="27"/>
      <c r="F4621" s="27"/>
      <c r="G4621" s="7"/>
    </row>
    <row r="4622" spans="2:7" x14ac:dyDescent="0.25">
      <c r="B4622" s="25"/>
      <c r="C4622" s="7"/>
      <c r="D4622" s="7"/>
      <c r="E4622" s="27"/>
      <c r="F4622" s="27"/>
      <c r="G4622" s="7"/>
    </row>
    <row r="4623" spans="2:7" x14ac:dyDescent="0.25">
      <c r="B4623" s="25"/>
      <c r="C4623" s="7"/>
      <c r="D4623" s="7"/>
      <c r="E4623" s="27"/>
      <c r="F4623" s="27"/>
      <c r="G4623" s="7"/>
    </row>
    <row r="4624" spans="2:7" x14ac:dyDescent="0.25">
      <c r="B4624" s="25"/>
      <c r="C4624" s="7"/>
      <c r="D4624" s="7"/>
      <c r="E4624" s="27"/>
      <c r="F4624" s="27"/>
      <c r="G4624" s="7"/>
    </row>
    <row r="4625" spans="2:7" x14ac:dyDescent="0.25">
      <c r="B4625" s="25"/>
      <c r="C4625" s="7"/>
      <c r="D4625" s="7"/>
      <c r="E4625" s="27"/>
      <c r="F4625" s="27"/>
      <c r="G4625" s="7"/>
    </row>
    <row r="4626" spans="2:7" x14ac:dyDescent="0.25">
      <c r="B4626" s="25"/>
      <c r="C4626" s="7"/>
      <c r="D4626" s="7"/>
      <c r="E4626" s="27"/>
      <c r="F4626" s="27"/>
      <c r="G4626" s="7"/>
    </row>
    <row r="4627" spans="2:7" x14ac:dyDescent="0.25">
      <c r="B4627" s="25"/>
      <c r="C4627" s="7"/>
      <c r="D4627" s="7"/>
      <c r="E4627" s="27"/>
      <c r="F4627" s="27"/>
      <c r="G4627" s="7"/>
    </row>
    <row r="4628" spans="2:7" x14ac:dyDescent="0.25">
      <c r="B4628" s="25"/>
      <c r="C4628" s="7"/>
      <c r="D4628" s="7"/>
      <c r="E4628" s="27"/>
      <c r="F4628" s="27"/>
      <c r="G4628" s="7"/>
    </row>
    <row r="4629" spans="2:7" x14ac:dyDescent="0.25">
      <c r="B4629" s="25"/>
      <c r="C4629" s="7"/>
      <c r="D4629" s="7"/>
      <c r="E4629" s="27"/>
      <c r="F4629" s="27"/>
      <c r="G4629" s="7"/>
    </row>
    <row r="4630" spans="2:7" x14ac:dyDescent="0.25">
      <c r="B4630" s="25"/>
      <c r="C4630" s="7"/>
      <c r="D4630" s="7"/>
      <c r="E4630" s="27"/>
      <c r="F4630" s="27"/>
      <c r="G4630" s="7"/>
    </row>
    <row r="4631" spans="2:7" x14ac:dyDescent="0.25">
      <c r="B4631" s="25"/>
      <c r="C4631" s="7"/>
      <c r="D4631" s="7"/>
      <c r="E4631" s="27"/>
      <c r="F4631" s="27"/>
      <c r="G4631" s="7"/>
    </row>
    <row r="4632" spans="2:7" x14ac:dyDescent="0.25">
      <c r="B4632" s="25"/>
      <c r="C4632" s="7"/>
      <c r="D4632" s="7"/>
      <c r="E4632" s="27"/>
      <c r="F4632" s="27"/>
      <c r="G4632" s="7"/>
    </row>
    <row r="4633" spans="2:7" x14ac:dyDescent="0.25">
      <c r="B4633" s="25"/>
      <c r="C4633" s="7"/>
      <c r="D4633" s="7"/>
      <c r="E4633" s="27"/>
      <c r="F4633" s="27"/>
      <c r="G4633" s="7"/>
    </row>
    <row r="4634" spans="2:7" x14ac:dyDescent="0.25">
      <c r="B4634" s="25"/>
      <c r="C4634" s="7"/>
      <c r="D4634" s="7"/>
      <c r="E4634" s="27"/>
      <c r="F4634" s="27"/>
      <c r="G4634" s="7"/>
    </row>
    <row r="4635" spans="2:7" x14ac:dyDescent="0.25">
      <c r="B4635" s="25"/>
      <c r="C4635" s="7"/>
      <c r="D4635" s="7"/>
      <c r="E4635" s="27"/>
      <c r="F4635" s="27"/>
      <c r="G4635" s="7"/>
    </row>
    <row r="4636" spans="2:7" x14ac:dyDescent="0.25">
      <c r="B4636" s="25"/>
      <c r="C4636" s="7"/>
      <c r="D4636" s="7"/>
      <c r="E4636" s="27"/>
      <c r="F4636" s="27"/>
      <c r="G4636" s="7"/>
    </row>
    <row r="4637" spans="2:7" x14ac:dyDescent="0.25">
      <c r="B4637" s="25"/>
      <c r="C4637" s="7"/>
      <c r="D4637" s="7"/>
      <c r="E4637" s="27"/>
      <c r="F4637" s="27"/>
      <c r="G4637" s="7"/>
    </row>
    <row r="4638" spans="2:7" x14ac:dyDescent="0.25">
      <c r="B4638" s="25"/>
      <c r="C4638" s="7"/>
      <c r="D4638" s="7"/>
      <c r="E4638" s="27"/>
      <c r="F4638" s="27"/>
      <c r="G4638" s="7"/>
    </row>
    <row r="4639" spans="2:7" x14ac:dyDescent="0.25">
      <c r="B4639" s="25"/>
      <c r="C4639" s="7"/>
      <c r="D4639" s="7"/>
      <c r="E4639" s="27"/>
      <c r="F4639" s="27"/>
      <c r="G4639" s="7"/>
    </row>
    <row r="4640" spans="2:7" x14ac:dyDescent="0.25">
      <c r="B4640" s="25"/>
      <c r="C4640" s="7"/>
      <c r="D4640" s="7"/>
      <c r="E4640" s="27"/>
      <c r="F4640" s="27"/>
      <c r="G4640" s="7"/>
    </row>
    <row r="4641" spans="2:7" x14ac:dyDescent="0.25">
      <c r="B4641" s="25"/>
      <c r="C4641" s="7"/>
      <c r="D4641" s="7"/>
      <c r="E4641" s="27"/>
      <c r="F4641" s="27"/>
      <c r="G4641" s="7"/>
    </row>
    <row r="4642" spans="2:7" x14ac:dyDescent="0.25">
      <c r="B4642" s="25"/>
      <c r="C4642" s="7"/>
      <c r="D4642" s="7"/>
      <c r="E4642" s="27"/>
      <c r="F4642" s="27"/>
      <c r="G4642" s="7"/>
    </row>
    <row r="4643" spans="2:7" x14ac:dyDescent="0.25">
      <c r="B4643" s="25"/>
      <c r="C4643" s="7"/>
      <c r="D4643" s="7"/>
      <c r="E4643" s="27"/>
      <c r="F4643" s="27"/>
      <c r="G4643" s="7"/>
    </row>
    <row r="4644" spans="2:7" x14ac:dyDescent="0.25">
      <c r="B4644" s="25"/>
      <c r="C4644" s="7"/>
      <c r="D4644" s="7"/>
      <c r="E4644" s="27"/>
      <c r="F4644" s="27"/>
      <c r="G4644" s="7"/>
    </row>
    <row r="4645" spans="2:7" x14ac:dyDescent="0.25">
      <c r="B4645" s="25"/>
      <c r="C4645" s="7"/>
      <c r="D4645" s="7"/>
      <c r="E4645" s="27"/>
      <c r="F4645" s="27"/>
      <c r="G4645" s="7"/>
    </row>
    <row r="4646" spans="2:7" x14ac:dyDescent="0.25">
      <c r="B4646" s="25"/>
      <c r="C4646" s="7"/>
      <c r="D4646" s="7"/>
      <c r="E4646" s="27"/>
      <c r="F4646" s="27"/>
      <c r="G4646" s="7"/>
    </row>
    <row r="4647" spans="2:7" x14ac:dyDescent="0.25">
      <c r="B4647" s="25"/>
      <c r="C4647" s="7"/>
      <c r="D4647" s="7"/>
      <c r="E4647" s="27"/>
      <c r="F4647" s="27"/>
      <c r="G4647" s="7"/>
    </row>
    <row r="4648" spans="2:7" x14ac:dyDescent="0.25">
      <c r="B4648" s="25"/>
      <c r="C4648" s="7"/>
      <c r="D4648" s="7"/>
      <c r="E4648" s="27"/>
      <c r="F4648" s="27"/>
      <c r="G4648" s="7"/>
    </row>
    <row r="4649" spans="2:7" x14ac:dyDescent="0.25">
      <c r="B4649" s="25"/>
      <c r="C4649" s="7"/>
      <c r="D4649" s="7"/>
      <c r="E4649" s="27"/>
      <c r="F4649" s="27"/>
      <c r="G4649" s="7"/>
    </row>
    <row r="4650" spans="2:7" x14ac:dyDescent="0.25">
      <c r="B4650" s="25"/>
      <c r="C4650" s="7"/>
      <c r="D4650" s="7"/>
      <c r="E4650" s="27"/>
      <c r="F4650" s="27"/>
      <c r="G4650" s="7"/>
    </row>
    <row r="4651" spans="2:7" x14ac:dyDescent="0.25">
      <c r="B4651" s="25"/>
      <c r="C4651" s="7"/>
      <c r="D4651" s="7"/>
      <c r="E4651" s="27"/>
      <c r="F4651" s="27"/>
      <c r="G4651" s="7"/>
    </row>
    <row r="4652" spans="2:7" x14ac:dyDescent="0.25">
      <c r="B4652" s="25"/>
      <c r="C4652" s="7"/>
      <c r="D4652" s="7"/>
      <c r="E4652" s="27"/>
      <c r="F4652" s="27"/>
      <c r="G4652" s="7"/>
    </row>
    <row r="4653" spans="2:7" x14ac:dyDescent="0.25">
      <c r="B4653" s="25"/>
      <c r="C4653" s="7"/>
      <c r="D4653" s="7"/>
      <c r="E4653" s="27"/>
      <c r="F4653" s="27"/>
      <c r="G4653" s="7"/>
    </row>
    <row r="4654" spans="2:7" x14ac:dyDescent="0.25">
      <c r="B4654" s="25"/>
      <c r="C4654" s="7"/>
      <c r="D4654" s="7"/>
      <c r="E4654" s="27"/>
      <c r="F4654" s="27"/>
      <c r="G4654" s="7"/>
    </row>
    <row r="4655" spans="2:7" x14ac:dyDescent="0.25">
      <c r="B4655" s="25"/>
      <c r="C4655" s="7"/>
      <c r="D4655" s="7"/>
      <c r="E4655" s="27"/>
      <c r="F4655" s="27"/>
      <c r="G4655" s="7"/>
    </row>
    <row r="4656" spans="2:7" x14ac:dyDescent="0.25">
      <c r="B4656" s="25"/>
      <c r="C4656" s="7"/>
      <c r="D4656" s="7"/>
      <c r="E4656" s="27"/>
      <c r="F4656" s="27"/>
      <c r="G4656" s="7"/>
    </row>
    <row r="4657" spans="2:7" x14ac:dyDescent="0.25">
      <c r="B4657" s="25"/>
      <c r="C4657" s="7"/>
      <c r="D4657" s="7"/>
      <c r="E4657" s="27"/>
      <c r="F4657" s="27"/>
      <c r="G4657" s="7"/>
    </row>
    <row r="4658" spans="2:7" x14ac:dyDescent="0.25">
      <c r="B4658" s="25"/>
      <c r="C4658" s="7"/>
      <c r="D4658" s="7"/>
      <c r="E4658" s="27"/>
      <c r="F4658" s="27"/>
      <c r="G4658" s="7"/>
    </row>
    <row r="4659" spans="2:7" x14ac:dyDescent="0.25">
      <c r="B4659" s="25"/>
      <c r="C4659" s="7"/>
      <c r="D4659" s="7"/>
      <c r="E4659" s="27"/>
      <c r="F4659" s="27"/>
      <c r="G4659" s="7"/>
    </row>
    <row r="4660" spans="2:7" x14ac:dyDescent="0.25">
      <c r="B4660" s="25"/>
      <c r="C4660" s="7"/>
      <c r="D4660" s="7"/>
      <c r="E4660" s="27"/>
      <c r="F4660" s="27"/>
      <c r="G4660" s="7"/>
    </row>
    <row r="4661" spans="2:7" x14ac:dyDescent="0.25">
      <c r="B4661" s="25"/>
      <c r="C4661" s="7"/>
      <c r="D4661" s="7"/>
      <c r="E4661" s="27"/>
      <c r="F4661" s="27"/>
      <c r="G4661" s="7"/>
    </row>
    <row r="4662" spans="2:7" x14ac:dyDescent="0.25">
      <c r="B4662" s="25"/>
      <c r="C4662" s="7"/>
      <c r="D4662" s="7"/>
      <c r="E4662" s="27"/>
      <c r="F4662" s="27"/>
      <c r="G4662" s="7"/>
    </row>
    <row r="4663" spans="2:7" x14ac:dyDescent="0.25">
      <c r="B4663" s="25"/>
      <c r="C4663" s="7"/>
      <c r="D4663" s="7"/>
      <c r="E4663" s="27"/>
      <c r="F4663" s="27"/>
      <c r="G4663" s="7"/>
    </row>
    <row r="4664" spans="2:7" x14ac:dyDescent="0.25">
      <c r="B4664" s="25"/>
      <c r="C4664" s="7"/>
      <c r="D4664" s="7"/>
      <c r="E4664" s="27"/>
      <c r="F4664" s="27"/>
      <c r="G4664" s="7"/>
    </row>
    <row r="4665" spans="2:7" x14ac:dyDescent="0.25">
      <c r="B4665" s="25"/>
      <c r="C4665" s="7"/>
      <c r="D4665" s="7"/>
      <c r="E4665" s="27"/>
      <c r="F4665" s="27"/>
      <c r="G4665" s="7"/>
    </row>
    <row r="4666" spans="2:7" x14ac:dyDescent="0.25">
      <c r="B4666" s="25"/>
      <c r="C4666" s="7"/>
      <c r="D4666" s="7"/>
      <c r="E4666" s="27"/>
      <c r="F4666" s="27"/>
      <c r="G4666" s="7"/>
    </row>
    <row r="4667" spans="2:7" x14ac:dyDescent="0.25">
      <c r="B4667" s="25"/>
      <c r="C4667" s="7"/>
      <c r="D4667" s="7"/>
      <c r="E4667" s="27"/>
      <c r="F4667" s="27"/>
      <c r="G4667" s="7"/>
    </row>
    <row r="4668" spans="2:7" x14ac:dyDescent="0.25">
      <c r="B4668" s="25"/>
      <c r="C4668" s="7"/>
      <c r="D4668" s="7"/>
      <c r="E4668" s="27"/>
      <c r="F4668" s="27"/>
      <c r="G4668" s="7"/>
    </row>
    <row r="4669" spans="2:7" x14ac:dyDescent="0.25">
      <c r="B4669" s="25"/>
      <c r="C4669" s="7"/>
      <c r="D4669" s="7"/>
      <c r="E4669" s="27"/>
      <c r="F4669" s="27"/>
      <c r="G4669" s="7"/>
    </row>
    <row r="4670" spans="2:7" x14ac:dyDescent="0.25">
      <c r="B4670" s="25"/>
      <c r="C4670" s="7"/>
      <c r="D4670" s="7"/>
      <c r="E4670" s="27"/>
      <c r="F4670" s="27"/>
      <c r="G4670" s="7"/>
    </row>
    <row r="4671" spans="2:7" x14ac:dyDescent="0.25">
      <c r="B4671" s="25"/>
      <c r="C4671" s="7"/>
      <c r="D4671" s="7"/>
      <c r="E4671" s="27"/>
      <c r="F4671" s="27"/>
      <c r="G4671" s="7"/>
    </row>
    <row r="4672" spans="2:7" x14ac:dyDescent="0.25">
      <c r="B4672" s="25"/>
      <c r="C4672" s="7"/>
      <c r="D4672" s="7"/>
      <c r="E4672" s="27"/>
      <c r="F4672" s="27"/>
      <c r="G4672" s="7"/>
    </row>
    <row r="4673" spans="2:7" x14ac:dyDescent="0.25">
      <c r="B4673" s="25"/>
      <c r="C4673" s="7"/>
      <c r="D4673" s="7"/>
      <c r="E4673" s="27"/>
      <c r="F4673" s="27"/>
      <c r="G4673" s="7"/>
    </row>
    <row r="4674" spans="2:7" x14ac:dyDescent="0.25">
      <c r="B4674" s="25"/>
      <c r="C4674" s="7"/>
      <c r="D4674" s="7"/>
      <c r="E4674" s="27"/>
      <c r="F4674" s="27"/>
      <c r="G4674" s="7"/>
    </row>
    <row r="4675" spans="2:7" x14ac:dyDescent="0.25">
      <c r="B4675" s="25"/>
      <c r="C4675" s="7"/>
      <c r="D4675" s="7"/>
      <c r="E4675" s="27"/>
      <c r="F4675" s="27"/>
      <c r="G4675" s="7"/>
    </row>
    <row r="4676" spans="2:7" x14ac:dyDescent="0.25">
      <c r="B4676" s="25"/>
      <c r="C4676" s="7"/>
      <c r="D4676" s="7"/>
      <c r="E4676" s="27"/>
      <c r="F4676" s="27"/>
      <c r="G4676" s="7"/>
    </row>
    <row r="4677" spans="2:7" x14ac:dyDescent="0.25">
      <c r="B4677" s="25"/>
      <c r="C4677" s="7"/>
      <c r="D4677" s="7"/>
      <c r="E4677" s="27"/>
      <c r="F4677" s="27"/>
      <c r="G4677" s="7"/>
    </row>
    <row r="4678" spans="2:7" x14ac:dyDescent="0.25">
      <c r="B4678" s="25"/>
      <c r="C4678" s="7"/>
      <c r="D4678" s="7"/>
      <c r="E4678" s="27"/>
      <c r="F4678" s="27"/>
      <c r="G4678" s="7"/>
    </row>
    <row r="4679" spans="2:7" x14ac:dyDescent="0.25">
      <c r="B4679" s="25"/>
      <c r="C4679" s="7"/>
      <c r="D4679" s="7"/>
      <c r="E4679" s="27"/>
      <c r="F4679" s="27"/>
      <c r="G4679" s="7"/>
    </row>
    <row r="4680" spans="2:7" x14ac:dyDescent="0.25">
      <c r="B4680" s="25"/>
      <c r="C4680" s="7"/>
      <c r="D4680" s="7"/>
      <c r="E4680" s="27"/>
      <c r="F4680" s="27"/>
      <c r="G4680" s="7"/>
    </row>
    <row r="4681" spans="2:7" x14ac:dyDescent="0.25">
      <c r="B4681" s="25"/>
      <c r="C4681" s="7"/>
      <c r="D4681" s="7"/>
      <c r="E4681" s="27"/>
      <c r="F4681" s="27"/>
      <c r="G4681" s="7"/>
    </row>
    <row r="4682" spans="2:7" x14ac:dyDescent="0.25">
      <c r="B4682" s="25"/>
      <c r="C4682" s="7"/>
      <c r="D4682" s="7"/>
      <c r="E4682" s="27"/>
      <c r="F4682" s="27"/>
      <c r="G4682" s="7"/>
    </row>
    <row r="4683" spans="2:7" x14ac:dyDescent="0.25">
      <c r="B4683" s="25"/>
      <c r="C4683" s="7"/>
      <c r="D4683" s="7"/>
      <c r="E4683" s="27"/>
      <c r="F4683" s="27"/>
      <c r="G4683" s="7"/>
    </row>
    <row r="4684" spans="2:7" x14ac:dyDescent="0.25">
      <c r="B4684" s="25"/>
      <c r="C4684" s="7"/>
      <c r="D4684" s="7"/>
      <c r="E4684" s="27"/>
      <c r="F4684" s="27"/>
      <c r="G4684" s="7"/>
    </row>
    <row r="4685" spans="2:7" x14ac:dyDescent="0.25">
      <c r="B4685" s="25"/>
      <c r="C4685" s="7"/>
      <c r="D4685" s="7"/>
      <c r="E4685" s="27"/>
      <c r="F4685" s="27"/>
      <c r="G4685" s="7"/>
    </row>
    <row r="4686" spans="2:7" x14ac:dyDescent="0.25">
      <c r="B4686" s="25"/>
      <c r="C4686" s="7"/>
      <c r="D4686" s="7"/>
      <c r="E4686" s="27"/>
      <c r="F4686" s="27"/>
      <c r="G4686" s="7"/>
    </row>
    <row r="4687" spans="2:7" x14ac:dyDescent="0.25">
      <c r="B4687" s="25"/>
      <c r="C4687" s="7"/>
      <c r="D4687" s="7"/>
      <c r="E4687" s="27"/>
      <c r="F4687" s="27"/>
      <c r="G4687" s="7"/>
    </row>
    <row r="4688" spans="2:7" x14ac:dyDescent="0.25">
      <c r="B4688" s="25"/>
      <c r="C4688" s="7"/>
      <c r="D4688" s="7"/>
      <c r="E4688" s="27"/>
      <c r="F4688" s="27"/>
      <c r="G4688" s="7"/>
    </row>
    <row r="4689" spans="2:7" x14ac:dyDescent="0.25">
      <c r="B4689" s="25"/>
      <c r="C4689" s="7"/>
      <c r="D4689" s="7"/>
      <c r="E4689" s="27"/>
      <c r="F4689" s="27"/>
      <c r="G4689" s="7"/>
    </row>
    <row r="4690" spans="2:7" x14ac:dyDescent="0.25">
      <c r="B4690" s="25"/>
      <c r="C4690" s="7"/>
      <c r="D4690" s="7"/>
      <c r="E4690" s="27"/>
      <c r="F4690" s="27"/>
      <c r="G4690" s="7"/>
    </row>
    <row r="4691" spans="2:7" x14ac:dyDescent="0.25">
      <c r="B4691" s="25"/>
      <c r="C4691" s="7"/>
      <c r="D4691" s="7"/>
      <c r="E4691" s="27"/>
      <c r="F4691" s="27"/>
      <c r="G4691" s="7"/>
    </row>
    <row r="4692" spans="2:7" x14ac:dyDescent="0.25">
      <c r="B4692" s="25"/>
      <c r="C4692" s="7"/>
      <c r="D4692" s="7"/>
      <c r="E4692" s="27"/>
      <c r="F4692" s="27"/>
      <c r="G4692" s="7"/>
    </row>
    <row r="4693" spans="2:7" x14ac:dyDescent="0.25">
      <c r="B4693" s="25"/>
      <c r="C4693" s="7"/>
      <c r="D4693" s="7"/>
      <c r="E4693" s="27"/>
      <c r="F4693" s="27"/>
      <c r="G4693" s="7"/>
    </row>
    <row r="4694" spans="2:7" x14ac:dyDescent="0.25">
      <c r="B4694" s="25"/>
      <c r="C4694" s="7"/>
      <c r="D4694" s="7"/>
      <c r="E4694" s="27"/>
      <c r="F4694" s="27"/>
      <c r="G4694" s="7"/>
    </row>
    <row r="4695" spans="2:7" x14ac:dyDescent="0.25">
      <c r="B4695" s="25"/>
      <c r="C4695" s="7"/>
      <c r="D4695" s="7"/>
      <c r="E4695" s="27"/>
      <c r="F4695" s="27"/>
      <c r="G4695" s="7"/>
    </row>
    <row r="4696" spans="2:7" x14ac:dyDescent="0.25">
      <c r="B4696" s="25"/>
      <c r="C4696" s="7"/>
      <c r="D4696" s="7"/>
      <c r="E4696" s="27"/>
      <c r="F4696" s="27"/>
      <c r="G4696" s="7"/>
    </row>
    <row r="4697" spans="2:7" x14ac:dyDescent="0.25">
      <c r="B4697" s="25"/>
      <c r="C4697" s="7"/>
      <c r="D4697" s="7"/>
      <c r="E4697" s="27"/>
      <c r="F4697" s="27"/>
      <c r="G4697" s="7"/>
    </row>
    <row r="4698" spans="2:7" x14ac:dyDescent="0.25">
      <c r="B4698" s="25"/>
      <c r="C4698" s="7"/>
      <c r="D4698" s="7"/>
      <c r="E4698" s="27"/>
      <c r="F4698" s="27"/>
      <c r="G4698" s="7"/>
    </row>
    <row r="4699" spans="2:7" x14ac:dyDescent="0.25">
      <c r="B4699" s="25"/>
      <c r="C4699" s="7"/>
      <c r="D4699" s="7"/>
      <c r="E4699" s="27"/>
      <c r="F4699" s="27"/>
      <c r="G4699" s="7"/>
    </row>
    <row r="4700" spans="2:7" x14ac:dyDescent="0.25">
      <c r="B4700" s="25"/>
      <c r="C4700" s="7"/>
      <c r="D4700" s="7"/>
      <c r="E4700" s="27"/>
      <c r="F4700" s="27"/>
      <c r="G4700" s="7"/>
    </row>
    <row r="4701" spans="2:7" x14ac:dyDescent="0.25">
      <c r="B4701" s="25"/>
      <c r="C4701" s="7"/>
      <c r="D4701" s="7"/>
      <c r="E4701" s="27"/>
      <c r="F4701" s="27"/>
      <c r="G4701" s="7"/>
    </row>
    <row r="4702" spans="2:7" x14ac:dyDescent="0.25">
      <c r="B4702" s="25"/>
      <c r="C4702" s="7"/>
      <c r="D4702" s="7"/>
      <c r="E4702" s="27"/>
      <c r="F4702" s="27"/>
      <c r="G4702" s="7"/>
    </row>
    <row r="4703" spans="2:7" x14ac:dyDescent="0.25">
      <c r="B4703" s="25"/>
      <c r="C4703" s="7"/>
      <c r="D4703" s="7"/>
      <c r="E4703" s="27"/>
      <c r="F4703" s="27"/>
      <c r="G4703" s="7"/>
    </row>
    <row r="4704" spans="2:7" x14ac:dyDescent="0.25">
      <c r="B4704" s="25"/>
      <c r="C4704" s="7"/>
      <c r="D4704" s="7"/>
      <c r="E4704" s="27"/>
      <c r="F4704" s="27"/>
      <c r="G4704" s="7"/>
    </row>
    <row r="4705" spans="2:7" x14ac:dyDescent="0.25">
      <c r="B4705" s="25"/>
      <c r="C4705" s="7"/>
      <c r="D4705" s="7"/>
      <c r="E4705" s="27"/>
      <c r="F4705" s="27"/>
      <c r="G4705" s="7"/>
    </row>
    <row r="4706" spans="2:7" x14ac:dyDescent="0.25">
      <c r="B4706" s="25"/>
      <c r="C4706" s="7"/>
      <c r="D4706" s="7"/>
      <c r="E4706" s="27"/>
      <c r="F4706" s="27"/>
      <c r="G4706" s="7"/>
    </row>
    <row r="4707" spans="2:7" x14ac:dyDescent="0.25">
      <c r="B4707" s="25"/>
      <c r="C4707" s="7"/>
      <c r="D4707" s="7"/>
      <c r="E4707" s="27"/>
      <c r="F4707" s="27"/>
      <c r="G4707" s="7"/>
    </row>
    <row r="4708" spans="2:7" x14ac:dyDescent="0.25">
      <c r="B4708" s="25"/>
      <c r="C4708" s="7"/>
      <c r="D4708" s="7"/>
      <c r="E4708" s="27"/>
      <c r="F4708" s="27"/>
      <c r="G4708" s="7"/>
    </row>
    <row r="4709" spans="2:7" x14ac:dyDescent="0.25">
      <c r="B4709" s="25"/>
      <c r="C4709" s="7"/>
      <c r="D4709" s="7"/>
      <c r="E4709" s="27"/>
      <c r="F4709" s="27"/>
      <c r="G4709" s="7"/>
    </row>
    <row r="4710" spans="2:7" x14ac:dyDescent="0.25">
      <c r="B4710" s="25"/>
      <c r="C4710" s="7"/>
      <c r="D4710" s="7"/>
      <c r="E4710" s="27"/>
      <c r="F4710" s="27"/>
      <c r="G4710" s="7"/>
    </row>
    <row r="4711" spans="2:7" x14ac:dyDescent="0.25">
      <c r="B4711" s="25"/>
      <c r="C4711" s="7"/>
      <c r="D4711" s="7"/>
      <c r="E4711" s="27"/>
      <c r="F4711" s="27"/>
      <c r="G4711" s="7"/>
    </row>
    <row r="4712" spans="2:7" x14ac:dyDescent="0.25">
      <c r="B4712" s="25"/>
      <c r="C4712" s="7"/>
      <c r="D4712" s="7"/>
      <c r="E4712" s="27"/>
      <c r="F4712" s="27"/>
      <c r="G4712" s="7"/>
    </row>
    <row r="4713" spans="2:7" x14ac:dyDescent="0.25">
      <c r="B4713" s="25"/>
      <c r="C4713" s="7"/>
      <c r="D4713" s="7"/>
      <c r="E4713" s="27"/>
      <c r="F4713" s="27"/>
      <c r="G4713" s="7"/>
    </row>
    <row r="4714" spans="2:7" x14ac:dyDescent="0.25">
      <c r="B4714" s="25"/>
      <c r="C4714" s="7"/>
      <c r="D4714" s="7"/>
      <c r="E4714" s="27"/>
      <c r="F4714" s="27"/>
      <c r="G4714" s="7"/>
    </row>
    <row r="4715" spans="2:7" x14ac:dyDescent="0.25">
      <c r="B4715" s="25"/>
      <c r="C4715" s="7"/>
      <c r="D4715" s="7"/>
      <c r="E4715" s="27"/>
      <c r="F4715" s="27"/>
      <c r="G4715" s="7"/>
    </row>
    <row r="4716" spans="2:7" x14ac:dyDescent="0.25">
      <c r="B4716" s="25"/>
      <c r="C4716" s="7"/>
      <c r="D4716" s="7"/>
      <c r="E4716" s="27"/>
      <c r="F4716" s="27"/>
      <c r="G4716" s="7"/>
    </row>
    <row r="4717" spans="2:7" x14ac:dyDescent="0.25">
      <c r="B4717" s="25"/>
      <c r="C4717" s="7"/>
      <c r="D4717" s="7"/>
      <c r="E4717" s="27"/>
      <c r="F4717" s="27"/>
      <c r="G4717" s="7"/>
    </row>
    <row r="4718" spans="2:7" x14ac:dyDescent="0.25">
      <c r="B4718" s="25"/>
      <c r="C4718" s="7"/>
      <c r="D4718" s="7"/>
      <c r="E4718" s="27"/>
      <c r="F4718" s="27"/>
      <c r="G4718" s="7"/>
    </row>
    <row r="4719" spans="2:7" x14ac:dyDescent="0.25">
      <c r="B4719" s="25"/>
      <c r="C4719" s="7"/>
      <c r="D4719" s="7"/>
      <c r="E4719" s="27"/>
      <c r="F4719" s="27"/>
      <c r="G4719" s="7"/>
    </row>
    <row r="4720" spans="2:7" x14ac:dyDescent="0.25">
      <c r="B4720" s="25"/>
      <c r="C4720" s="7"/>
      <c r="D4720" s="7"/>
      <c r="E4720" s="27"/>
      <c r="F4720" s="27"/>
      <c r="G4720" s="7"/>
    </row>
    <row r="4721" spans="2:7" x14ac:dyDescent="0.25">
      <c r="B4721" s="25"/>
      <c r="C4721" s="7"/>
      <c r="D4721" s="7"/>
      <c r="E4721" s="27"/>
      <c r="F4721" s="27"/>
      <c r="G4721" s="7"/>
    </row>
    <row r="4722" spans="2:7" x14ac:dyDescent="0.25">
      <c r="B4722" s="25"/>
      <c r="C4722" s="7"/>
      <c r="D4722" s="7"/>
      <c r="E4722" s="27"/>
      <c r="F4722" s="27"/>
      <c r="G4722" s="7"/>
    </row>
    <row r="4723" spans="2:7" x14ac:dyDescent="0.25">
      <c r="B4723" s="25"/>
      <c r="C4723" s="7"/>
      <c r="D4723" s="7"/>
      <c r="E4723" s="27"/>
      <c r="F4723" s="27"/>
      <c r="G4723" s="7"/>
    </row>
    <row r="4724" spans="2:7" x14ac:dyDescent="0.25">
      <c r="B4724" s="25"/>
      <c r="C4724" s="7"/>
      <c r="D4724" s="7"/>
      <c r="E4724" s="27"/>
      <c r="F4724" s="27"/>
      <c r="G4724" s="7"/>
    </row>
    <row r="4725" spans="2:7" x14ac:dyDescent="0.25">
      <c r="B4725" s="25"/>
      <c r="C4725" s="7"/>
      <c r="D4725" s="7"/>
      <c r="E4725" s="27"/>
      <c r="F4725" s="27"/>
      <c r="G4725" s="7"/>
    </row>
    <row r="4726" spans="2:7" x14ac:dyDescent="0.25">
      <c r="B4726" s="25"/>
      <c r="C4726" s="7"/>
      <c r="D4726" s="7"/>
      <c r="E4726" s="27"/>
      <c r="F4726" s="27"/>
      <c r="G4726" s="7"/>
    </row>
    <row r="4727" spans="2:7" x14ac:dyDescent="0.25">
      <c r="B4727" s="25"/>
      <c r="C4727" s="7"/>
      <c r="D4727" s="7"/>
      <c r="E4727" s="27"/>
      <c r="F4727" s="27"/>
      <c r="G4727" s="7"/>
    </row>
    <row r="4728" spans="2:7" x14ac:dyDescent="0.25">
      <c r="B4728" s="25"/>
      <c r="C4728" s="7"/>
      <c r="D4728" s="7"/>
      <c r="E4728" s="27"/>
      <c r="F4728" s="27"/>
      <c r="G4728" s="7"/>
    </row>
    <row r="4729" spans="2:7" x14ac:dyDescent="0.25">
      <c r="B4729" s="25"/>
      <c r="C4729" s="7"/>
      <c r="D4729" s="7"/>
      <c r="E4729" s="27"/>
      <c r="F4729" s="27"/>
      <c r="G4729" s="7"/>
    </row>
    <row r="4730" spans="2:7" x14ac:dyDescent="0.25">
      <c r="B4730" s="25"/>
      <c r="C4730" s="7"/>
      <c r="D4730" s="7"/>
      <c r="E4730" s="27"/>
      <c r="F4730" s="27"/>
      <c r="G4730" s="7"/>
    </row>
    <row r="4731" spans="2:7" x14ac:dyDescent="0.25">
      <c r="B4731" s="25"/>
      <c r="C4731" s="7"/>
      <c r="D4731" s="7"/>
      <c r="E4731" s="27"/>
      <c r="F4731" s="27"/>
      <c r="G4731" s="7"/>
    </row>
    <row r="4732" spans="2:7" x14ac:dyDescent="0.25">
      <c r="B4732" s="25"/>
      <c r="C4732" s="7"/>
      <c r="D4732" s="7"/>
      <c r="E4732" s="27"/>
      <c r="F4732" s="27"/>
      <c r="G4732" s="7"/>
    </row>
    <row r="4733" spans="2:7" x14ac:dyDescent="0.25">
      <c r="B4733" s="25"/>
      <c r="C4733" s="7"/>
      <c r="D4733" s="7"/>
      <c r="E4733" s="27"/>
      <c r="F4733" s="27"/>
      <c r="G4733" s="7"/>
    </row>
    <row r="4734" spans="2:7" x14ac:dyDescent="0.25">
      <c r="B4734" s="25"/>
      <c r="C4734" s="7"/>
      <c r="D4734" s="7"/>
      <c r="E4734" s="27"/>
      <c r="F4734" s="27"/>
      <c r="G4734" s="7"/>
    </row>
    <row r="4735" spans="2:7" x14ac:dyDescent="0.25">
      <c r="B4735" s="25"/>
      <c r="C4735" s="7"/>
      <c r="D4735" s="7"/>
      <c r="E4735" s="27"/>
      <c r="F4735" s="27"/>
      <c r="G4735" s="7"/>
    </row>
    <row r="4736" spans="2:7" x14ac:dyDescent="0.25">
      <c r="B4736" s="25"/>
      <c r="C4736" s="7"/>
      <c r="D4736" s="7"/>
      <c r="E4736" s="27"/>
      <c r="F4736" s="27"/>
      <c r="G4736" s="7"/>
    </row>
    <row r="4737" spans="2:7" x14ac:dyDescent="0.25">
      <c r="B4737" s="25"/>
      <c r="C4737" s="7"/>
      <c r="D4737" s="7"/>
      <c r="E4737" s="27"/>
      <c r="F4737" s="27"/>
      <c r="G4737" s="7"/>
    </row>
    <row r="4738" spans="2:7" x14ac:dyDescent="0.25">
      <c r="B4738" s="25"/>
      <c r="C4738" s="7"/>
      <c r="D4738" s="7"/>
      <c r="E4738" s="27"/>
      <c r="F4738" s="27"/>
      <c r="G4738" s="7"/>
    </row>
    <row r="4739" spans="2:7" x14ac:dyDescent="0.25">
      <c r="B4739" s="25"/>
      <c r="C4739" s="7"/>
      <c r="D4739" s="7"/>
      <c r="E4739" s="27"/>
      <c r="F4739" s="27"/>
      <c r="G4739" s="7"/>
    </row>
    <row r="4740" spans="2:7" x14ac:dyDescent="0.25">
      <c r="B4740" s="25"/>
      <c r="C4740" s="7"/>
      <c r="D4740" s="7"/>
      <c r="E4740" s="27"/>
      <c r="F4740" s="27"/>
      <c r="G4740" s="7"/>
    </row>
    <row r="4741" spans="2:7" x14ac:dyDescent="0.25">
      <c r="B4741" s="25"/>
      <c r="C4741" s="7"/>
      <c r="D4741" s="7"/>
      <c r="E4741" s="27"/>
      <c r="F4741" s="27"/>
      <c r="G4741" s="7"/>
    </row>
    <row r="4742" spans="2:7" x14ac:dyDescent="0.25">
      <c r="B4742" s="25"/>
      <c r="C4742" s="7"/>
      <c r="D4742" s="7"/>
      <c r="E4742" s="27"/>
      <c r="F4742" s="27"/>
      <c r="G4742" s="7"/>
    </row>
    <row r="4743" spans="2:7" x14ac:dyDescent="0.25">
      <c r="B4743" s="25"/>
      <c r="C4743" s="7"/>
      <c r="D4743" s="7"/>
      <c r="E4743" s="27"/>
      <c r="F4743" s="27"/>
      <c r="G4743" s="7"/>
    </row>
    <row r="4744" spans="2:7" x14ac:dyDescent="0.25">
      <c r="B4744" s="25"/>
      <c r="C4744" s="7"/>
      <c r="D4744" s="7"/>
      <c r="E4744" s="27"/>
      <c r="F4744" s="27"/>
      <c r="G4744" s="7"/>
    </row>
    <row r="4745" spans="2:7" x14ac:dyDescent="0.25">
      <c r="B4745" s="25"/>
      <c r="C4745" s="7"/>
      <c r="D4745" s="7"/>
      <c r="E4745" s="27"/>
      <c r="F4745" s="27"/>
      <c r="G4745" s="7"/>
    </row>
    <row r="4746" spans="2:7" x14ac:dyDescent="0.25">
      <c r="B4746" s="25"/>
      <c r="C4746" s="7"/>
      <c r="D4746" s="7"/>
      <c r="E4746" s="27"/>
      <c r="F4746" s="27"/>
      <c r="G4746" s="7"/>
    </row>
    <row r="4747" spans="2:7" x14ac:dyDescent="0.25">
      <c r="B4747" s="25"/>
      <c r="C4747" s="7"/>
      <c r="D4747" s="7"/>
      <c r="E4747" s="27"/>
      <c r="F4747" s="27"/>
      <c r="G4747" s="7"/>
    </row>
    <row r="4748" spans="2:7" x14ac:dyDescent="0.25">
      <c r="B4748" s="25"/>
      <c r="C4748" s="7"/>
      <c r="D4748" s="7"/>
      <c r="E4748" s="27"/>
      <c r="F4748" s="27"/>
      <c r="G4748" s="7"/>
    </row>
    <row r="4749" spans="2:7" x14ac:dyDescent="0.25">
      <c r="B4749" s="25"/>
      <c r="C4749" s="7"/>
      <c r="D4749" s="7"/>
      <c r="E4749" s="27"/>
      <c r="F4749" s="27"/>
      <c r="G4749" s="7"/>
    </row>
    <row r="4750" spans="2:7" x14ac:dyDescent="0.25">
      <c r="B4750" s="25"/>
      <c r="C4750" s="7"/>
      <c r="D4750" s="7"/>
      <c r="E4750" s="27"/>
      <c r="F4750" s="27"/>
      <c r="G4750" s="7"/>
    </row>
    <row r="4751" spans="2:7" x14ac:dyDescent="0.25">
      <c r="B4751" s="25"/>
      <c r="C4751" s="7"/>
      <c r="D4751" s="7"/>
      <c r="E4751" s="27"/>
      <c r="F4751" s="27"/>
      <c r="G4751" s="7"/>
    </row>
    <row r="4752" spans="2:7" x14ac:dyDescent="0.25">
      <c r="B4752" s="25"/>
      <c r="C4752" s="7"/>
      <c r="D4752" s="7"/>
      <c r="E4752" s="27"/>
      <c r="F4752" s="27"/>
      <c r="G4752" s="7"/>
    </row>
    <row r="4753" spans="2:7" x14ac:dyDescent="0.25">
      <c r="B4753" s="25"/>
      <c r="C4753" s="7"/>
      <c r="D4753" s="7"/>
      <c r="E4753" s="27"/>
      <c r="F4753" s="27"/>
      <c r="G4753" s="7"/>
    </row>
    <row r="4754" spans="2:7" x14ac:dyDescent="0.25">
      <c r="B4754" s="25"/>
      <c r="C4754" s="7"/>
      <c r="D4754" s="7"/>
      <c r="E4754" s="27"/>
      <c r="F4754" s="27"/>
      <c r="G4754" s="7"/>
    </row>
    <row r="4755" spans="2:7" x14ac:dyDescent="0.25">
      <c r="B4755" s="25"/>
      <c r="C4755" s="7"/>
      <c r="D4755" s="7"/>
      <c r="E4755" s="27"/>
      <c r="F4755" s="27"/>
      <c r="G4755" s="7"/>
    </row>
    <row r="4756" spans="2:7" x14ac:dyDescent="0.25">
      <c r="B4756" s="25"/>
      <c r="C4756" s="7"/>
      <c r="D4756" s="7"/>
      <c r="E4756" s="27"/>
      <c r="F4756" s="27"/>
      <c r="G4756" s="7"/>
    </row>
    <row r="4757" spans="2:7" x14ac:dyDescent="0.25">
      <c r="B4757" s="25"/>
      <c r="C4757" s="7"/>
      <c r="D4757" s="7"/>
      <c r="E4757" s="27"/>
      <c r="F4757" s="27"/>
      <c r="G4757" s="7"/>
    </row>
    <row r="4758" spans="2:7" x14ac:dyDescent="0.25">
      <c r="B4758" s="25"/>
      <c r="C4758" s="7"/>
      <c r="D4758" s="7"/>
      <c r="E4758" s="27"/>
      <c r="F4758" s="27"/>
      <c r="G4758" s="7"/>
    </row>
    <row r="4759" spans="2:7" x14ac:dyDescent="0.25">
      <c r="B4759" s="25"/>
      <c r="C4759" s="7"/>
      <c r="D4759" s="7"/>
      <c r="E4759" s="27"/>
      <c r="F4759" s="27"/>
      <c r="G4759" s="7"/>
    </row>
    <row r="4760" spans="2:7" x14ac:dyDescent="0.25">
      <c r="B4760" s="25"/>
      <c r="C4760" s="7"/>
      <c r="D4760" s="7"/>
      <c r="E4760" s="27"/>
      <c r="F4760" s="27"/>
      <c r="G4760" s="7"/>
    </row>
    <row r="4761" spans="2:7" x14ac:dyDescent="0.25">
      <c r="B4761" s="25"/>
      <c r="C4761" s="7"/>
      <c r="D4761" s="7"/>
      <c r="E4761" s="27"/>
      <c r="F4761" s="27"/>
      <c r="G4761" s="7"/>
    </row>
    <row r="4762" spans="2:7" x14ac:dyDescent="0.25">
      <c r="B4762" s="25"/>
      <c r="C4762" s="7"/>
      <c r="D4762" s="7"/>
      <c r="E4762" s="27"/>
      <c r="F4762" s="27"/>
      <c r="G4762" s="7"/>
    </row>
    <row r="4763" spans="2:7" x14ac:dyDescent="0.25">
      <c r="B4763" s="25"/>
      <c r="C4763" s="7"/>
      <c r="D4763" s="7"/>
      <c r="E4763" s="27"/>
      <c r="F4763" s="27"/>
      <c r="G4763" s="7"/>
    </row>
    <row r="4764" spans="2:7" x14ac:dyDescent="0.25">
      <c r="B4764" s="25"/>
      <c r="C4764" s="7"/>
      <c r="D4764" s="7"/>
      <c r="E4764" s="27"/>
      <c r="F4764" s="27"/>
      <c r="G4764" s="7"/>
    </row>
    <row r="4765" spans="2:7" x14ac:dyDescent="0.25">
      <c r="B4765" s="25"/>
      <c r="C4765" s="7"/>
      <c r="D4765" s="7"/>
      <c r="E4765" s="27"/>
      <c r="F4765" s="27"/>
      <c r="G4765" s="7"/>
    </row>
    <row r="4766" spans="2:7" x14ac:dyDescent="0.25">
      <c r="B4766" s="25"/>
      <c r="C4766" s="7"/>
      <c r="D4766" s="7"/>
      <c r="E4766" s="27"/>
      <c r="F4766" s="27"/>
      <c r="G4766" s="7"/>
    </row>
    <row r="4767" spans="2:7" x14ac:dyDescent="0.25">
      <c r="B4767" s="25"/>
      <c r="C4767" s="7"/>
      <c r="D4767" s="7"/>
      <c r="E4767" s="27"/>
      <c r="F4767" s="27"/>
      <c r="G4767" s="7"/>
    </row>
    <row r="4768" spans="2:7" x14ac:dyDescent="0.25">
      <c r="B4768" s="25"/>
      <c r="C4768" s="7"/>
      <c r="D4768" s="7"/>
      <c r="E4768" s="27"/>
      <c r="F4768" s="27"/>
      <c r="G4768" s="7"/>
    </row>
    <row r="4769" spans="2:7" x14ac:dyDescent="0.25">
      <c r="B4769" s="25"/>
      <c r="C4769" s="7"/>
      <c r="D4769" s="7"/>
      <c r="E4769" s="27"/>
      <c r="F4769" s="27"/>
      <c r="G4769" s="7"/>
    </row>
    <row r="4770" spans="2:7" x14ac:dyDescent="0.25">
      <c r="B4770" s="25"/>
      <c r="C4770" s="7"/>
      <c r="D4770" s="7"/>
      <c r="E4770" s="27"/>
      <c r="F4770" s="27"/>
      <c r="G4770" s="7"/>
    </row>
    <row r="4771" spans="2:7" x14ac:dyDescent="0.25">
      <c r="B4771" s="25"/>
      <c r="C4771" s="7"/>
      <c r="D4771" s="7"/>
      <c r="E4771" s="27"/>
      <c r="F4771" s="27"/>
      <c r="G4771" s="7"/>
    </row>
    <row r="4772" spans="2:7" x14ac:dyDescent="0.25">
      <c r="B4772" s="25"/>
      <c r="C4772" s="7"/>
      <c r="D4772" s="7"/>
      <c r="E4772" s="27"/>
      <c r="F4772" s="27"/>
      <c r="G4772" s="7"/>
    </row>
    <row r="4773" spans="2:7" x14ac:dyDescent="0.25">
      <c r="B4773" s="25"/>
      <c r="C4773" s="7"/>
      <c r="D4773" s="7"/>
      <c r="E4773" s="27"/>
      <c r="F4773" s="27"/>
      <c r="G4773" s="7"/>
    </row>
    <row r="4774" spans="2:7" x14ac:dyDescent="0.25">
      <c r="B4774" s="25"/>
      <c r="C4774" s="7"/>
      <c r="D4774" s="7"/>
      <c r="E4774" s="27"/>
      <c r="F4774" s="27"/>
      <c r="G4774" s="7"/>
    </row>
    <row r="4775" spans="2:7" x14ac:dyDescent="0.25">
      <c r="B4775" s="25"/>
      <c r="C4775" s="7"/>
      <c r="D4775" s="7"/>
      <c r="E4775" s="27"/>
      <c r="F4775" s="27"/>
      <c r="G4775" s="7"/>
    </row>
    <row r="4776" spans="2:7" x14ac:dyDescent="0.25">
      <c r="B4776" s="25"/>
      <c r="C4776" s="7"/>
      <c r="D4776" s="7"/>
      <c r="E4776" s="27"/>
      <c r="F4776" s="27"/>
      <c r="G4776" s="7"/>
    </row>
    <row r="4777" spans="2:7" x14ac:dyDescent="0.25">
      <c r="B4777" s="25"/>
      <c r="C4777" s="7"/>
      <c r="D4777" s="7"/>
      <c r="E4777" s="27"/>
      <c r="F4777" s="27"/>
      <c r="G4777" s="7"/>
    </row>
    <row r="4778" spans="2:7" x14ac:dyDescent="0.25">
      <c r="B4778" s="25"/>
      <c r="C4778" s="7"/>
      <c r="D4778" s="7"/>
      <c r="E4778" s="27"/>
      <c r="F4778" s="27"/>
      <c r="G4778" s="7"/>
    </row>
    <row r="4779" spans="2:7" x14ac:dyDescent="0.25">
      <c r="B4779" s="25"/>
      <c r="C4779" s="7"/>
      <c r="D4779" s="7"/>
      <c r="E4779" s="27"/>
      <c r="F4779" s="27"/>
      <c r="G4779" s="7"/>
    </row>
    <row r="4780" spans="2:7" x14ac:dyDescent="0.25">
      <c r="B4780" s="25"/>
      <c r="C4780" s="7"/>
      <c r="D4780" s="7"/>
      <c r="E4780" s="27"/>
      <c r="F4780" s="27"/>
      <c r="G4780" s="7"/>
    </row>
    <row r="4781" spans="2:7" x14ac:dyDescent="0.25">
      <c r="B4781" s="25"/>
      <c r="C4781" s="7"/>
      <c r="D4781" s="7"/>
      <c r="E4781" s="27"/>
      <c r="F4781" s="27"/>
      <c r="G4781" s="7"/>
    </row>
    <row r="4782" spans="2:7" x14ac:dyDescent="0.25">
      <c r="B4782" s="25"/>
      <c r="C4782" s="7"/>
      <c r="D4782" s="7"/>
      <c r="E4782" s="27"/>
      <c r="F4782" s="27"/>
      <c r="G4782" s="7"/>
    </row>
    <row r="4783" spans="2:7" x14ac:dyDescent="0.25">
      <c r="B4783" s="25"/>
      <c r="C4783" s="7"/>
      <c r="D4783" s="7"/>
      <c r="E4783" s="27"/>
      <c r="F4783" s="27"/>
      <c r="G4783" s="7"/>
    </row>
    <row r="4784" spans="2:7" x14ac:dyDescent="0.25">
      <c r="B4784" s="25"/>
      <c r="C4784" s="7"/>
      <c r="D4784" s="7"/>
      <c r="E4784" s="27"/>
      <c r="F4784" s="27"/>
      <c r="G4784" s="7"/>
    </row>
    <row r="4785" spans="2:7" x14ac:dyDescent="0.25">
      <c r="B4785" s="25"/>
      <c r="C4785" s="7"/>
      <c r="D4785" s="7"/>
      <c r="E4785" s="27"/>
      <c r="F4785" s="27"/>
      <c r="G4785" s="7"/>
    </row>
    <row r="4786" spans="2:7" x14ac:dyDescent="0.25">
      <c r="B4786" s="25"/>
      <c r="C4786" s="7"/>
      <c r="D4786" s="7"/>
      <c r="E4786" s="27"/>
      <c r="F4786" s="27"/>
      <c r="G4786" s="7"/>
    </row>
    <row r="4787" spans="2:7" x14ac:dyDescent="0.25">
      <c r="B4787" s="25"/>
      <c r="C4787" s="7"/>
      <c r="D4787" s="7"/>
      <c r="E4787" s="27"/>
      <c r="F4787" s="27"/>
      <c r="G4787" s="7"/>
    </row>
    <row r="4788" spans="2:7" x14ac:dyDescent="0.25">
      <c r="B4788" s="25"/>
      <c r="C4788" s="7"/>
      <c r="D4788" s="7"/>
      <c r="E4788" s="27"/>
      <c r="F4788" s="27"/>
      <c r="G4788" s="7"/>
    </row>
    <row r="4789" spans="2:7" x14ac:dyDescent="0.25">
      <c r="B4789" s="25"/>
      <c r="C4789" s="7"/>
      <c r="D4789" s="7"/>
      <c r="E4789" s="27"/>
      <c r="F4789" s="27"/>
      <c r="G4789" s="7"/>
    </row>
    <row r="4790" spans="2:7" x14ac:dyDescent="0.25">
      <c r="B4790" s="25"/>
      <c r="C4790" s="7"/>
      <c r="D4790" s="7"/>
      <c r="E4790" s="27"/>
      <c r="F4790" s="27"/>
      <c r="G4790" s="7"/>
    </row>
    <row r="4791" spans="2:7" x14ac:dyDescent="0.25">
      <c r="B4791" s="25"/>
      <c r="C4791" s="7"/>
      <c r="D4791" s="7"/>
      <c r="E4791" s="27"/>
      <c r="F4791" s="27"/>
      <c r="G4791" s="7"/>
    </row>
    <row r="4792" spans="2:7" x14ac:dyDescent="0.25">
      <c r="B4792" s="25"/>
      <c r="C4792" s="7"/>
      <c r="D4792" s="7"/>
      <c r="E4792" s="27"/>
      <c r="F4792" s="27"/>
      <c r="G4792" s="7"/>
    </row>
    <row r="4793" spans="2:7" x14ac:dyDescent="0.25">
      <c r="B4793" s="25"/>
      <c r="C4793" s="7"/>
      <c r="D4793" s="7"/>
      <c r="E4793" s="27"/>
      <c r="F4793" s="27"/>
      <c r="G4793" s="7"/>
    </row>
    <row r="4794" spans="2:7" x14ac:dyDescent="0.25">
      <c r="B4794" s="25"/>
      <c r="C4794" s="7"/>
      <c r="D4794" s="7"/>
      <c r="E4794" s="27"/>
      <c r="F4794" s="27"/>
      <c r="G4794" s="7"/>
    </row>
    <row r="4795" spans="2:7" x14ac:dyDescent="0.25">
      <c r="B4795" s="25"/>
      <c r="C4795" s="7"/>
      <c r="D4795" s="7"/>
      <c r="E4795" s="27"/>
      <c r="F4795" s="27"/>
      <c r="G4795" s="7"/>
    </row>
    <row r="4796" spans="2:7" x14ac:dyDescent="0.25">
      <c r="B4796" s="25"/>
      <c r="C4796" s="7"/>
      <c r="D4796" s="7"/>
      <c r="E4796" s="27"/>
      <c r="F4796" s="27"/>
      <c r="G4796" s="7"/>
    </row>
    <row r="4797" spans="2:7" x14ac:dyDescent="0.25">
      <c r="B4797" s="25"/>
      <c r="C4797" s="7"/>
      <c r="D4797" s="7"/>
      <c r="E4797" s="27"/>
      <c r="F4797" s="27"/>
      <c r="G4797" s="7"/>
    </row>
    <row r="4798" spans="2:7" x14ac:dyDescent="0.25">
      <c r="B4798" s="25"/>
      <c r="C4798" s="7"/>
      <c r="D4798" s="7"/>
      <c r="E4798" s="27"/>
      <c r="F4798" s="27"/>
      <c r="G4798" s="7"/>
    </row>
    <row r="4799" spans="2:7" x14ac:dyDescent="0.25">
      <c r="B4799" s="25"/>
      <c r="C4799" s="7"/>
      <c r="D4799" s="7"/>
      <c r="E4799" s="27"/>
      <c r="F4799" s="27"/>
      <c r="G4799" s="7"/>
    </row>
    <row r="4800" spans="2:7" x14ac:dyDescent="0.25">
      <c r="B4800" s="25"/>
      <c r="C4800" s="7"/>
      <c r="D4800" s="7"/>
      <c r="E4800" s="27"/>
      <c r="F4800" s="27"/>
      <c r="G4800" s="7"/>
    </row>
    <row r="4801" spans="2:7" x14ac:dyDescent="0.25">
      <c r="B4801" s="25"/>
      <c r="C4801" s="7"/>
      <c r="D4801" s="7"/>
      <c r="E4801" s="27"/>
      <c r="F4801" s="27"/>
      <c r="G4801" s="7"/>
    </row>
    <row r="4802" spans="2:7" x14ac:dyDescent="0.25">
      <c r="B4802" s="25"/>
      <c r="C4802" s="7"/>
      <c r="D4802" s="7"/>
      <c r="E4802" s="27"/>
      <c r="F4802" s="27"/>
      <c r="G4802" s="7"/>
    </row>
    <row r="4803" spans="2:7" x14ac:dyDescent="0.25">
      <c r="B4803" s="25"/>
      <c r="C4803" s="7"/>
      <c r="D4803" s="7"/>
      <c r="E4803" s="27"/>
      <c r="F4803" s="27"/>
      <c r="G4803" s="7"/>
    </row>
    <row r="4804" spans="2:7" x14ac:dyDescent="0.25">
      <c r="B4804" s="25"/>
      <c r="C4804" s="7"/>
      <c r="D4804" s="7"/>
      <c r="E4804" s="27"/>
      <c r="F4804" s="27"/>
      <c r="G4804" s="7"/>
    </row>
    <row r="4805" spans="2:7" x14ac:dyDescent="0.25">
      <c r="B4805" s="25"/>
      <c r="C4805" s="7"/>
      <c r="D4805" s="7"/>
      <c r="E4805" s="27"/>
      <c r="F4805" s="27"/>
      <c r="G4805" s="7"/>
    </row>
    <row r="4806" spans="2:7" x14ac:dyDescent="0.25">
      <c r="B4806" s="25"/>
      <c r="C4806" s="7"/>
      <c r="D4806" s="7"/>
      <c r="E4806" s="27"/>
      <c r="F4806" s="27"/>
      <c r="G4806" s="7"/>
    </row>
    <row r="4807" spans="2:7" x14ac:dyDescent="0.25">
      <c r="B4807" s="25"/>
      <c r="C4807" s="7"/>
      <c r="D4807" s="7"/>
      <c r="E4807" s="27"/>
      <c r="F4807" s="27"/>
      <c r="G4807" s="7"/>
    </row>
    <row r="4808" spans="2:7" x14ac:dyDescent="0.25">
      <c r="B4808" s="25"/>
      <c r="C4808" s="7"/>
      <c r="D4808" s="7"/>
      <c r="E4808" s="27"/>
      <c r="F4808" s="27"/>
      <c r="G4808" s="7"/>
    </row>
    <row r="4809" spans="2:7" x14ac:dyDescent="0.25">
      <c r="B4809" s="25"/>
      <c r="C4809" s="7"/>
      <c r="D4809" s="7"/>
      <c r="E4809" s="27"/>
      <c r="F4809" s="27"/>
      <c r="G4809" s="7"/>
    </row>
    <row r="4810" spans="2:7" x14ac:dyDescent="0.25">
      <c r="B4810" s="25"/>
      <c r="C4810" s="7"/>
      <c r="D4810" s="7"/>
      <c r="E4810" s="27"/>
      <c r="F4810" s="27"/>
      <c r="G4810" s="7"/>
    </row>
    <row r="4811" spans="2:7" x14ac:dyDescent="0.25">
      <c r="B4811" s="25"/>
      <c r="C4811" s="7"/>
      <c r="D4811" s="7"/>
      <c r="E4811" s="27"/>
      <c r="F4811" s="27"/>
      <c r="G4811" s="7"/>
    </row>
    <row r="4812" spans="2:7" x14ac:dyDescent="0.25">
      <c r="B4812" s="25"/>
      <c r="C4812" s="7"/>
      <c r="D4812" s="7"/>
      <c r="E4812" s="27"/>
      <c r="F4812" s="27"/>
      <c r="G4812" s="7"/>
    </row>
    <row r="4813" spans="2:7" x14ac:dyDescent="0.25">
      <c r="B4813" s="25"/>
      <c r="C4813" s="7"/>
      <c r="D4813" s="7"/>
      <c r="E4813" s="27"/>
      <c r="F4813" s="27"/>
      <c r="G4813" s="7"/>
    </row>
    <row r="4814" spans="2:7" x14ac:dyDescent="0.25">
      <c r="B4814" s="25"/>
      <c r="C4814" s="7"/>
      <c r="D4814" s="7"/>
      <c r="E4814" s="27"/>
      <c r="F4814" s="27"/>
      <c r="G4814" s="7"/>
    </row>
    <row r="4815" spans="2:7" x14ac:dyDescent="0.25">
      <c r="B4815" s="25"/>
      <c r="C4815" s="7"/>
      <c r="D4815" s="7"/>
      <c r="E4815" s="27"/>
      <c r="F4815" s="27"/>
      <c r="G4815" s="7"/>
    </row>
    <row r="4816" spans="2:7" x14ac:dyDescent="0.25">
      <c r="B4816" s="25"/>
      <c r="C4816" s="7"/>
      <c r="D4816" s="7"/>
      <c r="E4816" s="27"/>
      <c r="F4816" s="27"/>
      <c r="G4816" s="7"/>
    </row>
    <row r="4817" spans="2:7" x14ac:dyDescent="0.25">
      <c r="B4817" s="25"/>
      <c r="C4817" s="7"/>
      <c r="D4817" s="7"/>
      <c r="E4817" s="27"/>
      <c r="F4817" s="27"/>
      <c r="G4817" s="7"/>
    </row>
    <row r="4818" spans="2:7" x14ac:dyDescent="0.25">
      <c r="B4818" s="25"/>
      <c r="C4818" s="7"/>
      <c r="D4818" s="7"/>
      <c r="E4818" s="27"/>
      <c r="F4818" s="27"/>
      <c r="G4818" s="7"/>
    </row>
    <row r="4819" spans="2:7" x14ac:dyDescent="0.25">
      <c r="B4819" s="25"/>
      <c r="C4819" s="7"/>
      <c r="D4819" s="7"/>
      <c r="E4819" s="27"/>
      <c r="F4819" s="27"/>
      <c r="G4819" s="7"/>
    </row>
    <row r="4820" spans="2:7" x14ac:dyDescent="0.25">
      <c r="B4820" s="25"/>
      <c r="C4820" s="7"/>
      <c r="D4820" s="7"/>
      <c r="E4820" s="27"/>
      <c r="F4820" s="27"/>
      <c r="G4820" s="7"/>
    </row>
    <row r="4821" spans="2:7" x14ac:dyDescent="0.25">
      <c r="B4821" s="25"/>
      <c r="C4821" s="7"/>
      <c r="D4821" s="7"/>
      <c r="E4821" s="27"/>
      <c r="F4821" s="27"/>
      <c r="G4821" s="7"/>
    </row>
    <row r="4822" spans="2:7" x14ac:dyDescent="0.25">
      <c r="B4822" s="25"/>
      <c r="C4822" s="7"/>
      <c r="D4822" s="7"/>
      <c r="E4822" s="27"/>
      <c r="F4822" s="27"/>
      <c r="G4822" s="7"/>
    </row>
    <row r="4823" spans="2:7" x14ac:dyDescent="0.25">
      <c r="B4823" s="25"/>
      <c r="C4823" s="7"/>
      <c r="D4823" s="7"/>
      <c r="E4823" s="27"/>
      <c r="F4823" s="27"/>
      <c r="G4823" s="7"/>
    </row>
    <row r="4824" spans="2:7" x14ac:dyDescent="0.25">
      <c r="B4824" s="25"/>
      <c r="C4824" s="7"/>
      <c r="D4824" s="7"/>
      <c r="E4824" s="27"/>
      <c r="F4824" s="27"/>
      <c r="G4824" s="7"/>
    </row>
    <row r="4825" spans="2:7" x14ac:dyDescent="0.25">
      <c r="B4825" s="25"/>
      <c r="C4825" s="7"/>
      <c r="D4825" s="7"/>
      <c r="E4825" s="27"/>
      <c r="F4825" s="27"/>
      <c r="G4825" s="7"/>
    </row>
    <row r="4826" spans="2:7" x14ac:dyDescent="0.25">
      <c r="B4826" s="25"/>
      <c r="C4826" s="7"/>
      <c r="D4826" s="7"/>
      <c r="E4826" s="27"/>
      <c r="F4826" s="27"/>
      <c r="G4826" s="7"/>
    </row>
    <row r="4827" spans="2:7" x14ac:dyDescent="0.25">
      <c r="B4827" s="25"/>
      <c r="C4827" s="7"/>
      <c r="D4827" s="7"/>
      <c r="E4827" s="27"/>
      <c r="F4827" s="27"/>
      <c r="G4827" s="7"/>
    </row>
    <row r="4828" spans="2:7" x14ac:dyDescent="0.25">
      <c r="B4828" s="25"/>
      <c r="C4828" s="7"/>
      <c r="D4828" s="7"/>
      <c r="E4828" s="27"/>
      <c r="F4828" s="27"/>
      <c r="G4828" s="7"/>
    </row>
    <row r="4829" spans="2:7" x14ac:dyDescent="0.25">
      <c r="B4829" s="25"/>
      <c r="C4829" s="7"/>
      <c r="D4829" s="7"/>
      <c r="E4829" s="27"/>
      <c r="F4829" s="27"/>
      <c r="G4829" s="7"/>
    </row>
    <row r="4830" spans="2:7" x14ac:dyDescent="0.25">
      <c r="B4830" s="25"/>
      <c r="C4830" s="7"/>
      <c r="D4830" s="7"/>
      <c r="E4830" s="27"/>
      <c r="F4830" s="27"/>
      <c r="G4830" s="7"/>
    </row>
    <row r="4831" spans="2:7" x14ac:dyDescent="0.25">
      <c r="B4831" s="25"/>
      <c r="C4831" s="7"/>
      <c r="D4831" s="7"/>
      <c r="E4831" s="27"/>
      <c r="F4831" s="27"/>
      <c r="G4831" s="7"/>
    </row>
    <row r="4832" spans="2:7" x14ac:dyDescent="0.25">
      <c r="B4832" s="25"/>
      <c r="C4832" s="7"/>
      <c r="D4832" s="7"/>
      <c r="E4832" s="27"/>
      <c r="F4832" s="27"/>
      <c r="G4832" s="7"/>
    </row>
    <row r="4833" spans="2:7" x14ac:dyDescent="0.25">
      <c r="B4833" s="25"/>
      <c r="C4833" s="7"/>
      <c r="D4833" s="7"/>
      <c r="E4833" s="27"/>
      <c r="F4833" s="27"/>
      <c r="G4833" s="7"/>
    </row>
    <row r="4834" spans="2:7" x14ac:dyDescent="0.25">
      <c r="B4834" s="25"/>
      <c r="C4834" s="7"/>
      <c r="D4834" s="7"/>
      <c r="E4834" s="27"/>
      <c r="F4834" s="27"/>
      <c r="G4834" s="7"/>
    </row>
    <row r="4835" spans="2:7" x14ac:dyDescent="0.25">
      <c r="B4835" s="25"/>
      <c r="C4835" s="7"/>
      <c r="D4835" s="7"/>
      <c r="E4835" s="27"/>
      <c r="F4835" s="27"/>
      <c r="G4835" s="7"/>
    </row>
    <row r="4836" spans="2:7" x14ac:dyDescent="0.25">
      <c r="B4836" s="25"/>
      <c r="C4836" s="7"/>
      <c r="D4836" s="7"/>
      <c r="E4836" s="27"/>
      <c r="F4836" s="27"/>
      <c r="G4836" s="7"/>
    </row>
    <row r="4837" spans="2:7" x14ac:dyDescent="0.25">
      <c r="B4837" s="25"/>
      <c r="C4837" s="7"/>
      <c r="D4837" s="7"/>
      <c r="E4837" s="27"/>
      <c r="F4837" s="27"/>
      <c r="G4837" s="7"/>
    </row>
    <row r="4838" spans="2:7" x14ac:dyDescent="0.25">
      <c r="B4838" s="25"/>
      <c r="C4838" s="7"/>
      <c r="D4838" s="7"/>
      <c r="E4838" s="27"/>
      <c r="F4838" s="27"/>
      <c r="G4838" s="7"/>
    </row>
    <row r="4839" spans="2:7" x14ac:dyDescent="0.25">
      <c r="B4839" s="25"/>
      <c r="C4839" s="7"/>
      <c r="D4839" s="7"/>
      <c r="E4839" s="27"/>
      <c r="F4839" s="27"/>
      <c r="G4839" s="7"/>
    </row>
    <row r="4840" spans="2:7" x14ac:dyDescent="0.25">
      <c r="B4840" s="25"/>
      <c r="C4840" s="7"/>
      <c r="D4840" s="7"/>
      <c r="E4840" s="27"/>
      <c r="F4840" s="27"/>
      <c r="G4840" s="7"/>
    </row>
    <row r="4841" spans="2:7" x14ac:dyDescent="0.25">
      <c r="B4841" s="25"/>
      <c r="C4841" s="7"/>
      <c r="D4841" s="7"/>
      <c r="E4841" s="27"/>
      <c r="F4841" s="27"/>
      <c r="G4841" s="7"/>
    </row>
    <row r="4842" spans="2:7" x14ac:dyDescent="0.25">
      <c r="B4842" s="25"/>
      <c r="C4842" s="7"/>
      <c r="D4842" s="7"/>
      <c r="E4842" s="27"/>
      <c r="F4842" s="27"/>
      <c r="G4842" s="7"/>
    </row>
    <row r="4843" spans="2:7" x14ac:dyDescent="0.25">
      <c r="B4843" s="25"/>
      <c r="C4843" s="7"/>
      <c r="D4843" s="7"/>
      <c r="E4843" s="27"/>
      <c r="F4843" s="27"/>
      <c r="G4843" s="7"/>
    </row>
    <row r="4844" spans="2:7" x14ac:dyDescent="0.25">
      <c r="B4844" s="25"/>
      <c r="C4844" s="7"/>
      <c r="D4844" s="7"/>
      <c r="E4844" s="27"/>
      <c r="F4844" s="27"/>
      <c r="G4844" s="7"/>
    </row>
    <row r="4845" spans="2:7" x14ac:dyDescent="0.25">
      <c r="B4845" s="25"/>
      <c r="C4845" s="7"/>
      <c r="D4845" s="7"/>
      <c r="E4845" s="27"/>
      <c r="F4845" s="27"/>
      <c r="G4845" s="7"/>
    </row>
    <row r="4846" spans="2:7" x14ac:dyDescent="0.25">
      <c r="B4846" s="25"/>
      <c r="C4846" s="7"/>
      <c r="D4846" s="7"/>
      <c r="E4846" s="27"/>
      <c r="F4846" s="27"/>
      <c r="G4846" s="7"/>
    </row>
    <row r="4847" spans="2:7" x14ac:dyDescent="0.25">
      <c r="B4847" s="25"/>
      <c r="C4847" s="7"/>
      <c r="D4847" s="7"/>
      <c r="E4847" s="27"/>
      <c r="F4847" s="27"/>
      <c r="G4847" s="7"/>
    </row>
    <row r="4848" spans="2:7" x14ac:dyDescent="0.25">
      <c r="B4848" s="25"/>
      <c r="C4848" s="7"/>
      <c r="D4848" s="7"/>
      <c r="E4848" s="27"/>
      <c r="F4848" s="27"/>
      <c r="G4848" s="7"/>
    </row>
    <row r="4849" spans="2:7" x14ac:dyDescent="0.25">
      <c r="B4849" s="25"/>
      <c r="C4849" s="7"/>
      <c r="D4849" s="7"/>
      <c r="E4849" s="27"/>
      <c r="F4849" s="27"/>
      <c r="G4849" s="7"/>
    </row>
    <row r="4850" spans="2:7" x14ac:dyDescent="0.25">
      <c r="B4850" s="25"/>
      <c r="C4850" s="7"/>
      <c r="D4850" s="7"/>
      <c r="E4850" s="27"/>
      <c r="F4850" s="27"/>
      <c r="G4850" s="7"/>
    </row>
    <row r="4851" spans="2:7" x14ac:dyDescent="0.25">
      <c r="B4851" s="25"/>
      <c r="C4851" s="7"/>
      <c r="D4851" s="7"/>
      <c r="E4851" s="27"/>
      <c r="F4851" s="27"/>
      <c r="G4851" s="7"/>
    </row>
    <row r="4852" spans="2:7" x14ac:dyDescent="0.25">
      <c r="B4852" s="25"/>
      <c r="C4852" s="7"/>
      <c r="D4852" s="7"/>
      <c r="E4852" s="27"/>
      <c r="F4852" s="27"/>
      <c r="G4852" s="7"/>
    </row>
    <row r="4853" spans="2:7" x14ac:dyDescent="0.25">
      <c r="B4853" s="25"/>
      <c r="C4853" s="7"/>
      <c r="D4853" s="7"/>
      <c r="E4853" s="27"/>
      <c r="F4853" s="27"/>
      <c r="G4853" s="7"/>
    </row>
    <row r="4854" spans="2:7" x14ac:dyDescent="0.25">
      <c r="B4854" s="25"/>
      <c r="C4854" s="7"/>
      <c r="D4854" s="7"/>
      <c r="E4854" s="27"/>
      <c r="F4854" s="27"/>
      <c r="G4854" s="7"/>
    </row>
    <row r="4855" spans="2:7" x14ac:dyDescent="0.25">
      <c r="B4855" s="25"/>
      <c r="C4855" s="7"/>
      <c r="D4855" s="7"/>
      <c r="E4855" s="27"/>
      <c r="F4855" s="27"/>
      <c r="G4855" s="7"/>
    </row>
    <row r="4856" spans="2:7" x14ac:dyDescent="0.25">
      <c r="B4856" s="25"/>
      <c r="C4856" s="7"/>
      <c r="D4856" s="7"/>
      <c r="E4856" s="27"/>
      <c r="F4856" s="27"/>
      <c r="G4856" s="7"/>
    </row>
    <row r="4857" spans="2:7" x14ac:dyDescent="0.25">
      <c r="B4857" s="25"/>
      <c r="C4857" s="7"/>
      <c r="D4857" s="7"/>
      <c r="E4857" s="27"/>
      <c r="F4857" s="27"/>
      <c r="G4857" s="7"/>
    </row>
    <row r="4858" spans="2:7" x14ac:dyDescent="0.25">
      <c r="B4858" s="25"/>
      <c r="C4858" s="7"/>
      <c r="D4858" s="7"/>
      <c r="E4858" s="27"/>
      <c r="F4858" s="27"/>
      <c r="G4858" s="7"/>
    </row>
    <row r="4859" spans="2:7" x14ac:dyDescent="0.25">
      <c r="B4859" s="25"/>
      <c r="C4859" s="7"/>
      <c r="D4859" s="7"/>
      <c r="E4859" s="27"/>
      <c r="F4859" s="27"/>
      <c r="G4859" s="7"/>
    </row>
    <row r="4860" spans="2:7" x14ac:dyDescent="0.25">
      <c r="B4860" s="25"/>
      <c r="C4860" s="7"/>
      <c r="D4860" s="7"/>
      <c r="E4860" s="27"/>
      <c r="F4860" s="27"/>
      <c r="G4860" s="7"/>
    </row>
    <row r="4861" spans="2:7" x14ac:dyDescent="0.25">
      <c r="B4861" s="25"/>
      <c r="C4861" s="7"/>
      <c r="D4861" s="7"/>
      <c r="E4861" s="27"/>
      <c r="F4861" s="27"/>
      <c r="G4861" s="7"/>
    </row>
    <row r="4862" spans="2:7" x14ac:dyDescent="0.25">
      <c r="B4862" s="25"/>
      <c r="C4862" s="7"/>
      <c r="D4862" s="7"/>
      <c r="E4862" s="27"/>
      <c r="F4862" s="27"/>
      <c r="G4862" s="7"/>
    </row>
    <row r="4863" spans="2:7" x14ac:dyDescent="0.25">
      <c r="B4863" s="25"/>
      <c r="C4863" s="7"/>
      <c r="D4863" s="7"/>
      <c r="E4863" s="27"/>
      <c r="F4863" s="27"/>
      <c r="G4863" s="7"/>
    </row>
    <row r="4864" spans="2:7" x14ac:dyDescent="0.25">
      <c r="B4864" s="25"/>
      <c r="C4864" s="7"/>
      <c r="D4864" s="7"/>
      <c r="E4864" s="27"/>
      <c r="F4864" s="27"/>
      <c r="G4864" s="7"/>
    </row>
    <row r="4865" spans="2:7" x14ac:dyDescent="0.25">
      <c r="B4865" s="25"/>
      <c r="C4865" s="7"/>
      <c r="D4865" s="7"/>
      <c r="E4865" s="27"/>
      <c r="F4865" s="27"/>
      <c r="G4865" s="7"/>
    </row>
    <row r="4866" spans="2:7" x14ac:dyDescent="0.25">
      <c r="B4866" s="25"/>
      <c r="C4866" s="7"/>
      <c r="D4866" s="7"/>
      <c r="E4866" s="27"/>
      <c r="F4866" s="27"/>
      <c r="G4866" s="7"/>
    </row>
    <row r="4867" spans="2:7" x14ac:dyDescent="0.25">
      <c r="B4867" s="25"/>
      <c r="C4867" s="7"/>
      <c r="D4867" s="7"/>
      <c r="E4867" s="27"/>
      <c r="F4867" s="27"/>
      <c r="G4867" s="7"/>
    </row>
    <row r="4868" spans="2:7" x14ac:dyDescent="0.25">
      <c r="B4868" s="25"/>
      <c r="C4868" s="7"/>
      <c r="D4868" s="7"/>
      <c r="E4868" s="27"/>
      <c r="F4868" s="27"/>
      <c r="G4868" s="7"/>
    </row>
    <row r="4869" spans="2:7" x14ac:dyDescent="0.25">
      <c r="B4869" s="25"/>
      <c r="C4869" s="7"/>
      <c r="D4869" s="7"/>
      <c r="E4869" s="27"/>
      <c r="F4869" s="27"/>
      <c r="G4869" s="7"/>
    </row>
    <row r="4870" spans="2:7" x14ac:dyDescent="0.25">
      <c r="B4870" s="25"/>
      <c r="C4870" s="7"/>
      <c r="D4870" s="7"/>
      <c r="E4870" s="27"/>
      <c r="F4870" s="27"/>
      <c r="G4870" s="7"/>
    </row>
    <row r="4871" spans="2:7" x14ac:dyDescent="0.25">
      <c r="B4871" s="25"/>
      <c r="C4871" s="7"/>
      <c r="D4871" s="7"/>
      <c r="E4871" s="27"/>
      <c r="F4871" s="27"/>
      <c r="G4871" s="7"/>
    </row>
    <row r="4872" spans="2:7" x14ac:dyDescent="0.25">
      <c r="B4872" s="25"/>
      <c r="C4872" s="7"/>
      <c r="D4872" s="7"/>
      <c r="E4872" s="27"/>
      <c r="F4872" s="27"/>
      <c r="G4872" s="7"/>
    </row>
    <row r="4873" spans="2:7" x14ac:dyDescent="0.25">
      <c r="B4873" s="25"/>
      <c r="C4873" s="7"/>
      <c r="D4873" s="7"/>
      <c r="E4873" s="27"/>
      <c r="F4873" s="27"/>
      <c r="G4873" s="7"/>
    </row>
    <row r="4874" spans="2:7" x14ac:dyDescent="0.25">
      <c r="B4874" s="25"/>
      <c r="C4874" s="7"/>
      <c r="D4874" s="7"/>
      <c r="E4874" s="27"/>
      <c r="F4874" s="27"/>
      <c r="G4874" s="7"/>
    </row>
    <row r="4875" spans="2:7" x14ac:dyDescent="0.25">
      <c r="B4875" s="25"/>
      <c r="C4875" s="7"/>
      <c r="D4875" s="7"/>
      <c r="E4875" s="27"/>
      <c r="F4875" s="27"/>
      <c r="G4875" s="7"/>
    </row>
    <row r="4876" spans="2:7" x14ac:dyDescent="0.25">
      <c r="B4876" s="25"/>
      <c r="C4876" s="7"/>
      <c r="D4876" s="7"/>
      <c r="E4876" s="27"/>
      <c r="F4876" s="27"/>
      <c r="G4876" s="7"/>
    </row>
    <row r="4877" spans="2:7" x14ac:dyDescent="0.25">
      <c r="B4877" s="25"/>
      <c r="C4877" s="7"/>
      <c r="D4877" s="7"/>
      <c r="E4877" s="27"/>
      <c r="F4877" s="27"/>
      <c r="G4877" s="7"/>
    </row>
    <row r="4878" spans="2:7" x14ac:dyDescent="0.25">
      <c r="B4878" s="25"/>
      <c r="C4878" s="7"/>
      <c r="D4878" s="7"/>
      <c r="E4878" s="27"/>
      <c r="F4878" s="27"/>
      <c r="G4878" s="7"/>
    </row>
    <row r="4879" spans="2:7" x14ac:dyDescent="0.25">
      <c r="B4879" s="25"/>
      <c r="C4879" s="7"/>
      <c r="D4879" s="7"/>
      <c r="E4879" s="27"/>
      <c r="F4879" s="27"/>
      <c r="G4879" s="7"/>
    </row>
    <row r="4880" spans="2:7" x14ac:dyDescent="0.25">
      <c r="B4880" s="25"/>
      <c r="C4880" s="7"/>
      <c r="D4880" s="7"/>
      <c r="E4880" s="27"/>
      <c r="F4880" s="27"/>
      <c r="G4880" s="7"/>
    </row>
    <row r="4881" spans="2:7" x14ac:dyDescent="0.25">
      <c r="B4881" s="25"/>
      <c r="C4881" s="7"/>
      <c r="D4881" s="7"/>
      <c r="E4881" s="27"/>
      <c r="F4881" s="27"/>
      <c r="G4881" s="7"/>
    </row>
    <row r="4882" spans="2:7" x14ac:dyDescent="0.25">
      <c r="B4882" s="25"/>
      <c r="C4882" s="7"/>
      <c r="D4882" s="7"/>
      <c r="E4882" s="27"/>
      <c r="F4882" s="27"/>
      <c r="G4882" s="7"/>
    </row>
    <row r="4883" spans="2:7" x14ac:dyDescent="0.25">
      <c r="B4883" s="25"/>
      <c r="C4883" s="7"/>
      <c r="D4883" s="7"/>
      <c r="E4883" s="27"/>
      <c r="F4883" s="27"/>
      <c r="G4883" s="7"/>
    </row>
    <row r="4884" spans="2:7" x14ac:dyDescent="0.25">
      <c r="B4884" s="25"/>
      <c r="C4884" s="7"/>
      <c r="D4884" s="7"/>
      <c r="E4884" s="27"/>
      <c r="F4884" s="27"/>
      <c r="G4884" s="7"/>
    </row>
    <row r="4885" spans="2:7" x14ac:dyDescent="0.25">
      <c r="B4885" s="25"/>
      <c r="C4885" s="7"/>
      <c r="D4885" s="7"/>
      <c r="E4885" s="27"/>
      <c r="F4885" s="27"/>
      <c r="G4885" s="7"/>
    </row>
    <row r="4886" spans="2:7" x14ac:dyDescent="0.25">
      <c r="B4886" s="25"/>
      <c r="C4886" s="7"/>
      <c r="D4886" s="7"/>
      <c r="E4886" s="27"/>
      <c r="F4886" s="27"/>
      <c r="G4886" s="7"/>
    </row>
    <row r="4887" spans="2:7" x14ac:dyDescent="0.25">
      <c r="B4887" s="25"/>
      <c r="C4887" s="7"/>
      <c r="D4887" s="7"/>
      <c r="E4887" s="27"/>
      <c r="F4887" s="27"/>
      <c r="G4887" s="7"/>
    </row>
    <row r="4888" spans="2:7" x14ac:dyDescent="0.25">
      <c r="B4888" s="25"/>
      <c r="C4888" s="7"/>
      <c r="D4888" s="7"/>
      <c r="E4888" s="27"/>
      <c r="F4888" s="27"/>
      <c r="G4888" s="7"/>
    </row>
    <row r="4889" spans="2:7" x14ac:dyDescent="0.25">
      <c r="B4889" s="25"/>
      <c r="C4889" s="7"/>
      <c r="D4889" s="7"/>
      <c r="E4889" s="27"/>
      <c r="F4889" s="27"/>
      <c r="G4889" s="7"/>
    </row>
    <row r="4890" spans="2:7" x14ac:dyDescent="0.25">
      <c r="B4890" s="25"/>
      <c r="C4890" s="7"/>
      <c r="D4890" s="7"/>
      <c r="E4890" s="27"/>
      <c r="F4890" s="27"/>
      <c r="G4890" s="7"/>
    </row>
    <row r="4891" spans="2:7" x14ac:dyDescent="0.25">
      <c r="B4891" s="25"/>
      <c r="C4891" s="7"/>
      <c r="D4891" s="7"/>
      <c r="E4891" s="27"/>
      <c r="F4891" s="27"/>
      <c r="G4891" s="7"/>
    </row>
    <row r="4892" spans="2:7" x14ac:dyDescent="0.25">
      <c r="B4892" s="25"/>
      <c r="C4892" s="7"/>
      <c r="D4892" s="7"/>
      <c r="E4892" s="27"/>
      <c r="F4892" s="27"/>
      <c r="G4892" s="7"/>
    </row>
    <row r="4893" spans="2:7" x14ac:dyDescent="0.25">
      <c r="B4893" s="25"/>
      <c r="C4893" s="7"/>
      <c r="D4893" s="7"/>
      <c r="E4893" s="27"/>
      <c r="F4893" s="27"/>
      <c r="G4893" s="7"/>
    </row>
    <row r="4894" spans="2:7" x14ac:dyDescent="0.25">
      <c r="B4894" s="25"/>
      <c r="C4894" s="7"/>
      <c r="D4894" s="7"/>
      <c r="E4894" s="27"/>
      <c r="F4894" s="27"/>
      <c r="G4894" s="7"/>
    </row>
    <row r="4895" spans="2:7" x14ac:dyDescent="0.25">
      <c r="B4895" s="25"/>
      <c r="C4895" s="7"/>
      <c r="D4895" s="7"/>
      <c r="E4895" s="27"/>
      <c r="F4895" s="27"/>
      <c r="G4895" s="7"/>
    </row>
    <row r="4896" spans="2:7" x14ac:dyDescent="0.25">
      <c r="B4896" s="25"/>
      <c r="C4896" s="7"/>
      <c r="D4896" s="7"/>
      <c r="E4896" s="27"/>
      <c r="F4896" s="27"/>
      <c r="G4896" s="7"/>
    </row>
    <row r="4897" spans="2:7" x14ac:dyDescent="0.25">
      <c r="B4897" s="25"/>
      <c r="C4897" s="7"/>
      <c r="D4897" s="7"/>
      <c r="E4897" s="27"/>
      <c r="F4897" s="27"/>
      <c r="G4897" s="7"/>
    </row>
    <row r="4898" spans="2:7" x14ac:dyDescent="0.25">
      <c r="B4898" s="25"/>
      <c r="C4898" s="7"/>
      <c r="D4898" s="7"/>
      <c r="E4898" s="27"/>
      <c r="F4898" s="27"/>
      <c r="G4898" s="7"/>
    </row>
    <row r="4899" spans="2:7" x14ac:dyDescent="0.25">
      <c r="B4899" s="25"/>
      <c r="C4899" s="7"/>
      <c r="D4899" s="7"/>
      <c r="E4899" s="27"/>
      <c r="F4899" s="27"/>
      <c r="G4899" s="7"/>
    </row>
    <row r="4900" spans="2:7" x14ac:dyDescent="0.25">
      <c r="B4900" s="25"/>
      <c r="C4900" s="7"/>
      <c r="D4900" s="7"/>
      <c r="E4900" s="27"/>
      <c r="F4900" s="27"/>
      <c r="G4900" s="7"/>
    </row>
    <row r="4901" spans="2:7" x14ac:dyDescent="0.25">
      <c r="B4901" s="25"/>
      <c r="C4901" s="7"/>
      <c r="D4901" s="7"/>
      <c r="E4901" s="27"/>
      <c r="F4901" s="27"/>
      <c r="G4901" s="7"/>
    </row>
    <row r="4902" spans="2:7" x14ac:dyDescent="0.25">
      <c r="B4902" s="25"/>
      <c r="C4902" s="7"/>
      <c r="D4902" s="7"/>
      <c r="E4902" s="27"/>
      <c r="F4902" s="27"/>
      <c r="G4902" s="7"/>
    </row>
    <row r="4903" spans="2:7" x14ac:dyDescent="0.25">
      <c r="B4903" s="25"/>
      <c r="C4903" s="7"/>
      <c r="D4903" s="7"/>
      <c r="E4903" s="27"/>
      <c r="F4903" s="27"/>
      <c r="G4903" s="7"/>
    </row>
    <row r="4904" spans="2:7" x14ac:dyDescent="0.25">
      <c r="B4904" s="25"/>
      <c r="C4904" s="7"/>
      <c r="D4904" s="7"/>
      <c r="E4904" s="27"/>
      <c r="F4904" s="27"/>
      <c r="G4904" s="7"/>
    </row>
    <row r="4905" spans="2:7" x14ac:dyDescent="0.25">
      <c r="B4905" s="25"/>
      <c r="C4905" s="7"/>
      <c r="D4905" s="7"/>
      <c r="E4905" s="27"/>
      <c r="F4905" s="27"/>
      <c r="G4905" s="7"/>
    </row>
    <row r="4906" spans="2:7" x14ac:dyDescent="0.25">
      <c r="B4906" s="25"/>
      <c r="C4906" s="7"/>
      <c r="D4906" s="7"/>
      <c r="E4906" s="27"/>
      <c r="F4906" s="27"/>
      <c r="G4906" s="7"/>
    </row>
    <row r="4907" spans="2:7" x14ac:dyDescent="0.25">
      <c r="B4907" s="25"/>
      <c r="C4907" s="7"/>
      <c r="D4907" s="7"/>
      <c r="E4907" s="27"/>
      <c r="F4907" s="27"/>
      <c r="G4907" s="7"/>
    </row>
    <row r="4908" spans="2:7" x14ac:dyDescent="0.25">
      <c r="B4908" s="25"/>
      <c r="C4908" s="7"/>
      <c r="D4908" s="7"/>
      <c r="E4908" s="27"/>
      <c r="F4908" s="27"/>
      <c r="G4908" s="7"/>
    </row>
    <row r="4909" spans="2:7" x14ac:dyDescent="0.25">
      <c r="B4909" s="25"/>
      <c r="C4909" s="7"/>
      <c r="D4909" s="7"/>
      <c r="E4909" s="27"/>
      <c r="F4909" s="27"/>
      <c r="G4909" s="7"/>
    </row>
    <row r="4910" spans="2:7" x14ac:dyDescent="0.25">
      <c r="B4910" s="25"/>
      <c r="C4910" s="7"/>
      <c r="D4910" s="7"/>
      <c r="E4910" s="27"/>
      <c r="F4910" s="27"/>
      <c r="G4910" s="7"/>
    </row>
    <row r="4911" spans="2:7" x14ac:dyDescent="0.25">
      <c r="B4911" s="25"/>
      <c r="C4911" s="7"/>
      <c r="D4911" s="7"/>
      <c r="E4911" s="27"/>
      <c r="F4911" s="27"/>
      <c r="G4911" s="7"/>
    </row>
    <row r="4912" spans="2:7" x14ac:dyDescent="0.25">
      <c r="B4912" s="25"/>
      <c r="C4912" s="7"/>
      <c r="D4912" s="7"/>
      <c r="E4912" s="27"/>
      <c r="F4912" s="27"/>
      <c r="G4912" s="7"/>
    </row>
    <row r="4913" spans="2:7" x14ac:dyDescent="0.25">
      <c r="B4913" s="25"/>
      <c r="C4913" s="7"/>
      <c r="D4913" s="7"/>
      <c r="E4913" s="27"/>
      <c r="F4913" s="27"/>
      <c r="G4913" s="7"/>
    </row>
    <row r="4914" spans="2:7" x14ac:dyDescent="0.25">
      <c r="B4914" s="25"/>
      <c r="C4914" s="7"/>
      <c r="D4914" s="7"/>
      <c r="E4914" s="27"/>
      <c r="F4914" s="27"/>
      <c r="G4914" s="7"/>
    </row>
    <row r="4915" spans="2:7" x14ac:dyDescent="0.25">
      <c r="B4915" s="25"/>
      <c r="C4915" s="7"/>
      <c r="D4915" s="7"/>
      <c r="E4915" s="27"/>
      <c r="F4915" s="27"/>
      <c r="G4915" s="7"/>
    </row>
    <row r="4916" spans="2:7" x14ac:dyDescent="0.25">
      <c r="B4916" s="25"/>
      <c r="C4916" s="7"/>
      <c r="D4916" s="7"/>
      <c r="E4916" s="27"/>
      <c r="F4916" s="27"/>
      <c r="G4916" s="7"/>
    </row>
    <row r="4917" spans="2:7" x14ac:dyDescent="0.25">
      <c r="B4917" s="25"/>
      <c r="C4917" s="7"/>
      <c r="D4917" s="7"/>
      <c r="E4917" s="27"/>
      <c r="F4917" s="27"/>
      <c r="G4917" s="7"/>
    </row>
    <row r="4918" spans="2:7" x14ac:dyDescent="0.25">
      <c r="B4918" s="25"/>
      <c r="C4918" s="7"/>
      <c r="D4918" s="7"/>
      <c r="E4918" s="27"/>
      <c r="F4918" s="27"/>
      <c r="G4918" s="7"/>
    </row>
    <row r="4919" spans="2:7" x14ac:dyDescent="0.25">
      <c r="B4919" s="25"/>
      <c r="C4919" s="7"/>
      <c r="D4919" s="7"/>
      <c r="E4919" s="27"/>
      <c r="F4919" s="27"/>
      <c r="G4919" s="7"/>
    </row>
    <row r="4920" spans="2:7" x14ac:dyDescent="0.25">
      <c r="B4920" s="25"/>
      <c r="C4920" s="7"/>
      <c r="D4920" s="7"/>
      <c r="E4920" s="27"/>
      <c r="F4920" s="27"/>
      <c r="G4920" s="7"/>
    </row>
    <row r="4921" spans="2:7" x14ac:dyDescent="0.25">
      <c r="B4921" s="25"/>
      <c r="C4921" s="7"/>
      <c r="D4921" s="7"/>
      <c r="E4921" s="27"/>
      <c r="F4921" s="27"/>
      <c r="G4921" s="7"/>
    </row>
    <row r="4922" spans="2:7" x14ac:dyDescent="0.25">
      <c r="B4922" s="25"/>
      <c r="C4922" s="7"/>
      <c r="D4922" s="7"/>
      <c r="E4922" s="27"/>
      <c r="F4922" s="27"/>
      <c r="G4922" s="7"/>
    </row>
    <row r="4923" spans="2:7" x14ac:dyDescent="0.25">
      <c r="B4923" s="25"/>
      <c r="C4923" s="7"/>
      <c r="D4923" s="7"/>
      <c r="E4923" s="27"/>
      <c r="F4923" s="27"/>
      <c r="G4923" s="7"/>
    </row>
    <row r="4924" spans="2:7" x14ac:dyDescent="0.25">
      <c r="B4924" s="25"/>
      <c r="C4924" s="7"/>
      <c r="D4924" s="7"/>
      <c r="E4924" s="27"/>
      <c r="F4924" s="27"/>
      <c r="G4924" s="7"/>
    </row>
    <row r="4925" spans="2:7" x14ac:dyDescent="0.25">
      <c r="B4925" s="25"/>
      <c r="C4925" s="7"/>
      <c r="D4925" s="7"/>
      <c r="E4925" s="27"/>
      <c r="F4925" s="27"/>
      <c r="G4925" s="7"/>
    </row>
    <row r="4926" spans="2:7" x14ac:dyDescent="0.25">
      <c r="B4926" s="25"/>
      <c r="C4926" s="7"/>
      <c r="D4926" s="7"/>
      <c r="E4926" s="27"/>
      <c r="F4926" s="27"/>
      <c r="G4926" s="7"/>
    </row>
    <row r="4927" spans="2:7" x14ac:dyDescent="0.25">
      <c r="B4927" s="25"/>
      <c r="C4927" s="7"/>
      <c r="D4927" s="7"/>
      <c r="E4927" s="27"/>
      <c r="F4927" s="27"/>
      <c r="G4927" s="7"/>
    </row>
    <row r="4928" spans="2:7" x14ac:dyDescent="0.25">
      <c r="B4928" s="25"/>
      <c r="C4928" s="7"/>
      <c r="D4928" s="7"/>
      <c r="E4928" s="27"/>
      <c r="F4928" s="27"/>
      <c r="G4928" s="7"/>
    </row>
    <row r="4929" spans="2:7" x14ac:dyDescent="0.25">
      <c r="B4929" s="25"/>
      <c r="C4929" s="7"/>
      <c r="D4929" s="7"/>
      <c r="E4929" s="27"/>
      <c r="F4929" s="27"/>
      <c r="G4929" s="7"/>
    </row>
    <row r="4930" spans="2:7" x14ac:dyDescent="0.25">
      <c r="B4930" s="25"/>
      <c r="C4930" s="7"/>
      <c r="D4930" s="7"/>
      <c r="E4930" s="27"/>
      <c r="F4930" s="27"/>
      <c r="G4930" s="7"/>
    </row>
    <row r="4931" spans="2:7" x14ac:dyDescent="0.25">
      <c r="B4931" s="25"/>
      <c r="C4931" s="7"/>
      <c r="D4931" s="7"/>
      <c r="E4931" s="27"/>
      <c r="F4931" s="27"/>
      <c r="G4931" s="7"/>
    </row>
    <row r="4932" spans="2:7" x14ac:dyDescent="0.25">
      <c r="B4932" s="25"/>
      <c r="C4932" s="7"/>
      <c r="D4932" s="7"/>
      <c r="E4932" s="27"/>
      <c r="F4932" s="27"/>
      <c r="G4932" s="7"/>
    </row>
    <row r="4933" spans="2:7" x14ac:dyDescent="0.25">
      <c r="B4933" s="25"/>
      <c r="C4933" s="7"/>
      <c r="D4933" s="7"/>
      <c r="E4933" s="27"/>
      <c r="F4933" s="27"/>
      <c r="G4933" s="7"/>
    </row>
    <row r="4934" spans="2:7" x14ac:dyDescent="0.25">
      <c r="B4934" s="25"/>
      <c r="C4934" s="7"/>
      <c r="D4934" s="7"/>
      <c r="E4934" s="27"/>
      <c r="F4934" s="27"/>
      <c r="G4934" s="7"/>
    </row>
    <row r="4935" spans="2:7" x14ac:dyDescent="0.25">
      <c r="B4935" s="25"/>
      <c r="C4935" s="7"/>
      <c r="D4935" s="7"/>
      <c r="E4935" s="27"/>
      <c r="F4935" s="27"/>
      <c r="G4935" s="7"/>
    </row>
    <row r="4936" spans="2:7" x14ac:dyDescent="0.25">
      <c r="B4936" s="25"/>
      <c r="C4936" s="7"/>
      <c r="D4936" s="7"/>
      <c r="E4936" s="27"/>
      <c r="F4936" s="27"/>
      <c r="G4936" s="7"/>
    </row>
    <row r="4937" spans="2:7" x14ac:dyDescent="0.25">
      <c r="B4937" s="25"/>
      <c r="C4937" s="7"/>
      <c r="D4937" s="7"/>
      <c r="E4937" s="27"/>
      <c r="F4937" s="27"/>
      <c r="G4937" s="7"/>
    </row>
    <row r="4938" spans="2:7" x14ac:dyDescent="0.25">
      <c r="B4938" s="25"/>
      <c r="C4938" s="7"/>
      <c r="D4938" s="7"/>
      <c r="E4938" s="27"/>
      <c r="F4938" s="27"/>
      <c r="G4938" s="7"/>
    </row>
    <row r="4939" spans="2:7" x14ac:dyDescent="0.25">
      <c r="B4939" s="25"/>
      <c r="C4939" s="7"/>
      <c r="D4939" s="7"/>
      <c r="E4939" s="27"/>
      <c r="F4939" s="27"/>
      <c r="G4939" s="7"/>
    </row>
    <row r="4940" spans="2:7" x14ac:dyDescent="0.25">
      <c r="B4940" s="25"/>
      <c r="C4940" s="7"/>
      <c r="D4940" s="7"/>
      <c r="E4940" s="27"/>
      <c r="F4940" s="27"/>
      <c r="G4940" s="7"/>
    </row>
    <row r="4941" spans="2:7" x14ac:dyDescent="0.25">
      <c r="B4941" s="25"/>
      <c r="C4941" s="7"/>
      <c r="D4941" s="7"/>
      <c r="E4941" s="27"/>
      <c r="F4941" s="27"/>
      <c r="G4941" s="7"/>
    </row>
    <row r="4942" spans="2:7" x14ac:dyDescent="0.25">
      <c r="B4942" s="25"/>
      <c r="C4942" s="7"/>
      <c r="D4942" s="7"/>
      <c r="E4942" s="27"/>
      <c r="F4942" s="27"/>
      <c r="G4942" s="7"/>
    </row>
    <row r="4943" spans="2:7" x14ac:dyDescent="0.25">
      <c r="B4943" s="25"/>
      <c r="C4943" s="7"/>
      <c r="D4943" s="7"/>
      <c r="E4943" s="27"/>
      <c r="F4943" s="27"/>
      <c r="G4943" s="7"/>
    </row>
    <row r="4944" spans="2:7" x14ac:dyDescent="0.25">
      <c r="B4944" s="25"/>
      <c r="C4944" s="7"/>
      <c r="D4944" s="7"/>
      <c r="E4944" s="27"/>
      <c r="F4944" s="27"/>
      <c r="G4944" s="7"/>
    </row>
    <row r="4945" spans="2:7" x14ac:dyDescent="0.25">
      <c r="B4945" s="25"/>
      <c r="C4945" s="7"/>
      <c r="D4945" s="7"/>
      <c r="E4945" s="27"/>
      <c r="F4945" s="27"/>
      <c r="G4945" s="7"/>
    </row>
    <row r="4946" spans="2:7" x14ac:dyDescent="0.25">
      <c r="B4946" s="25"/>
      <c r="C4946" s="7"/>
      <c r="D4946" s="7"/>
      <c r="E4946" s="27"/>
      <c r="F4946" s="27"/>
      <c r="G4946" s="7"/>
    </row>
    <row r="4947" spans="2:7" x14ac:dyDescent="0.25">
      <c r="B4947" s="25"/>
      <c r="C4947" s="7"/>
      <c r="D4947" s="7"/>
      <c r="E4947" s="27"/>
      <c r="F4947" s="27"/>
      <c r="G4947" s="7"/>
    </row>
    <row r="4948" spans="2:7" x14ac:dyDescent="0.25">
      <c r="B4948" s="25"/>
      <c r="C4948" s="7"/>
      <c r="D4948" s="7"/>
      <c r="E4948" s="27"/>
      <c r="F4948" s="27"/>
      <c r="G4948" s="7"/>
    </row>
    <row r="4949" spans="2:7" x14ac:dyDescent="0.25">
      <c r="B4949" s="25"/>
      <c r="C4949" s="7"/>
      <c r="D4949" s="7"/>
      <c r="E4949" s="27"/>
      <c r="F4949" s="27"/>
      <c r="G4949" s="7"/>
    </row>
    <row r="4950" spans="2:7" x14ac:dyDescent="0.25">
      <c r="B4950" s="25"/>
      <c r="C4950" s="7"/>
      <c r="D4950" s="7"/>
      <c r="E4950" s="27"/>
      <c r="F4950" s="27"/>
      <c r="G4950" s="7"/>
    </row>
    <row r="4951" spans="2:7" x14ac:dyDescent="0.25">
      <c r="B4951" s="25"/>
      <c r="C4951" s="7"/>
      <c r="D4951" s="7"/>
      <c r="E4951" s="27"/>
      <c r="F4951" s="27"/>
      <c r="G4951" s="7"/>
    </row>
    <row r="4952" spans="2:7" x14ac:dyDescent="0.25">
      <c r="B4952" s="25"/>
      <c r="C4952" s="7"/>
      <c r="D4952" s="7"/>
      <c r="E4952" s="27"/>
      <c r="F4952" s="27"/>
      <c r="G4952" s="7"/>
    </row>
    <row r="4953" spans="2:7" x14ac:dyDescent="0.25">
      <c r="B4953" s="25"/>
      <c r="C4953" s="7"/>
      <c r="D4953" s="7"/>
      <c r="E4953" s="27"/>
      <c r="F4953" s="27"/>
      <c r="G4953" s="7"/>
    </row>
    <row r="4954" spans="2:7" x14ac:dyDescent="0.25">
      <c r="B4954" s="25"/>
      <c r="C4954" s="7"/>
      <c r="D4954" s="7"/>
      <c r="E4954" s="27"/>
      <c r="F4954" s="27"/>
      <c r="G4954" s="7"/>
    </row>
    <row r="4955" spans="2:7" x14ac:dyDescent="0.25">
      <c r="B4955" s="25"/>
      <c r="C4955" s="7"/>
      <c r="D4955" s="7"/>
      <c r="E4955" s="27"/>
      <c r="F4955" s="27"/>
      <c r="G4955" s="7"/>
    </row>
    <row r="4956" spans="2:7" x14ac:dyDescent="0.25">
      <c r="B4956" s="25"/>
      <c r="C4956" s="7"/>
      <c r="D4956" s="7"/>
      <c r="E4956" s="27"/>
      <c r="F4956" s="27"/>
      <c r="G4956" s="7"/>
    </row>
    <row r="4957" spans="2:7" x14ac:dyDescent="0.25">
      <c r="B4957" s="25"/>
      <c r="C4957" s="7"/>
      <c r="D4957" s="7"/>
      <c r="E4957" s="27"/>
      <c r="F4957" s="27"/>
      <c r="G4957" s="7"/>
    </row>
    <row r="4958" spans="2:7" x14ac:dyDescent="0.25">
      <c r="B4958" s="25"/>
      <c r="C4958" s="7"/>
      <c r="D4958" s="7"/>
      <c r="E4958" s="27"/>
      <c r="F4958" s="27"/>
      <c r="G4958" s="7"/>
    </row>
    <row r="4959" spans="2:7" x14ac:dyDescent="0.25">
      <c r="B4959" s="25"/>
      <c r="C4959" s="7"/>
      <c r="D4959" s="7"/>
      <c r="E4959" s="27"/>
      <c r="F4959" s="27"/>
      <c r="G4959" s="7"/>
    </row>
    <row r="4960" spans="2:7" x14ac:dyDescent="0.25">
      <c r="B4960" s="25"/>
      <c r="C4960" s="7"/>
      <c r="D4960" s="7"/>
      <c r="E4960" s="27"/>
      <c r="F4960" s="27"/>
      <c r="G4960" s="7"/>
    </row>
    <row r="4961" spans="2:7" x14ac:dyDescent="0.25">
      <c r="B4961" s="25"/>
      <c r="C4961" s="7"/>
      <c r="D4961" s="7"/>
      <c r="E4961" s="27"/>
      <c r="F4961" s="27"/>
      <c r="G4961" s="7"/>
    </row>
    <row r="4962" spans="2:7" x14ac:dyDescent="0.25">
      <c r="B4962" s="25"/>
      <c r="C4962" s="7"/>
      <c r="D4962" s="7"/>
      <c r="E4962" s="27"/>
      <c r="F4962" s="27"/>
      <c r="G4962" s="7"/>
    </row>
    <row r="4963" spans="2:7" x14ac:dyDescent="0.25">
      <c r="B4963" s="25"/>
      <c r="C4963" s="7"/>
      <c r="D4963" s="7"/>
      <c r="E4963" s="27"/>
      <c r="F4963" s="27"/>
      <c r="G4963" s="7"/>
    </row>
    <row r="4964" spans="2:7" x14ac:dyDescent="0.25">
      <c r="B4964" s="25"/>
      <c r="C4964" s="7"/>
      <c r="D4964" s="7"/>
      <c r="E4964" s="27"/>
      <c r="F4964" s="27"/>
      <c r="G4964" s="7"/>
    </row>
    <row r="4965" spans="2:7" x14ac:dyDescent="0.25">
      <c r="B4965" s="25"/>
      <c r="C4965" s="7"/>
      <c r="D4965" s="7"/>
      <c r="E4965" s="27"/>
      <c r="F4965" s="27"/>
      <c r="G4965" s="7"/>
    </row>
    <row r="4966" spans="2:7" x14ac:dyDescent="0.25">
      <c r="B4966" s="25"/>
      <c r="C4966" s="7"/>
      <c r="D4966" s="7"/>
      <c r="E4966" s="27"/>
      <c r="F4966" s="27"/>
      <c r="G4966" s="7"/>
    </row>
    <row r="4967" spans="2:7" x14ac:dyDescent="0.25">
      <c r="B4967" s="25"/>
      <c r="C4967" s="7"/>
      <c r="D4967" s="7"/>
      <c r="E4967" s="27"/>
      <c r="F4967" s="27"/>
      <c r="G4967" s="7"/>
    </row>
    <row r="4968" spans="2:7" x14ac:dyDescent="0.25">
      <c r="B4968" s="25"/>
      <c r="C4968" s="7"/>
      <c r="D4968" s="7"/>
      <c r="E4968" s="27"/>
      <c r="F4968" s="27"/>
      <c r="G4968" s="7"/>
    </row>
    <row r="4969" spans="2:7" x14ac:dyDescent="0.25">
      <c r="B4969" s="25"/>
      <c r="C4969" s="7"/>
      <c r="D4969" s="7"/>
      <c r="E4969" s="27"/>
      <c r="F4969" s="27"/>
      <c r="G4969" s="7"/>
    </row>
    <row r="4970" spans="2:7" x14ac:dyDescent="0.25">
      <c r="B4970" s="25"/>
      <c r="C4970" s="7"/>
      <c r="D4970" s="7"/>
      <c r="E4970" s="27"/>
      <c r="F4970" s="27"/>
      <c r="G4970" s="7"/>
    </row>
    <row r="4971" spans="2:7" x14ac:dyDescent="0.25">
      <c r="B4971" s="25"/>
      <c r="C4971" s="7"/>
      <c r="D4971" s="7"/>
      <c r="E4971" s="27"/>
      <c r="F4971" s="27"/>
      <c r="G4971" s="7"/>
    </row>
    <row r="4972" spans="2:7" x14ac:dyDescent="0.25">
      <c r="B4972" s="25"/>
      <c r="C4972" s="7"/>
      <c r="D4972" s="7"/>
      <c r="E4972" s="27"/>
      <c r="F4972" s="27"/>
      <c r="G4972" s="7"/>
    </row>
    <row r="4973" spans="2:7" x14ac:dyDescent="0.25">
      <c r="B4973" s="25"/>
      <c r="C4973" s="7"/>
      <c r="D4973" s="7"/>
      <c r="E4973" s="27"/>
      <c r="F4973" s="27"/>
      <c r="G4973" s="7"/>
    </row>
    <row r="4974" spans="2:7" x14ac:dyDescent="0.25">
      <c r="B4974" s="25"/>
      <c r="C4974" s="7"/>
      <c r="D4974" s="7"/>
      <c r="E4974" s="27"/>
      <c r="F4974" s="27"/>
      <c r="G4974" s="7"/>
    </row>
    <row r="4975" spans="2:7" x14ac:dyDescent="0.25">
      <c r="B4975" s="25"/>
      <c r="C4975" s="7"/>
      <c r="D4975" s="7"/>
      <c r="E4975" s="27"/>
      <c r="F4975" s="27"/>
      <c r="G4975" s="7"/>
    </row>
    <row r="4976" spans="2:7" x14ac:dyDescent="0.25">
      <c r="B4976" s="25"/>
      <c r="C4976" s="7"/>
      <c r="D4976" s="7"/>
      <c r="E4976" s="27"/>
      <c r="F4976" s="27"/>
      <c r="G4976" s="7"/>
    </row>
    <row r="4977" spans="2:7" x14ac:dyDescent="0.25">
      <c r="B4977" s="25"/>
      <c r="C4977" s="7"/>
      <c r="D4977" s="7"/>
      <c r="E4977" s="27"/>
      <c r="F4977" s="27"/>
      <c r="G4977" s="7"/>
    </row>
    <row r="4978" spans="2:7" x14ac:dyDescent="0.25">
      <c r="B4978" s="25"/>
      <c r="C4978" s="7"/>
      <c r="D4978" s="7"/>
      <c r="E4978" s="27"/>
      <c r="F4978" s="27"/>
      <c r="G4978" s="7"/>
    </row>
    <row r="4979" spans="2:7" x14ac:dyDescent="0.25">
      <c r="B4979" s="25"/>
      <c r="C4979" s="7"/>
      <c r="D4979" s="7"/>
      <c r="E4979" s="27"/>
      <c r="F4979" s="27"/>
      <c r="G4979" s="7"/>
    </row>
    <row r="4980" spans="2:7" x14ac:dyDescent="0.25">
      <c r="B4980" s="25"/>
      <c r="C4980" s="7"/>
      <c r="D4980" s="7"/>
      <c r="E4980" s="27"/>
      <c r="F4980" s="27"/>
      <c r="G4980" s="7"/>
    </row>
    <row r="4981" spans="2:7" x14ac:dyDescent="0.25">
      <c r="B4981" s="25"/>
      <c r="C4981" s="7"/>
      <c r="D4981" s="7"/>
      <c r="E4981" s="27"/>
      <c r="F4981" s="27"/>
      <c r="G4981" s="7"/>
    </row>
    <row r="4982" spans="2:7" x14ac:dyDescent="0.25">
      <c r="B4982" s="25"/>
      <c r="C4982" s="7"/>
      <c r="D4982" s="7"/>
      <c r="E4982" s="27"/>
      <c r="F4982" s="27"/>
      <c r="G4982" s="7"/>
    </row>
    <row r="4983" spans="2:7" x14ac:dyDescent="0.25">
      <c r="B4983" s="25"/>
      <c r="C4983" s="7"/>
      <c r="D4983" s="7"/>
      <c r="E4983" s="27"/>
      <c r="F4983" s="27"/>
      <c r="G4983" s="7"/>
    </row>
    <row r="4984" spans="2:7" x14ac:dyDescent="0.25">
      <c r="B4984" s="25"/>
      <c r="C4984" s="7"/>
      <c r="D4984" s="7"/>
      <c r="E4984" s="27"/>
      <c r="F4984" s="27"/>
      <c r="G4984" s="7"/>
    </row>
    <row r="4985" spans="2:7" x14ac:dyDescent="0.25">
      <c r="B4985" s="25"/>
      <c r="C4985" s="7"/>
      <c r="D4985" s="7"/>
      <c r="E4985" s="27"/>
      <c r="F4985" s="27"/>
      <c r="G4985" s="7"/>
    </row>
    <row r="4986" spans="2:7" x14ac:dyDescent="0.25">
      <c r="B4986" s="25"/>
      <c r="C4986" s="7"/>
      <c r="D4986" s="7"/>
      <c r="E4986" s="27"/>
      <c r="F4986" s="27"/>
      <c r="G4986" s="7"/>
    </row>
    <row r="4987" spans="2:7" x14ac:dyDescent="0.25">
      <c r="B4987" s="25"/>
      <c r="C4987" s="7"/>
      <c r="D4987" s="7"/>
      <c r="E4987" s="27"/>
      <c r="F4987" s="27"/>
      <c r="G4987" s="7"/>
    </row>
    <row r="4988" spans="2:7" x14ac:dyDescent="0.25">
      <c r="B4988" s="25"/>
      <c r="C4988" s="7"/>
      <c r="D4988" s="7"/>
      <c r="E4988" s="27"/>
      <c r="F4988" s="27"/>
      <c r="G4988" s="7"/>
    </row>
    <row r="4989" spans="2:7" x14ac:dyDescent="0.25">
      <c r="B4989" s="25"/>
      <c r="C4989" s="7"/>
      <c r="D4989" s="7"/>
      <c r="E4989" s="27"/>
      <c r="F4989" s="27"/>
      <c r="G4989" s="7"/>
    </row>
    <row r="4990" spans="2:7" x14ac:dyDescent="0.25">
      <c r="B4990" s="25"/>
      <c r="C4990" s="7"/>
      <c r="D4990" s="7"/>
      <c r="E4990" s="27"/>
      <c r="F4990" s="27"/>
      <c r="G4990" s="7"/>
    </row>
    <row r="4991" spans="2:7" x14ac:dyDescent="0.25">
      <c r="B4991" s="25"/>
      <c r="C4991" s="7"/>
      <c r="D4991" s="7"/>
      <c r="E4991" s="27"/>
      <c r="F4991" s="27"/>
      <c r="G4991" s="7"/>
    </row>
    <row r="4992" spans="2:7" x14ac:dyDescent="0.25">
      <c r="B4992" s="25"/>
      <c r="C4992" s="7"/>
      <c r="D4992" s="7"/>
      <c r="E4992" s="27"/>
      <c r="F4992" s="27"/>
      <c r="G4992" s="7"/>
    </row>
    <row r="4993" spans="2:7" x14ac:dyDescent="0.25">
      <c r="B4993" s="25"/>
      <c r="C4993" s="7"/>
      <c r="D4993" s="7"/>
      <c r="E4993" s="27"/>
      <c r="F4993" s="27"/>
      <c r="G4993" s="7"/>
    </row>
    <row r="4994" spans="2:7" x14ac:dyDescent="0.25">
      <c r="B4994" s="25"/>
      <c r="C4994" s="7"/>
      <c r="D4994" s="7"/>
      <c r="E4994" s="27"/>
      <c r="F4994" s="27"/>
      <c r="G4994" s="7"/>
    </row>
    <row r="4995" spans="2:7" x14ac:dyDescent="0.25">
      <c r="B4995" s="25"/>
      <c r="C4995" s="7"/>
      <c r="D4995" s="7"/>
      <c r="E4995" s="27"/>
      <c r="F4995" s="27"/>
      <c r="G4995" s="7"/>
    </row>
    <row r="4996" spans="2:7" x14ac:dyDescent="0.25">
      <c r="B4996" s="25"/>
      <c r="C4996" s="7"/>
      <c r="D4996" s="7"/>
      <c r="E4996" s="27"/>
      <c r="F4996" s="27"/>
      <c r="G4996" s="7"/>
    </row>
    <row r="4997" spans="2:7" x14ac:dyDescent="0.25">
      <c r="B4997" s="25"/>
      <c r="C4997" s="7"/>
      <c r="D4997" s="7"/>
      <c r="E4997" s="27"/>
      <c r="F4997" s="27"/>
      <c r="G4997" s="7"/>
    </row>
    <row r="4998" spans="2:7" x14ac:dyDescent="0.25">
      <c r="B4998" s="25"/>
      <c r="C4998" s="7"/>
      <c r="D4998" s="7"/>
      <c r="E4998" s="27"/>
      <c r="F4998" s="27"/>
      <c r="G4998" s="7"/>
    </row>
    <row r="4999" spans="2:7" x14ac:dyDescent="0.25">
      <c r="B4999" s="25"/>
      <c r="C4999" s="7"/>
      <c r="D4999" s="7"/>
      <c r="E4999" s="27"/>
      <c r="F4999" s="27"/>
      <c r="G4999" s="7"/>
    </row>
    <row r="5000" spans="2:7" x14ac:dyDescent="0.25">
      <c r="B5000" s="25"/>
      <c r="C5000" s="7"/>
      <c r="D5000" s="7"/>
      <c r="E5000" s="27"/>
      <c r="F5000" s="27"/>
      <c r="G5000" s="7"/>
    </row>
    <row r="5001" spans="2:7" x14ac:dyDescent="0.25">
      <c r="B5001" s="25"/>
      <c r="C5001" s="7"/>
      <c r="D5001" s="7"/>
      <c r="E5001" s="27"/>
      <c r="F5001" s="27"/>
      <c r="G5001" s="7"/>
    </row>
    <row r="5002" spans="2:7" x14ac:dyDescent="0.25">
      <c r="B5002" s="25"/>
      <c r="C5002" s="7"/>
      <c r="D5002" s="7"/>
      <c r="E5002" s="27"/>
      <c r="F5002" s="27"/>
      <c r="G5002" s="7"/>
    </row>
    <row r="5003" spans="2:7" x14ac:dyDescent="0.25">
      <c r="B5003" s="25"/>
      <c r="C5003" s="7"/>
      <c r="D5003" s="7"/>
      <c r="E5003" s="27"/>
      <c r="F5003" s="27"/>
      <c r="G5003" s="7"/>
    </row>
    <row r="5004" spans="2:7" x14ac:dyDescent="0.25">
      <c r="B5004" s="25"/>
      <c r="C5004" s="7"/>
      <c r="D5004" s="7"/>
      <c r="E5004" s="27"/>
      <c r="F5004" s="27"/>
      <c r="G5004" s="7"/>
    </row>
    <row r="5005" spans="2:7" x14ac:dyDescent="0.25">
      <c r="E5005" s="27"/>
      <c r="F5005" s="27"/>
      <c r="G5005" s="7"/>
    </row>
    <row r="5006" spans="2:7" x14ac:dyDescent="0.25">
      <c r="E5006" s="27"/>
      <c r="F5006" s="27"/>
      <c r="G5006" s="7"/>
    </row>
    <row r="5007" spans="2:7" x14ac:dyDescent="0.25">
      <c r="E5007" s="27"/>
      <c r="F5007" s="27"/>
      <c r="G5007" s="7"/>
    </row>
    <row r="5008" spans="2:7" x14ac:dyDescent="0.25">
      <c r="E5008" s="27"/>
      <c r="F5008" s="27"/>
      <c r="G5008" s="7"/>
    </row>
    <row r="5009" spans="5:7" x14ac:dyDescent="0.25">
      <c r="E5009" s="27"/>
      <c r="F5009" s="27"/>
      <c r="G5009" s="7"/>
    </row>
    <row r="5010" spans="5:7" x14ac:dyDescent="0.25">
      <c r="E5010" s="27"/>
      <c r="F5010" s="27"/>
      <c r="G5010" s="7"/>
    </row>
    <row r="5011" spans="5:7" x14ac:dyDescent="0.25">
      <c r="E5011" s="27"/>
      <c r="F5011" s="27"/>
      <c r="G5011" s="7"/>
    </row>
    <row r="5012" spans="5:7" x14ac:dyDescent="0.25">
      <c r="E5012" s="27"/>
      <c r="F5012" s="27"/>
      <c r="G5012" s="7"/>
    </row>
    <row r="5013" spans="5:7" x14ac:dyDescent="0.25">
      <c r="E5013" s="27"/>
      <c r="F5013" s="27"/>
      <c r="G5013" s="7"/>
    </row>
    <row r="5014" spans="5:7" x14ac:dyDescent="0.25">
      <c r="E5014" s="27"/>
      <c r="F5014" s="27"/>
      <c r="G5014" s="7"/>
    </row>
    <row r="5015" spans="5:7" x14ac:dyDescent="0.25">
      <c r="E5015" s="27"/>
      <c r="F5015" s="27"/>
      <c r="G5015" s="7"/>
    </row>
    <row r="5016" spans="5:7" x14ac:dyDescent="0.25">
      <c r="E5016" s="27"/>
      <c r="F5016" s="27"/>
      <c r="G5016" s="7"/>
    </row>
    <row r="5017" spans="5:7" x14ac:dyDescent="0.25">
      <c r="E5017" s="27"/>
      <c r="F5017" s="27"/>
      <c r="G5017" s="7"/>
    </row>
    <row r="5018" spans="5:7" x14ac:dyDescent="0.25">
      <c r="E5018" s="27"/>
      <c r="F5018" s="27"/>
      <c r="G5018" s="7"/>
    </row>
    <row r="5019" spans="5:7" x14ac:dyDescent="0.25">
      <c r="E5019" s="27"/>
      <c r="F5019" s="27"/>
      <c r="G5019" s="7"/>
    </row>
    <row r="5020" spans="5:7" x14ac:dyDescent="0.25">
      <c r="E5020" s="27"/>
      <c r="F5020" s="27"/>
      <c r="G5020" s="7"/>
    </row>
    <row r="5021" spans="5:7" x14ac:dyDescent="0.25">
      <c r="E5021" s="27"/>
      <c r="F5021" s="27"/>
      <c r="G5021" s="7"/>
    </row>
    <row r="5022" spans="5:7" x14ac:dyDescent="0.25">
      <c r="E5022" s="27"/>
      <c r="F5022" s="27"/>
      <c r="G5022" s="7"/>
    </row>
    <row r="5023" spans="5:7" x14ac:dyDescent="0.25">
      <c r="E5023" s="27"/>
      <c r="F5023" s="27"/>
      <c r="G5023" s="7"/>
    </row>
    <row r="5024" spans="5:7" x14ac:dyDescent="0.25">
      <c r="E5024" s="27"/>
      <c r="F5024" s="27"/>
      <c r="G5024" s="7"/>
    </row>
    <row r="5025" spans="5:7" x14ac:dyDescent="0.25">
      <c r="E5025" s="27"/>
      <c r="F5025" s="27"/>
      <c r="G5025" s="7"/>
    </row>
    <row r="5026" spans="5:7" x14ac:dyDescent="0.25">
      <c r="E5026" s="27"/>
      <c r="F5026" s="27"/>
      <c r="G5026" s="7"/>
    </row>
    <row r="5027" spans="5:7" x14ac:dyDescent="0.25">
      <c r="E5027" s="27"/>
      <c r="F5027" s="27"/>
      <c r="G5027" s="7"/>
    </row>
    <row r="5028" spans="5:7" x14ac:dyDescent="0.25">
      <c r="E5028" s="27"/>
      <c r="F5028" s="27"/>
      <c r="G5028" s="7"/>
    </row>
    <row r="5029" spans="5:7" x14ac:dyDescent="0.25">
      <c r="E5029" s="27"/>
      <c r="F5029" s="27"/>
      <c r="G5029" s="7"/>
    </row>
    <row r="5030" spans="5:7" x14ac:dyDescent="0.25">
      <c r="E5030" s="27"/>
      <c r="F5030" s="27"/>
      <c r="G5030" s="7"/>
    </row>
    <row r="5031" spans="5:7" x14ac:dyDescent="0.25">
      <c r="E5031" s="27"/>
      <c r="F5031" s="27"/>
      <c r="G5031" s="7"/>
    </row>
    <row r="5032" spans="5:7" x14ac:dyDescent="0.25">
      <c r="E5032" s="27"/>
      <c r="F5032" s="27"/>
      <c r="G5032" s="7"/>
    </row>
    <row r="5033" spans="5:7" x14ac:dyDescent="0.25">
      <c r="E5033" s="27"/>
      <c r="F5033" s="27"/>
      <c r="G5033" s="7"/>
    </row>
    <row r="5034" spans="5:7" x14ac:dyDescent="0.25">
      <c r="E5034" s="27"/>
      <c r="F5034" s="27"/>
      <c r="G5034" s="7"/>
    </row>
    <row r="5035" spans="5:7" x14ac:dyDescent="0.25">
      <c r="E5035" s="27"/>
      <c r="F5035" s="27"/>
      <c r="G5035" s="7"/>
    </row>
    <row r="5036" spans="5:7" x14ac:dyDescent="0.25">
      <c r="E5036" s="27"/>
      <c r="F5036" s="27"/>
      <c r="G5036" s="7"/>
    </row>
    <row r="5037" spans="5:7" x14ac:dyDescent="0.25">
      <c r="E5037" s="27"/>
      <c r="F5037" s="27"/>
      <c r="G5037" s="7"/>
    </row>
    <row r="5038" spans="5:7" x14ac:dyDescent="0.25">
      <c r="E5038" s="27"/>
      <c r="F5038" s="27"/>
      <c r="G5038" s="7"/>
    </row>
    <row r="5039" spans="5:7" x14ac:dyDescent="0.25">
      <c r="E5039" s="27"/>
      <c r="F5039" s="27"/>
      <c r="G5039" s="7"/>
    </row>
    <row r="5040" spans="5:7" x14ac:dyDescent="0.25">
      <c r="E5040" s="27"/>
      <c r="F5040" s="27"/>
      <c r="G5040" s="7"/>
    </row>
    <row r="5041" spans="5:7" x14ac:dyDescent="0.25">
      <c r="E5041" s="27"/>
      <c r="F5041" s="27"/>
      <c r="G5041" s="7"/>
    </row>
    <row r="5042" spans="5:7" x14ac:dyDescent="0.25">
      <c r="E5042" s="27"/>
      <c r="F5042" s="27"/>
      <c r="G5042" s="7"/>
    </row>
    <row r="5043" spans="5:7" x14ac:dyDescent="0.25">
      <c r="E5043" s="27"/>
      <c r="F5043" s="27"/>
      <c r="G5043" s="7"/>
    </row>
    <row r="5044" spans="5:7" x14ac:dyDescent="0.25">
      <c r="E5044" s="27"/>
      <c r="F5044" s="27"/>
      <c r="G5044" s="7"/>
    </row>
    <row r="5045" spans="5:7" x14ac:dyDescent="0.25">
      <c r="E5045" s="27"/>
      <c r="F5045" s="27"/>
      <c r="G5045" s="7"/>
    </row>
    <row r="5046" spans="5:7" x14ac:dyDescent="0.25">
      <c r="E5046" s="27"/>
      <c r="F5046" s="27"/>
      <c r="G5046" s="7"/>
    </row>
    <row r="5047" spans="5:7" x14ac:dyDescent="0.25">
      <c r="E5047" s="27"/>
      <c r="F5047" s="27"/>
      <c r="G5047" s="7"/>
    </row>
    <row r="5048" spans="5:7" x14ac:dyDescent="0.25">
      <c r="E5048" s="27"/>
      <c r="F5048" s="27"/>
      <c r="G5048" s="7"/>
    </row>
    <row r="5049" spans="5:7" x14ac:dyDescent="0.25">
      <c r="E5049" s="27"/>
      <c r="F5049" s="27"/>
      <c r="G5049" s="7"/>
    </row>
    <row r="5050" spans="5:7" x14ac:dyDescent="0.25">
      <c r="E5050" s="27"/>
      <c r="F5050" s="27"/>
      <c r="G5050" s="7"/>
    </row>
    <row r="5051" spans="5:7" x14ac:dyDescent="0.25">
      <c r="E5051" s="27"/>
      <c r="F5051" s="27"/>
      <c r="G5051" s="7"/>
    </row>
    <row r="5052" spans="5:7" x14ac:dyDescent="0.25">
      <c r="E5052" s="27"/>
      <c r="F5052" s="27"/>
      <c r="G5052" s="7"/>
    </row>
    <row r="5053" spans="5:7" x14ac:dyDescent="0.25">
      <c r="E5053" s="27"/>
      <c r="F5053" s="27"/>
      <c r="G5053" s="7"/>
    </row>
    <row r="5054" spans="5:7" x14ac:dyDescent="0.25">
      <c r="E5054" s="27"/>
      <c r="F5054" s="27"/>
      <c r="G5054" s="7"/>
    </row>
    <row r="5055" spans="5:7" x14ac:dyDescent="0.25">
      <c r="E5055" s="27"/>
      <c r="F5055" s="27"/>
      <c r="G5055" s="7"/>
    </row>
    <row r="5056" spans="5:7" x14ac:dyDescent="0.25">
      <c r="E5056" s="27"/>
      <c r="F5056" s="27"/>
      <c r="G5056" s="7"/>
    </row>
    <row r="5057" spans="5:7" x14ac:dyDescent="0.25">
      <c r="E5057" s="27"/>
      <c r="F5057" s="27"/>
      <c r="G5057" s="7"/>
    </row>
    <row r="5058" spans="5:7" x14ac:dyDescent="0.25">
      <c r="E5058" s="27"/>
      <c r="F5058" s="27"/>
      <c r="G5058" s="7"/>
    </row>
    <row r="5059" spans="5:7" x14ac:dyDescent="0.25">
      <c r="E5059" s="27"/>
      <c r="F5059" s="27"/>
      <c r="G5059" s="7"/>
    </row>
    <row r="5060" spans="5:7" x14ac:dyDescent="0.25">
      <c r="E5060" s="27"/>
      <c r="F5060" s="27"/>
      <c r="G5060" s="7"/>
    </row>
    <row r="5061" spans="5:7" x14ac:dyDescent="0.25">
      <c r="E5061" s="27"/>
      <c r="F5061" s="27"/>
      <c r="G5061" s="7"/>
    </row>
    <row r="5062" spans="5:7" x14ac:dyDescent="0.25">
      <c r="E5062" s="27"/>
      <c r="F5062" s="27"/>
      <c r="G5062" s="7"/>
    </row>
    <row r="5063" spans="5:7" x14ac:dyDescent="0.25">
      <c r="E5063" s="27"/>
      <c r="F5063" s="27"/>
      <c r="G5063" s="7"/>
    </row>
    <row r="5064" spans="5:7" x14ac:dyDescent="0.25">
      <c r="E5064" s="27"/>
      <c r="F5064" s="27"/>
      <c r="G5064" s="7"/>
    </row>
    <row r="5065" spans="5:7" x14ac:dyDescent="0.25">
      <c r="E5065" s="27"/>
      <c r="F5065" s="27"/>
      <c r="G5065" s="7"/>
    </row>
    <row r="5066" spans="5:7" x14ac:dyDescent="0.25">
      <c r="E5066" s="27"/>
      <c r="F5066" s="27"/>
      <c r="G5066" s="7"/>
    </row>
    <row r="5067" spans="5:7" x14ac:dyDescent="0.25">
      <c r="E5067" s="27"/>
      <c r="F5067" s="27"/>
      <c r="G5067" s="7"/>
    </row>
    <row r="5068" spans="5:7" x14ac:dyDescent="0.25">
      <c r="E5068" s="27"/>
      <c r="F5068" s="27"/>
      <c r="G5068" s="7"/>
    </row>
    <row r="5069" spans="5:7" x14ac:dyDescent="0.25">
      <c r="E5069" s="27"/>
      <c r="F5069" s="27"/>
      <c r="G5069" s="7"/>
    </row>
    <row r="5070" spans="5:7" x14ac:dyDescent="0.25">
      <c r="E5070" s="27"/>
      <c r="F5070" s="27"/>
      <c r="G5070" s="7"/>
    </row>
    <row r="5071" spans="5:7" x14ac:dyDescent="0.25">
      <c r="E5071" s="27"/>
      <c r="F5071" s="27"/>
      <c r="G5071" s="7"/>
    </row>
    <row r="5072" spans="5:7" x14ac:dyDescent="0.25">
      <c r="E5072" s="27"/>
      <c r="F5072" s="27"/>
      <c r="G5072" s="7"/>
    </row>
    <row r="5073" spans="5:7" x14ac:dyDescent="0.25">
      <c r="E5073" s="27"/>
      <c r="F5073" s="27"/>
      <c r="G5073" s="7"/>
    </row>
    <row r="5074" spans="5:7" x14ac:dyDescent="0.25">
      <c r="E5074" s="27"/>
      <c r="F5074" s="27"/>
      <c r="G5074" s="7"/>
    </row>
    <row r="5075" spans="5:7" x14ac:dyDescent="0.25">
      <c r="E5075" s="27"/>
      <c r="F5075" s="27"/>
      <c r="G5075" s="7"/>
    </row>
    <row r="5076" spans="5:7" x14ac:dyDescent="0.25">
      <c r="E5076" s="27"/>
      <c r="F5076" s="27"/>
      <c r="G5076" s="7"/>
    </row>
    <row r="5077" spans="5:7" x14ac:dyDescent="0.25">
      <c r="E5077" s="27"/>
      <c r="F5077" s="27"/>
      <c r="G5077" s="7"/>
    </row>
    <row r="5078" spans="5:7" x14ac:dyDescent="0.25">
      <c r="E5078" s="27"/>
      <c r="F5078" s="27"/>
      <c r="G5078" s="7"/>
    </row>
    <row r="5079" spans="5:7" x14ac:dyDescent="0.25">
      <c r="E5079" s="27"/>
      <c r="F5079" s="27"/>
      <c r="G5079" s="7"/>
    </row>
    <row r="5080" spans="5:7" x14ac:dyDescent="0.25">
      <c r="E5080" s="27"/>
      <c r="F5080" s="27"/>
      <c r="G5080" s="7"/>
    </row>
    <row r="5081" spans="5:7" x14ac:dyDescent="0.25">
      <c r="E5081" s="27"/>
      <c r="F5081" s="27"/>
      <c r="G5081" s="7"/>
    </row>
    <row r="5082" spans="5:7" x14ac:dyDescent="0.25">
      <c r="E5082" s="27"/>
      <c r="F5082" s="27"/>
      <c r="G5082" s="7"/>
    </row>
    <row r="5083" spans="5:7" x14ac:dyDescent="0.25">
      <c r="E5083" s="27"/>
      <c r="F5083" s="27"/>
      <c r="G5083" s="7"/>
    </row>
    <row r="5084" spans="5:7" x14ac:dyDescent="0.25">
      <c r="E5084" s="27"/>
      <c r="F5084" s="27"/>
      <c r="G5084" s="7"/>
    </row>
    <row r="5085" spans="5:7" x14ac:dyDescent="0.25">
      <c r="E5085" s="27"/>
      <c r="F5085" s="27"/>
      <c r="G5085" s="7"/>
    </row>
    <row r="5086" spans="5:7" x14ac:dyDescent="0.25">
      <c r="E5086" s="27"/>
      <c r="F5086" s="27"/>
      <c r="G5086" s="7"/>
    </row>
    <row r="5087" spans="5:7" x14ac:dyDescent="0.25">
      <c r="E5087" s="27"/>
      <c r="F5087" s="27"/>
      <c r="G5087" s="7"/>
    </row>
    <row r="5088" spans="5:7" x14ac:dyDescent="0.25">
      <c r="E5088" s="27"/>
      <c r="F5088" s="27"/>
      <c r="G5088" s="7"/>
    </row>
    <row r="5089" spans="5:7" x14ac:dyDescent="0.25">
      <c r="E5089" s="27"/>
      <c r="F5089" s="27"/>
      <c r="G5089" s="7"/>
    </row>
    <row r="5090" spans="5:7" x14ac:dyDescent="0.25">
      <c r="E5090" s="27"/>
      <c r="F5090" s="27"/>
      <c r="G5090" s="7"/>
    </row>
    <row r="5091" spans="5:7" x14ac:dyDescent="0.25">
      <c r="E5091" s="27"/>
      <c r="F5091" s="27"/>
      <c r="G5091" s="7"/>
    </row>
    <row r="5092" spans="5:7" x14ac:dyDescent="0.25">
      <c r="E5092" s="27"/>
      <c r="F5092" s="27"/>
      <c r="G5092" s="7"/>
    </row>
    <row r="5093" spans="5:7" x14ac:dyDescent="0.25">
      <c r="E5093" s="27"/>
      <c r="F5093" s="27"/>
      <c r="G5093" s="7"/>
    </row>
    <row r="5094" spans="5:7" x14ac:dyDescent="0.25">
      <c r="E5094" s="27"/>
      <c r="F5094" s="27"/>
      <c r="G5094" s="7"/>
    </row>
    <row r="5095" spans="5:7" x14ac:dyDescent="0.25">
      <c r="E5095" s="27"/>
      <c r="F5095" s="27"/>
      <c r="G5095" s="7"/>
    </row>
    <row r="5096" spans="5:7" x14ac:dyDescent="0.25">
      <c r="E5096" s="27"/>
      <c r="F5096" s="27"/>
      <c r="G5096" s="7"/>
    </row>
    <row r="5097" spans="5:7" x14ac:dyDescent="0.25">
      <c r="E5097" s="27"/>
      <c r="F5097" s="27"/>
      <c r="G5097" s="7"/>
    </row>
    <row r="5098" spans="5:7" x14ac:dyDescent="0.25">
      <c r="E5098" s="27"/>
      <c r="F5098" s="27"/>
      <c r="G5098" s="7"/>
    </row>
    <row r="5099" spans="5:7" x14ac:dyDescent="0.25">
      <c r="E5099" s="27"/>
      <c r="F5099" s="27"/>
      <c r="G5099" s="7"/>
    </row>
    <row r="5100" spans="5:7" x14ac:dyDescent="0.25">
      <c r="E5100" s="27"/>
      <c r="F5100" s="27"/>
      <c r="G5100" s="7"/>
    </row>
    <row r="5101" spans="5:7" x14ac:dyDescent="0.25">
      <c r="E5101" s="27"/>
      <c r="F5101" s="27"/>
      <c r="G5101" s="7"/>
    </row>
    <row r="5102" spans="5:7" x14ac:dyDescent="0.25">
      <c r="E5102" s="27"/>
      <c r="F5102" s="27"/>
      <c r="G5102" s="7"/>
    </row>
    <row r="5103" spans="5:7" x14ac:dyDescent="0.25">
      <c r="E5103" s="27"/>
      <c r="F5103" s="27"/>
      <c r="G5103" s="7"/>
    </row>
    <row r="5104" spans="5:7" x14ac:dyDescent="0.25">
      <c r="E5104" s="27"/>
      <c r="F5104" s="27"/>
      <c r="G5104" s="7"/>
    </row>
    <row r="5105" spans="5:7" x14ac:dyDescent="0.25">
      <c r="E5105" s="27"/>
      <c r="F5105" s="27"/>
      <c r="G5105" s="7"/>
    </row>
    <row r="5106" spans="5:7" x14ac:dyDescent="0.25">
      <c r="E5106" s="27"/>
      <c r="F5106" s="27"/>
      <c r="G5106" s="7"/>
    </row>
    <row r="5107" spans="5:7" x14ac:dyDescent="0.25">
      <c r="E5107" s="27"/>
      <c r="F5107" s="27"/>
      <c r="G5107" s="7"/>
    </row>
    <row r="5108" spans="5:7" x14ac:dyDescent="0.25">
      <c r="E5108" s="27"/>
      <c r="F5108" s="27"/>
      <c r="G5108" s="7"/>
    </row>
    <row r="5109" spans="5:7" x14ac:dyDescent="0.25">
      <c r="E5109" s="27"/>
      <c r="F5109" s="27"/>
      <c r="G5109" s="7"/>
    </row>
    <row r="5110" spans="5:7" x14ac:dyDescent="0.25">
      <c r="E5110" s="27"/>
      <c r="F5110" s="27"/>
      <c r="G5110" s="7"/>
    </row>
    <row r="5111" spans="5:7" x14ac:dyDescent="0.25">
      <c r="E5111" s="27"/>
      <c r="F5111" s="27"/>
      <c r="G5111" s="7"/>
    </row>
    <row r="5112" spans="5:7" x14ac:dyDescent="0.25">
      <c r="E5112" s="27"/>
      <c r="F5112" s="27"/>
      <c r="G5112" s="7"/>
    </row>
    <row r="5113" spans="5:7" x14ac:dyDescent="0.25">
      <c r="E5113" s="27"/>
      <c r="F5113" s="27"/>
      <c r="G5113" s="7"/>
    </row>
    <row r="5114" spans="5:7" x14ac:dyDescent="0.25">
      <c r="E5114" s="27"/>
      <c r="F5114" s="27"/>
      <c r="G5114" s="7"/>
    </row>
    <row r="5115" spans="5:7" x14ac:dyDescent="0.25">
      <c r="E5115" s="27"/>
      <c r="F5115" s="27"/>
      <c r="G5115" s="7"/>
    </row>
    <row r="5116" spans="5:7" x14ac:dyDescent="0.25">
      <c r="E5116" s="27"/>
      <c r="F5116" s="27"/>
      <c r="G5116" s="7"/>
    </row>
    <row r="5117" spans="5:7" x14ac:dyDescent="0.25">
      <c r="E5117" s="27"/>
      <c r="F5117" s="27"/>
      <c r="G5117" s="7"/>
    </row>
    <row r="5118" spans="5:7" x14ac:dyDescent="0.25">
      <c r="E5118" s="27"/>
      <c r="F5118" s="27"/>
      <c r="G5118" s="7"/>
    </row>
    <row r="5119" spans="5:7" x14ac:dyDescent="0.25">
      <c r="E5119" s="27"/>
      <c r="F5119" s="27"/>
      <c r="G5119" s="7"/>
    </row>
    <row r="5120" spans="5:7" x14ac:dyDescent="0.25">
      <c r="E5120" s="27"/>
      <c r="F5120" s="27"/>
      <c r="G5120" s="7"/>
    </row>
    <row r="5121" spans="5:7" x14ac:dyDescent="0.25">
      <c r="E5121" s="27"/>
      <c r="F5121" s="27"/>
      <c r="G5121" s="7"/>
    </row>
    <row r="5122" spans="5:7" x14ac:dyDescent="0.25">
      <c r="E5122" s="27"/>
      <c r="F5122" s="27"/>
      <c r="G5122" s="7"/>
    </row>
    <row r="5123" spans="5:7" x14ac:dyDescent="0.25">
      <c r="E5123" s="27"/>
      <c r="F5123" s="27"/>
      <c r="G5123" s="7"/>
    </row>
    <row r="5124" spans="5:7" x14ac:dyDescent="0.25">
      <c r="E5124" s="27"/>
      <c r="F5124" s="27"/>
      <c r="G5124" s="7"/>
    </row>
    <row r="5125" spans="5:7" x14ac:dyDescent="0.25">
      <c r="E5125" s="27"/>
      <c r="F5125" s="27"/>
      <c r="G5125" s="7"/>
    </row>
    <row r="5126" spans="5:7" x14ac:dyDescent="0.25">
      <c r="E5126" s="27"/>
      <c r="F5126" s="27"/>
      <c r="G5126" s="7"/>
    </row>
    <row r="5127" spans="5:7" x14ac:dyDescent="0.25">
      <c r="E5127" s="27"/>
      <c r="F5127" s="27"/>
      <c r="G5127" s="7"/>
    </row>
    <row r="5128" spans="5:7" x14ac:dyDescent="0.25">
      <c r="E5128" s="27"/>
      <c r="F5128" s="27"/>
      <c r="G5128" s="7"/>
    </row>
    <row r="5129" spans="5:7" x14ac:dyDescent="0.25">
      <c r="E5129" s="27"/>
      <c r="F5129" s="27"/>
      <c r="G5129" s="7"/>
    </row>
    <row r="5130" spans="5:7" x14ac:dyDescent="0.25">
      <c r="E5130" s="27"/>
      <c r="F5130" s="27"/>
      <c r="G5130" s="7"/>
    </row>
    <row r="5131" spans="5:7" x14ac:dyDescent="0.25">
      <c r="E5131" s="27"/>
      <c r="F5131" s="27"/>
      <c r="G5131" s="7"/>
    </row>
    <row r="5132" spans="5:7" x14ac:dyDescent="0.25">
      <c r="E5132" s="27"/>
      <c r="F5132" s="27"/>
      <c r="G5132" s="7"/>
    </row>
    <row r="5133" spans="5:7" x14ac:dyDescent="0.25">
      <c r="E5133" s="27"/>
      <c r="F5133" s="27"/>
      <c r="G5133" s="7"/>
    </row>
    <row r="5134" spans="5:7" x14ac:dyDescent="0.25">
      <c r="E5134" s="27"/>
      <c r="F5134" s="27"/>
      <c r="G5134" s="7"/>
    </row>
    <row r="5135" spans="5:7" x14ac:dyDescent="0.25">
      <c r="E5135" s="27"/>
      <c r="F5135" s="27"/>
      <c r="G5135" s="7"/>
    </row>
    <row r="5136" spans="5:7" x14ac:dyDescent="0.25">
      <c r="E5136" s="27"/>
      <c r="F5136" s="27"/>
      <c r="G5136" s="7"/>
    </row>
    <row r="5137" spans="5:7" x14ac:dyDescent="0.25">
      <c r="E5137" s="27"/>
      <c r="F5137" s="27"/>
      <c r="G5137" s="7"/>
    </row>
    <row r="5138" spans="5:7" x14ac:dyDescent="0.25">
      <c r="E5138" s="27"/>
      <c r="F5138" s="27"/>
      <c r="G5138" s="7"/>
    </row>
    <row r="5139" spans="5:7" x14ac:dyDescent="0.25">
      <c r="E5139" s="27"/>
      <c r="F5139" s="27"/>
      <c r="G5139" s="7"/>
    </row>
    <row r="5140" spans="5:7" x14ac:dyDescent="0.25">
      <c r="E5140" s="27"/>
      <c r="F5140" s="27"/>
      <c r="G5140" s="7"/>
    </row>
    <row r="5141" spans="5:7" x14ac:dyDescent="0.25">
      <c r="E5141" s="27"/>
      <c r="F5141" s="27"/>
      <c r="G5141" s="7"/>
    </row>
    <row r="5142" spans="5:7" x14ac:dyDescent="0.25">
      <c r="E5142" s="27"/>
      <c r="F5142" s="27"/>
      <c r="G5142" s="7"/>
    </row>
    <row r="5143" spans="5:7" x14ac:dyDescent="0.25">
      <c r="E5143" s="27"/>
      <c r="F5143" s="27"/>
      <c r="G5143" s="7"/>
    </row>
    <row r="5144" spans="5:7" x14ac:dyDescent="0.25">
      <c r="E5144" s="27"/>
      <c r="F5144" s="27"/>
      <c r="G5144" s="7"/>
    </row>
    <row r="5145" spans="5:7" x14ac:dyDescent="0.25">
      <c r="E5145" s="27"/>
      <c r="F5145" s="27"/>
      <c r="G5145" s="7"/>
    </row>
    <row r="5146" spans="5:7" x14ac:dyDescent="0.25">
      <c r="E5146" s="27"/>
      <c r="F5146" s="27"/>
      <c r="G5146" s="7"/>
    </row>
    <row r="5147" spans="5:7" x14ac:dyDescent="0.25">
      <c r="E5147" s="27"/>
      <c r="F5147" s="27"/>
      <c r="G5147" s="7"/>
    </row>
    <row r="5148" spans="5:7" x14ac:dyDescent="0.25">
      <c r="E5148" s="27"/>
      <c r="F5148" s="27"/>
      <c r="G5148" s="7"/>
    </row>
    <row r="5149" spans="5:7" x14ac:dyDescent="0.25">
      <c r="E5149" s="27"/>
      <c r="F5149" s="27"/>
      <c r="G5149" s="7"/>
    </row>
    <row r="5150" spans="5:7" x14ac:dyDescent="0.25">
      <c r="E5150" s="27"/>
      <c r="F5150" s="27"/>
      <c r="G5150" s="7"/>
    </row>
    <row r="5151" spans="5:7" x14ac:dyDescent="0.25">
      <c r="E5151" s="27"/>
      <c r="F5151" s="27"/>
      <c r="G5151" s="7"/>
    </row>
    <row r="5152" spans="5:7" x14ac:dyDescent="0.25">
      <c r="E5152" s="27"/>
      <c r="F5152" s="27"/>
      <c r="G5152" s="7"/>
    </row>
    <row r="5153" spans="5:7" x14ac:dyDescent="0.25">
      <c r="E5153" s="27"/>
      <c r="F5153" s="27"/>
      <c r="G5153" s="7"/>
    </row>
    <row r="5154" spans="5:7" x14ac:dyDescent="0.25">
      <c r="E5154" s="27"/>
      <c r="F5154" s="27"/>
      <c r="G5154" s="7"/>
    </row>
    <row r="5155" spans="5:7" x14ac:dyDescent="0.25">
      <c r="E5155" s="27"/>
      <c r="F5155" s="27"/>
      <c r="G5155" s="7"/>
    </row>
    <row r="5156" spans="5:7" x14ac:dyDescent="0.25">
      <c r="E5156" s="27"/>
      <c r="F5156" s="27"/>
      <c r="G5156" s="7"/>
    </row>
    <row r="5157" spans="5:7" x14ac:dyDescent="0.25">
      <c r="E5157" s="27"/>
      <c r="F5157" s="27"/>
      <c r="G5157" s="7"/>
    </row>
    <row r="5158" spans="5:7" x14ac:dyDescent="0.25">
      <c r="E5158" s="27"/>
      <c r="F5158" s="27"/>
      <c r="G5158" s="7"/>
    </row>
    <row r="5159" spans="5:7" x14ac:dyDescent="0.25">
      <c r="E5159" s="27"/>
      <c r="F5159" s="27"/>
      <c r="G5159" s="7"/>
    </row>
    <row r="5160" spans="5:7" x14ac:dyDescent="0.25">
      <c r="E5160" s="27"/>
      <c r="F5160" s="27"/>
      <c r="G5160" s="7"/>
    </row>
    <row r="5161" spans="5:7" x14ac:dyDescent="0.25">
      <c r="E5161" s="27"/>
      <c r="F5161" s="27"/>
      <c r="G5161" s="7"/>
    </row>
    <row r="5162" spans="5:7" x14ac:dyDescent="0.25">
      <c r="E5162" s="27"/>
      <c r="F5162" s="27"/>
      <c r="G5162" s="7"/>
    </row>
    <row r="5163" spans="5:7" x14ac:dyDescent="0.25">
      <c r="E5163" s="27"/>
      <c r="F5163" s="27"/>
      <c r="G5163" s="7"/>
    </row>
    <row r="5164" spans="5:7" x14ac:dyDescent="0.25">
      <c r="E5164" s="27"/>
      <c r="F5164" s="27"/>
      <c r="G5164" s="7"/>
    </row>
    <row r="5165" spans="5:7" x14ac:dyDescent="0.25">
      <c r="E5165" s="27"/>
      <c r="F5165" s="27"/>
      <c r="G5165" s="7"/>
    </row>
    <row r="5166" spans="5:7" x14ac:dyDescent="0.25">
      <c r="E5166" s="27"/>
      <c r="F5166" s="27"/>
      <c r="G5166" s="7"/>
    </row>
    <row r="5167" spans="5:7" x14ac:dyDescent="0.25">
      <c r="E5167" s="27"/>
      <c r="F5167" s="27"/>
      <c r="G5167" s="7"/>
    </row>
    <row r="5168" spans="5:7" x14ac:dyDescent="0.25">
      <c r="E5168" s="27"/>
      <c r="F5168" s="27"/>
      <c r="G5168" s="7"/>
    </row>
    <row r="5169" spans="5:7" x14ac:dyDescent="0.25">
      <c r="E5169" s="27"/>
      <c r="F5169" s="27"/>
      <c r="G5169" s="7"/>
    </row>
    <row r="5170" spans="5:7" x14ac:dyDescent="0.25">
      <c r="E5170" s="27"/>
      <c r="F5170" s="27"/>
      <c r="G5170" s="7"/>
    </row>
    <row r="5171" spans="5:7" x14ac:dyDescent="0.25">
      <c r="E5171" s="27"/>
      <c r="F5171" s="27"/>
      <c r="G5171" s="7"/>
    </row>
    <row r="5172" spans="5:7" x14ac:dyDescent="0.25">
      <c r="E5172" s="27"/>
      <c r="F5172" s="27"/>
      <c r="G5172" s="7"/>
    </row>
    <row r="5173" spans="5:7" x14ac:dyDescent="0.25">
      <c r="E5173" s="27"/>
      <c r="F5173" s="27"/>
      <c r="G5173" s="7"/>
    </row>
    <row r="5174" spans="5:7" x14ac:dyDescent="0.25">
      <c r="E5174" s="27"/>
      <c r="F5174" s="27"/>
      <c r="G5174" s="7"/>
    </row>
    <row r="5175" spans="5:7" x14ac:dyDescent="0.25">
      <c r="E5175" s="27"/>
      <c r="F5175" s="27"/>
      <c r="G5175" s="7"/>
    </row>
    <row r="5176" spans="5:7" x14ac:dyDescent="0.25">
      <c r="E5176" s="27"/>
      <c r="F5176" s="27"/>
      <c r="G5176" s="7"/>
    </row>
    <row r="5177" spans="5:7" x14ac:dyDescent="0.25">
      <c r="E5177" s="27"/>
      <c r="F5177" s="27"/>
      <c r="G5177" s="7"/>
    </row>
    <row r="5178" spans="5:7" x14ac:dyDescent="0.25">
      <c r="E5178" s="27"/>
      <c r="F5178" s="27"/>
      <c r="G5178" s="7"/>
    </row>
    <row r="5179" spans="5:7" x14ac:dyDescent="0.25">
      <c r="E5179" s="27"/>
      <c r="F5179" s="27"/>
      <c r="G5179" s="7"/>
    </row>
    <row r="5180" spans="5:7" x14ac:dyDescent="0.25">
      <c r="E5180" s="27"/>
      <c r="F5180" s="27"/>
      <c r="G5180" s="7"/>
    </row>
    <row r="5181" spans="5:7" x14ac:dyDescent="0.25">
      <c r="E5181" s="27"/>
      <c r="F5181" s="27"/>
      <c r="G5181" s="7"/>
    </row>
    <row r="5182" spans="5:7" x14ac:dyDescent="0.25">
      <c r="E5182" s="27"/>
      <c r="F5182" s="27"/>
      <c r="G5182" s="7"/>
    </row>
    <row r="5183" spans="5:7" x14ac:dyDescent="0.25">
      <c r="E5183" s="27"/>
      <c r="F5183" s="27"/>
      <c r="G5183" s="7"/>
    </row>
    <row r="5184" spans="5:7" x14ac:dyDescent="0.25">
      <c r="E5184" s="27"/>
      <c r="F5184" s="27"/>
      <c r="G5184" s="7"/>
    </row>
    <row r="5185" spans="5:7" x14ac:dyDescent="0.25">
      <c r="E5185" s="27"/>
      <c r="F5185" s="27"/>
      <c r="G5185" s="7"/>
    </row>
    <row r="5186" spans="5:7" x14ac:dyDescent="0.25">
      <c r="E5186" s="27"/>
      <c r="F5186" s="27"/>
      <c r="G5186" s="7"/>
    </row>
    <row r="5187" spans="5:7" x14ac:dyDescent="0.25">
      <c r="E5187" s="27"/>
      <c r="F5187" s="27"/>
      <c r="G5187" s="7"/>
    </row>
    <row r="5188" spans="5:7" x14ac:dyDescent="0.25">
      <c r="E5188" s="27"/>
      <c r="F5188" s="27"/>
      <c r="G5188" s="7"/>
    </row>
    <row r="5189" spans="5:7" x14ac:dyDescent="0.25">
      <c r="E5189" s="27"/>
      <c r="F5189" s="27"/>
      <c r="G5189" s="7"/>
    </row>
    <row r="5190" spans="5:7" x14ac:dyDescent="0.25">
      <c r="E5190" s="27"/>
      <c r="F5190" s="27"/>
      <c r="G5190" s="7"/>
    </row>
    <row r="5191" spans="5:7" x14ac:dyDescent="0.25">
      <c r="E5191" s="27"/>
      <c r="F5191" s="27"/>
      <c r="G5191" s="7"/>
    </row>
    <row r="5192" spans="5:7" x14ac:dyDescent="0.25">
      <c r="E5192" s="27"/>
      <c r="F5192" s="27"/>
      <c r="G5192" s="7"/>
    </row>
    <row r="5193" spans="5:7" x14ac:dyDescent="0.25">
      <c r="E5193" s="27"/>
      <c r="F5193" s="27"/>
      <c r="G5193" s="7"/>
    </row>
    <row r="5194" spans="5:7" x14ac:dyDescent="0.25">
      <c r="E5194" s="27"/>
      <c r="F5194" s="27"/>
      <c r="G5194" s="7"/>
    </row>
    <row r="5195" spans="5:7" x14ac:dyDescent="0.25">
      <c r="E5195" s="27"/>
      <c r="F5195" s="27"/>
      <c r="G5195" s="7"/>
    </row>
    <row r="5196" spans="5:7" x14ac:dyDescent="0.25">
      <c r="E5196" s="27"/>
      <c r="F5196" s="27"/>
      <c r="G5196" s="7"/>
    </row>
    <row r="5197" spans="5:7" x14ac:dyDescent="0.25">
      <c r="E5197" s="27"/>
      <c r="F5197" s="27"/>
      <c r="G5197" s="7"/>
    </row>
    <row r="5198" spans="5:7" x14ac:dyDescent="0.25">
      <c r="E5198" s="27"/>
      <c r="F5198" s="27"/>
      <c r="G5198" s="7"/>
    </row>
    <row r="5199" spans="5:7" x14ac:dyDescent="0.25">
      <c r="E5199" s="27"/>
      <c r="F5199" s="27"/>
      <c r="G5199" s="7"/>
    </row>
    <row r="5200" spans="5:7" x14ac:dyDescent="0.25">
      <c r="E5200" s="27"/>
      <c r="F5200" s="27"/>
      <c r="G5200" s="7"/>
    </row>
    <row r="5201" spans="5:7" x14ac:dyDescent="0.25">
      <c r="E5201" s="27"/>
      <c r="F5201" s="27"/>
      <c r="G5201" s="7"/>
    </row>
    <row r="5202" spans="5:7" x14ac:dyDescent="0.25">
      <c r="E5202" s="27"/>
      <c r="F5202" s="27"/>
      <c r="G5202" s="7"/>
    </row>
    <row r="5203" spans="5:7" x14ac:dyDescent="0.25">
      <c r="E5203" s="27"/>
      <c r="F5203" s="27"/>
      <c r="G5203" s="7"/>
    </row>
    <row r="5204" spans="5:7" x14ac:dyDescent="0.25">
      <c r="E5204" s="27"/>
      <c r="F5204" s="27"/>
      <c r="G5204" s="7"/>
    </row>
    <row r="5205" spans="5:7" x14ac:dyDescent="0.25">
      <c r="E5205" s="27"/>
      <c r="F5205" s="27"/>
      <c r="G5205" s="7"/>
    </row>
    <row r="5206" spans="5:7" x14ac:dyDescent="0.25">
      <c r="E5206" s="27"/>
      <c r="F5206" s="27"/>
      <c r="G5206" s="7"/>
    </row>
    <row r="5207" spans="5:7" x14ac:dyDescent="0.25">
      <c r="E5207" s="27"/>
      <c r="F5207" s="27"/>
      <c r="G5207" s="7"/>
    </row>
    <row r="5208" spans="5:7" x14ac:dyDescent="0.25">
      <c r="E5208" s="27"/>
      <c r="F5208" s="27"/>
      <c r="G5208" s="7"/>
    </row>
    <row r="5209" spans="5:7" x14ac:dyDescent="0.25">
      <c r="E5209" s="27"/>
      <c r="F5209" s="27"/>
      <c r="G5209" s="7"/>
    </row>
    <row r="5210" spans="5:7" x14ac:dyDescent="0.25">
      <c r="E5210" s="27"/>
      <c r="F5210" s="27"/>
      <c r="G5210" s="7"/>
    </row>
    <row r="5211" spans="5:7" x14ac:dyDescent="0.25">
      <c r="E5211" s="27"/>
      <c r="F5211" s="27"/>
      <c r="G5211" s="7"/>
    </row>
    <row r="5212" spans="5:7" x14ac:dyDescent="0.25">
      <c r="E5212" s="27"/>
      <c r="F5212" s="27"/>
      <c r="G5212" s="7"/>
    </row>
    <row r="5213" spans="5:7" x14ac:dyDescent="0.25">
      <c r="E5213" s="27"/>
      <c r="F5213" s="27"/>
      <c r="G5213" s="7"/>
    </row>
    <row r="5214" spans="5:7" x14ac:dyDescent="0.25">
      <c r="E5214" s="27"/>
      <c r="F5214" s="27"/>
      <c r="G5214" s="7"/>
    </row>
    <row r="5215" spans="5:7" x14ac:dyDescent="0.25">
      <c r="E5215" s="27"/>
      <c r="F5215" s="27"/>
      <c r="G5215" s="7"/>
    </row>
    <row r="5216" spans="5:7" x14ac:dyDescent="0.25">
      <c r="E5216" s="27"/>
      <c r="F5216" s="27"/>
      <c r="G5216" s="7"/>
    </row>
    <row r="5217" spans="5:7" x14ac:dyDescent="0.25">
      <c r="E5217" s="27"/>
      <c r="F5217" s="27"/>
      <c r="G5217" s="7"/>
    </row>
    <row r="5218" spans="5:7" x14ac:dyDescent="0.25">
      <c r="E5218" s="27"/>
      <c r="F5218" s="27"/>
      <c r="G5218" s="7"/>
    </row>
    <row r="5219" spans="5:7" x14ac:dyDescent="0.25">
      <c r="E5219" s="27"/>
      <c r="F5219" s="27"/>
      <c r="G5219" s="7"/>
    </row>
    <row r="5220" spans="5:7" x14ac:dyDescent="0.25">
      <c r="E5220" s="27"/>
      <c r="F5220" s="27"/>
      <c r="G5220" s="7"/>
    </row>
    <row r="5221" spans="5:7" x14ac:dyDescent="0.25">
      <c r="E5221" s="27"/>
      <c r="F5221" s="27"/>
      <c r="G5221" s="7"/>
    </row>
    <row r="5222" spans="5:7" x14ac:dyDescent="0.25">
      <c r="E5222" s="27"/>
      <c r="F5222" s="27"/>
      <c r="G5222" s="7"/>
    </row>
    <row r="5223" spans="5:7" x14ac:dyDescent="0.25">
      <c r="E5223" s="27"/>
      <c r="F5223" s="27"/>
      <c r="G5223" s="7"/>
    </row>
    <row r="5224" spans="5:7" x14ac:dyDescent="0.25">
      <c r="E5224" s="27"/>
      <c r="F5224" s="27"/>
      <c r="G5224" s="7"/>
    </row>
    <row r="5225" spans="5:7" x14ac:dyDescent="0.25">
      <c r="E5225" s="27"/>
      <c r="F5225" s="27"/>
      <c r="G5225" s="7"/>
    </row>
    <row r="5226" spans="5:7" x14ac:dyDescent="0.25">
      <c r="E5226" s="27"/>
      <c r="F5226" s="27"/>
      <c r="G5226" s="7"/>
    </row>
    <row r="5227" spans="5:7" x14ac:dyDescent="0.25">
      <c r="E5227" s="27"/>
      <c r="F5227" s="27"/>
      <c r="G5227" s="7"/>
    </row>
    <row r="5228" spans="5:7" x14ac:dyDescent="0.25">
      <c r="E5228" s="27"/>
      <c r="F5228" s="27"/>
      <c r="G5228" s="7"/>
    </row>
    <row r="5229" spans="5:7" x14ac:dyDescent="0.25">
      <c r="E5229" s="27"/>
      <c r="F5229" s="27"/>
      <c r="G5229" s="7"/>
    </row>
    <row r="5230" spans="5:7" x14ac:dyDescent="0.25">
      <c r="E5230" s="27"/>
      <c r="F5230" s="27"/>
      <c r="G5230" s="7"/>
    </row>
    <row r="5231" spans="5:7" x14ac:dyDescent="0.25">
      <c r="E5231" s="27"/>
      <c r="F5231" s="27"/>
      <c r="G5231" s="7"/>
    </row>
    <row r="5232" spans="5:7" x14ac:dyDescent="0.25">
      <c r="E5232" s="27"/>
      <c r="F5232" s="27"/>
      <c r="G5232" s="7"/>
    </row>
    <row r="5233" spans="5:7" x14ac:dyDescent="0.25">
      <c r="E5233" s="27"/>
      <c r="F5233" s="27"/>
      <c r="G5233" s="7"/>
    </row>
    <row r="5234" spans="5:7" x14ac:dyDescent="0.25">
      <c r="E5234" s="27"/>
      <c r="F5234" s="27"/>
      <c r="G5234" s="7"/>
    </row>
    <row r="5235" spans="5:7" x14ac:dyDescent="0.25">
      <c r="E5235" s="27"/>
      <c r="F5235" s="27"/>
      <c r="G5235" s="7"/>
    </row>
    <row r="5236" spans="5:7" x14ac:dyDescent="0.25">
      <c r="E5236" s="27"/>
      <c r="F5236" s="27"/>
      <c r="G5236" s="7"/>
    </row>
    <row r="5237" spans="5:7" x14ac:dyDescent="0.25">
      <c r="E5237" s="27"/>
      <c r="F5237" s="27"/>
      <c r="G5237" s="7"/>
    </row>
    <row r="5238" spans="5:7" x14ac:dyDescent="0.25">
      <c r="E5238" s="27"/>
      <c r="F5238" s="27"/>
      <c r="G5238" s="7"/>
    </row>
    <row r="5239" spans="5:7" x14ac:dyDescent="0.25">
      <c r="E5239" s="27"/>
      <c r="F5239" s="27"/>
      <c r="G5239" s="7"/>
    </row>
    <row r="5240" spans="5:7" x14ac:dyDescent="0.25">
      <c r="E5240" s="27"/>
      <c r="F5240" s="27"/>
      <c r="G5240" s="7"/>
    </row>
    <row r="5241" spans="5:7" x14ac:dyDescent="0.25">
      <c r="E5241" s="27"/>
      <c r="F5241" s="27"/>
      <c r="G5241" s="7"/>
    </row>
    <row r="5242" spans="5:7" x14ac:dyDescent="0.25">
      <c r="E5242" s="27"/>
      <c r="F5242" s="27"/>
      <c r="G5242" s="7"/>
    </row>
    <row r="5243" spans="5:7" x14ac:dyDescent="0.25">
      <c r="E5243" s="27"/>
      <c r="F5243" s="27"/>
      <c r="G5243" s="7"/>
    </row>
    <row r="5244" spans="5:7" x14ac:dyDescent="0.25">
      <c r="E5244" s="27"/>
      <c r="F5244" s="27"/>
      <c r="G5244" s="7"/>
    </row>
    <row r="5245" spans="5:7" x14ac:dyDescent="0.25">
      <c r="E5245" s="27"/>
      <c r="F5245" s="27"/>
      <c r="G5245" s="7"/>
    </row>
    <row r="5246" spans="5:7" x14ac:dyDescent="0.25">
      <c r="E5246" s="27"/>
      <c r="F5246" s="27"/>
      <c r="G5246" s="7"/>
    </row>
    <row r="5247" spans="5:7" x14ac:dyDescent="0.25">
      <c r="E5247" s="27"/>
      <c r="F5247" s="27"/>
      <c r="G5247" s="7"/>
    </row>
    <row r="5248" spans="5:7" x14ac:dyDescent="0.25">
      <c r="E5248" s="27"/>
      <c r="F5248" s="27"/>
      <c r="G5248" s="7"/>
    </row>
    <row r="5249" spans="5:7" x14ac:dyDescent="0.25">
      <c r="E5249" s="27"/>
      <c r="F5249" s="27"/>
      <c r="G5249" s="7"/>
    </row>
    <row r="5250" spans="5:7" x14ac:dyDescent="0.25">
      <c r="E5250" s="27"/>
      <c r="F5250" s="27"/>
      <c r="G5250" s="7"/>
    </row>
    <row r="5251" spans="5:7" x14ac:dyDescent="0.25">
      <c r="E5251" s="27"/>
      <c r="F5251" s="27"/>
      <c r="G5251" s="7"/>
    </row>
    <row r="5252" spans="5:7" x14ac:dyDescent="0.25">
      <c r="E5252" s="27"/>
      <c r="F5252" s="27"/>
      <c r="G5252" s="7"/>
    </row>
    <row r="5253" spans="5:7" x14ac:dyDescent="0.25">
      <c r="E5253" s="27"/>
      <c r="F5253" s="27"/>
      <c r="G5253" s="7"/>
    </row>
    <row r="5254" spans="5:7" x14ac:dyDescent="0.25">
      <c r="E5254" s="27"/>
      <c r="F5254" s="27"/>
      <c r="G5254" s="7"/>
    </row>
    <row r="5255" spans="5:7" x14ac:dyDescent="0.25">
      <c r="E5255" s="27"/>
      <c r="F5255" s="27"/>
      <c r="G5255" s="7"/>
    </row>
    <row r="5256" spans="5:7" x14ac:dyDescent="0.25">
      <c r="E5256" s="27"/>
      <c r="F5256" s="27"/>
      <c r="G5256" s="7"/>
    </row>
    <row r="5257" spans="5:7" x14ac:dyDescent="0.25">
      <c r="E5257" s="27"/>
      <c r="F5257" s="27"/>
      <c r="G5257" s="7"/>
    </row>
    <row r="5258" spans="5:7" x14ac:dyDescent="0.25">
      <c r="E5258" s="27"/>
      <c r="F5258" s="27"/>
      <c r="G5258" s="7"/>
    </row>
    <row r="5259" spans="5:7" x14ac:dyDescent="0.25">
      <c r="E5259" s="27"/>
      <c r="F5259" s="27"/>
      <c r="G5259" s="7"/>
    </row>
    <row r="5260" spans="5:7" x14ac:dyDescent="0.25">
      <c r="E5260" s="27"/>
      <c r="F5260" s="27"/>
      <c r="G5260" s="7"/>
    </row>
    <row r="5261" spans="5:7" x14ac:dyDescent="0.25">
      <c r="E5261" s="27"/>
      <c r="F5261" s="27"/>
      <c r="G5261" s="7"/>
    </row>
    <row r="5262" spans="5:7" x14ac:dyDescent="0.25">
      <c r="E5262" s="27"/>
      <c r="F5262" s="27"/>
      <c r="G5262" s="7"/>
    </row>
    <row r="5263" spans="5:7" x14ac:dyDescent="0.25">
      <c r="E5263" s="27"/>
      <c r="F5263" s="27"/>
      <c r="G5263" s="7"/>
    </row>
    <row r="5264" spans="5:7" x14ac:dyDescent="0.25">
      <c r="E5264" s="27"/>
      <c r="F5264" s="27"/>
      <c r="G5264" s="7"/>
    </row>
    <row r="5265" spans="5:7" x14ac:dyDescent="0.25">
      <c r="E5265" s="27"/>
      <c r="F5265" s="27"/>
      <c r="G5265" s="7"/>
    </row>
    <row r="5266" spans="5:7" x14ac:dyDescent="0.25">
      <c r="E5266" s="27"/>
      <c r="F5266" s="27"/>
      <c r="G5266" s="7"/>
    </row>
    <row r="5267" spans="5:7" x14ac:dyDescent="0.25">
      <c r="E5267" s="27"/>
      <c r="F5267" s="27"/>
      <c r="G5267" s="7"/>
    </row>
    <row r="5268" spans="5:7" x14ac:dyDescent="0.25">
      <c r="E5268" s="27"/>
      <c r="F5268" s="27"/>
      <c r="G5268" s="7"/>
    </row>
    <row r="5269" spans="5:7" x14ac:dyDescent="0.25">
      <c r="E5269" s="27"/>
      <c r="F5269" s="27"/>
      <c r="G5269" s="7"/>
    </row>
    <row r="5270" spans="5:7" x14ac:dyDescent="0.25">
      <c r="E5270" s="27"/>
      <c r="F5270" s="27"/>
      <c r="G5270" s="7"/>
    </row>
    <row r="5271" spans="5:7" x14ac:dyDescent="0.25">
      <c r="E5271" s="27"/>
      <c r="F5271" s="27"/>
      <c r="G5271" s="7"/>
    </row>
    <row r="5272" spans="5:7" x14ac:dyDescent="0.25">
      <c r="E5272" s="27"/>
      <c r="F5272" s="27"/>
      <c r="G5272" s="7"/>
    </row>
    <row r="5273" spans="5:7" x14ac:dyDescent="0.25">
      <c r="E5273" s="27"/>
      <c r="F5273" s="27"/>
      <c r="G5273" s="7"/>
    </row>
    <row r="5274" spans="5:7" x14ac:dyDescent="0.25">
      <c r="E5274" s="27"/>
      <c r="F5274" s="27"/>
      <c r="G5274" s="7"/>
    </row>
    <row r="5275" spans="5:7" x14ac:dyDescent="0.25">
      <c r="E5275" s="27"/>
      <c r="F5275" s="27"/>
      <c r="G5275" s="7"/>
    </row>
    <row r="5276" spans="5:7" x14ac:dyDescent="0.25">
      <c r="E5276" s="27"/>
      <c r="F5276" s="27"/>
      <c r="G5276" s="7"/>
    </row>
    <row r="5277" spans="5:7" x14ac:dyDescent="0.25">
      <c r="E5277" s="27"/>
      <c r="F5277" s="27"/>
      <c r="G5277" s="7"/>
    </row>
    <row r="5278" spans="5:7" x14ac:dyDescent="0.25">
      <c r="E5278" s="27"/>
      <c r="F5278" s="27"/>
      <c r="G5278" s="7"/>
    </row>
    <row r="5279" spans="5:7" x14ac:dyDescent="0.25">
      <c r="E5279" s="27"/>
      <c r="F5279" s="27"/>
      <c r="G5279" s="7"/>
    </row>
    <row r="5280" spans="5:7" x14ac:dyDescent="0.25">
      <c r="E5280" s="27"/>
      <c r="F5280" s="27"/>
      <c r="G5280" s="7"/>
    </row>
    <row r="5281" spans="5:7" x14ac:dyDescent="0.25">
      <c r="E5281" s="27"/>
      <c r="F5281" s="27"/>
      <c r="G5281" s="7"/>
    </row>
    <row r="5282" spans="5:7" x14ac:dyDescent="0.25">
      <c r="E5282" s="27"/>
      <c r="F5282" s="27"/>
      <c r="G5282" s="7"/>
    </row>
    <row r="5283" spans="5:7" x14ac:dyDescent="0.25">
      <c r="E5283" s="27"/>
      <c r="F5283" s="27"/>
      <c r="G5283" s="7"/>
    </row>
    <row r="5284" spans="5:7" x14ac:dyDescent="0.25">
      <c r="E5284" s="27"/>
      <c r="F5284" s="27"/>
      <c r="G5284" s="7"/>
    </row>
    <row r="5285" spans="5:7" x14ac:dyDescent="0.25">
      <c r="E5285" s="27"/>
      <c r="F5285" s="27"/>
      <c r="G5285" s="7"/>
    </row>
    <row r="5286" spans="5:7" x14ac:dyDescent="0.25">
      <c r="E5286" s="27"/>
      <c r="F5286" s="27"/>
      <c r="G5286" s="7"/>
    </row>
    <row r="5287" spans="5:7" x14ac:dyDescent="0.25">
      <c r="E5287" s="27"/>
      <c r="F5287" s="27"/>
      <c r="G5287" s="7"/>
    </row>
    <row r="5288" spans="5:7" x14ac:dyDescent="0.25">
      <c r="E5288" s="27"/>
      <c r="F5288" s="27"/>
      <c r="G5288" s="7"/>
    </row>
    <row r="5289" spans="5:7" x14ac:dyDescent="0.25">
      <c r="E5289" s="27"/>
      <c r="F5289" s="27"/>
      <c r="G5289" s="7"/>
    </row>
    <row r="5290" spans="5:7" x14ac:dyDescent="0.25">
      <c r="E5290" s="27"/>
      <c r="F5290" s="27"/>
      <c r="G5290" s="7"/>
    </row>
    <row r="5291" spans="5:7" x14ac:dyDescent="0.25">
      <c r="E5291" s="27"/>
      <c r="F5291" s="27"/>
      <c r="G5291" s="7"/>
    </row>
    <row r="5292" spans="5:7" x14ac:dyDescent="0.25">
      <c r="E5292" s="27"/>
      <c r="F5292" s="27"/>
      <c r="G5292" s="7"/>
    </row>
    <row r="5293" spans="5:7" x14ac:dyDescent="0.25">
      <c r="E5293" s="27"/>
      <c r="F5293" s="27"/>
      <c r="G5293" s="7"/>
    </row>
    <row r="5294" spans="5:7" x14ac:dyDescent="0.25">
      <c r="E5294" s="27"/>
      <c r="F5294" s="27"/>
      <c r="G5294" s="7"/>
    </row>
    <row r="5295" spans="5:7" x14ac:dyDescent="0.25">
      <c r="E5295" s="27"/>
      <c r="F5295" s="27"/>
      <c r="G5295" s="7"/>
    </row>
    <row r="5296" spans="5:7" x14ac:dyDescent="0.25">
      <c r="E5296" s="27"/>
      <c r="F5296" s="27"/>
      <c r="G5296" s="7"/>
    </row>
    <row r="5297" spans="5:7" x14ac:dyDescent="0.25">
      <c r="E5297" s="27"/>
      <c r="F5297" s="27"/>
      <c r="G5297" s="7"/>
    </row>
    <row r="5298" spans="5:7" x14ac:dyDescent="0.25">
      <c r="E5298" s="27"/>
      <c r="F5298" s="27"/>
      <c r="G5298" s="7"/>
    </row>
    <row r="5299" spans="5:7" x14ac:dyDescent="0.25">
      <c r="E5299" s="27"/>
      <c r="F5299" s="27"/>
      <c r="G5299" s="7"/>
    </row>
    <row r="5300" spans="5:7" x14ac:dyDescent="0.25">
      <c r="E5300" s="27"/>
      <c r="F5300" s="27"/>
      <c r="G5300" s="7"/>
    </row>
    <row r="5301" spans="5:7" x14ac:dyDescent="0.25">
      <c r="E5301" s="27"/>
      <c r="F5301" s="27"/>
      <c r="G5301" s="7"/>
    </row>
    <row r="5302" spans="5:7" x14ac:dyDescent="0.25">
      <c r="E5302" s="27"/>
      <c r="F5302" s="27"/>
      <c r="G5302" s="7"/>
    </row>
    <row r="5303" spans="5:7" x14ac:dyDescent="0.25">
      <c r="E5303" s="27"/>
      <c r="F5303" s="27"/>
      <c r="G5303" s="7"/>
    </row>
    <row r="5304" spans="5:7" x14ac:dyDescent="0.25">
      <c r="E5304" s="27"/>
      <c r="F5304" s="27"/>
      <c r="G5304" s="7"/>
    </row>
    <row r="5305" spans="5:7" x14ac:dyDescent="0.25">
      <c r="E5305" s="27"/>
      <c r="F5305" s="27"/>
      <c r="G5305" s="7"/>
    </row>
    <row r="5306" spans="5:7" x14ac:dyDescent="0.25">
      <c r="E5306" s="27"/>
      <c r="F5306" s="27"/>
      <c r="G5306" s="7"/>
    </row>
    <row r="5307" spans="5:7" x14ac:dyDescent="0.25">
      <c r="E5307" s="27"/>
      <c r="F5307" s="27"/>
      <c r="G5307" s="7"/>
    </row>
    <row r="5308" spans="5:7" x14ac:dyDescent="0.25">
      <c r="E5308" s="27"/>
      <c r="F5308" s="27"/>
      <c r="G5308" s="7"/>
    </row>
    <row r="5309" spans="5:7" x14ac:dyDescent="0.25">
      <c r="E5309" s="27"/>
      <c r="F5309" s="27"/>
      <c r="G5309" s="7"/>
    </row>
    <row r="5310" spans="5:7" x14ac:dyDescent="0.25">
      <c r="E5310" s="27"/>
      <c r="F5310" s="27"/>
      <c r="G5310" s="7"/>
    </row>
    <row r="5311" spans="5:7" x14ac:dyDescent="0.25">
      <c r="E5311" s="27"/>
      <c r="F5311" s="27"/>
      <c r="G5311" s="7"/>
    </row>
    <row r="5312" spans="5:7" x14ac:dyDescent="0.25">
      <c r="E5312" s="27"/>
      <c r="F5312" s="27"/>
      <c r="G5312" s="7"/>
    </row>
    <row r="5313" spans="5:7" x14ac:dyDescent="0.25">
      <c r="E5313" s="27"/>
      <c r="F5313" s="27"/>
      <c r="G5313" s="7"/>
    </row>
    <row r="5314" spans="5:7" x14ac:dyDescent="0.25">
      <c r="E5314" s="27"/>
      <c r="F5314" s="27"/>
      <c r="G5314" s="7"/>
    </row>
    <row r="5315" spans="5:7" x14ac:dyDescent="0.25">
      <c r="E5315" s="27"/>
      <c r="F5315" s="27"/>
      <c r="G5315" s="7"/>
    </row>
    <row r="5316" spans="5:7" x14ac:dyDescent="0.25">
      <c r="E5316" s="27"/>
      <c r="F5316" s="27"/>
      <c r="G5316" s="7"/>
    </row>
    <row r="5317" spans="5:7" x14ac:dyDescent="0.25">
      <c r="E5317" s="27"/>
      <c r="F5317" s="27"/>
      <c r="G5317" s="7"/>
    </row>
    <row r="5318" spans="5:7" x14ac:dyDescent="0.25">
      <c r="E5318" s="27"/>
      <c r="F5318" s="27"/>
      <c r="G5318" s="7"/>
    </row>
    <row r="5319" spans="5:7" x14ac:dyDescent="0.25">
      <c r="E5319" s="27"/>
      <c r="F5319" s="27"/>
      <c r="G5319" s="7"/>
    </row>
    <row r="5320" spans="5:7" x14ac:dyDescent="0.25">
      <c r="E5320" s="27"/>
      <c r="F5320" s="27"/>
      <c r="G5320" s="7"/>
    </row>
    <row r="5321" spans="5:7" x14ac:dyDescent="0.25">
      <c r="E5321" s="27"/>
      <c r="F5321" s="27"/>
      <c r="G5321" s="7"/>
    </row>
    <row r="5322" spans="5:7" x14ac:dyDescent="0.25">
      <c r="E5322" s="27"/>
      <c r="F5322" s="27"/>
      <c r="G5322" s="7"/>
    </row>
    <row r="5323" spans="5:7" x14ac:dyDescent="0.25">
      <c r="E5323" s="27"/>
      <c r="F5323" s="27"/>
      <c r="G5323" s="7"/>
    </row>
    <row r="5324" spans="5:7" x14ac:dyDescent="0.25">
      <c r="E5324" s="27"/>
      <c r="F5324" s="27"/>
      <c r="G5324" s="7"/>
    </row>
    <row r="5325" spans="5:7" x14ac:dyDescent="0.25">
      <c r="E5325" s="27"/>
      <c r="F5325" s="27"/>
      <c r="G5325" s="7"/>
    </row>
    <row r="5326" spans="5:7" x14ac:dyDescent="0.25">
      <c r="E5326" s="27"/>
      <c r="F5326" s="27"/>
      <c r="G5326" s="7"/>
    </row>
    <row r="5327" spans="5:7" x14ac:dyDescent="0.25">
      <c r="E5327" s="27"/>
      <c r="F5327" s="27"/>
      <c r="G5327" s="7"/>
    </row>
    <row r="5328" spans="5:7" x14ac:dyDescent="0.25">
      <c r="E5328" s="27"/>
      <c r="F5328" s="27"/>
      <c r="G5328" s="7"/>
    </row>
    <row r="5329" spans="5:7" x14ac:dyDescent="0.25">
      <c r="E5329" s="27"/>
      <c r="F5329" s="27"/>
      <c r="G5329" s="7"/>
    </row>
    <row r="5330" spans="5:7" x14ac:dyDescent="0.25">
      <c r="E5330" s="27"/>
      <c r="F5330" s="27"/>
      <c r="G5330" s="7"/>
    </row>
    <row r="5331" spans="5:7" x14ac:dyDescent="0.25">
      <c r="E5331" s="27"/>
      <c r="F5331" s="27"/>
      <c r="G5331" s="7"/>
    </row>
    <row r="5332" spans="5:7" x14ac:dyDescent="0.25">
      <c r="E5332" s="27"/>
      <c r="F5332" s="27"/>
      <c r="G5332" s="7"/>
    </row>
    <row r="5333" spans="5:7" x14ac:dyDescent="0.25">
      <c r="E5333" s="27"/>
      <c r="F5333" s="27"/>
      <c r="G5333" s="7"/>
    </row>
    <row r="5334" spans="5:7" x14ac:dyDescent="0.25">
      <c r="E5334" s="27"/>
      <c r="F5334" s="27"/>
      <c r="G5334" s="7"/>
    </row>
    <row r="5335" spans="5:7" x14ac:dyDescent="0.25">
      <c r="E5335" s="27"/>
      <c r="F5335" s="27"/>
      <c r="G5335" s="7"/>
    </row>
    <row r="5336" spans="5:7" x14ac:dyDescent="0.25">
      <c r="E5336" s="27"/>
      <c r="F5336" s="27"/>
      <c r="G5336" s="7"/>
    </row>
    <row r="5337" spans="5:7" x14ac:dyDescent="0.25">
      <c r="E5337" s="27"/>
      <c r="F5337" s="27"/>
      <c r="G5337" s="7"/>
    </row>
    <row r="5338" spans="5:7" x14ac:dyDescent="0.25">
      <c r="E5338" s="27"/>
      <c r="F5338" s="27"/>
      <c r="G5338" s="7"/>
    </row>
    <row r="5339" spans="5:7" x14ac:dyDescent="0.25">
      <c r="E5339" s="27"/>
      <c r="F5339" s="27"/>
      <c r="G5339" s="7"/>
    </row>
    <row r="5340" spans="5:7" x14ac:dyDescent="0.25">
      <c r="E5340" s="27"/>
      <c r="F5340" s="27"/>
      <c r="G5340" s="7"/>
    </row>
    <row r="5341" spans="5:7" x14ac:dyDescent="0.25">
      <c r="E5341" s="27"/>
      <c r="F5341" s="27"/>
      <c r="G5341" s="7"/>
    </row>
    <row r="5342" spans="5:7" x14ac:dyDescent="0.25">
      <c r="E5342" s="27"/>
      <c r="F5342" s="27"/>
      <c r="G5342" s="7"/>
    </row>
    <row r="5343" spans="5:7" x14ac:dyDescent="0.25">
      <c r="E5343" s="27"/>
      <c r="F5343" s="27"/>
      <c r="G5343" s="7"/>
    </row>
    <row r="5344" spans="5:7" x14ac:dyDescent="0.25">
      <c r="E5344" s="27"/>
      <c r="F5344" s="27"/>
      <c r="G5344" s="7"/>
    </row>
    <row r="5345" spans="5:7" x14ac:dyDescent="0.25">
      <c r="E5345" s="27"/>
      <c r="F5345" s="27"/>
      <c r="G5345" s="7"/>
    </row>
    <row r="5346" spans="5:7" x14ac:dyDescent="0.25">
      <c r="E5346" s="27"/>
      <c r="F5346" s="27"/>
      <c r="G5346" s="7"/>
    </row>
    <row r="5347" spans="5:7" x14ac:dyDescent="0.25">
      <c r="E5347" s="27"/>
      <c r="F5347" s="27"/>
      <c r="G5347" s="7"/>
    </row>
    <row r="5348" spans="5:7" x14ac:dyDescent="0.25">
      <c r="E5348" s="27"/>
      <c r="F5348" s="27"/>
      <c r="G5348" s="7"/>
    </row>
    <row r="5349" spans="5:7" x14ac:dyDescent="0.25">
      <c r="E5349" s="27"/>
      <c r="F5349" s="27"/>
      <c r="G5349" s="7"/>
    </row>
    <row r="5350" spans="5:7" x14ac:dyDescent="0.25">
      <c r="E5350" s="27"/>
      <c r="F5350" s="27"/>
      <c r="G5350" s="7"/>
    </row>
    <row r="5351" spans="5:7" x14ac:dyDescent="0.25">
      <c r="E5351" s="27"/>
      <c r="F5351" s="27"/>
      <c r="G5351" s="7"/>
    </row>
    <row r="5352" spans="5:7" x14ac:dyDescent="0.25">
      <c r="E5352" s="27"/>
      <c r="F5352" s="27"/>
      <c r="G5352" s="7"/>
    </row>
    <row r="5353" spans="5:7" x14ac:dyDescent="0.25">
      <c r="E5353" s="27"/>
      <c r="F5353" s="27"/>
      <c r="G5353" s="7"/>
    </row>
    <row r="5354" spans="5:7" x14ac:dyDescent="0.25">
      <c r="E5354" s="27"/>
      <c r="F5354" s="27"/>
      <c r="G5354" s="7"/>
    </row>
    <row r="5355" spans="5:7" x14ac:dyDescent="0.25">
      <c r="E5355" s="27"/>
      <c r="F5355" s="27"/>
      <c r="G5355" s="7"/>
    </row>
    <row r="5356" spans="5:7" x14ac:dyDescent="0.25">
      <c r="E5356" s="27"/>
      <c r="F5356" s="27"/>
      <c r="G5356" s="7"/>
    </row>
    <row r="5357" spans="5:7" x14ac:dyDescent="0.25">
      <c r="E5357" s="27"/>
      <c r="F5357" s="27"/>
      <c r="G5357" s="7"/>
    </row>
    <row r="5358" spans="5:7" x14ac:dyDescent="0.25">
      <c r="E5358" s="27"/>
      <c r="F5358" s="27"/>
      <c r="G5358" s="7"/>
    </row>
    <row r="5359" spans="5:7" x14ac:dyDescent="0.25">
      <c r="E5359" s="27"/>
      <c r="F5359" s="27"/>
      <c r="G5359" s="7"/>
    </row>
    <row r="5360" spans="5:7" x14ac:dyDescent="0.25">
      <c r="E5360" s="27"/>
      <c r="F5360" s="27"/>
      <c r="G5360" s="7"/>
    </row>
    <row r="5361" spans="5:7" x14ac:dyDescent="0.25">
      <c r="E5361" s="27"/>
      <c r="F5361" s="27"/>
      <c r="G5361" s="7"/>
    </row>
    <row r="5362" spans="5:7" x14ac:dyDescent="0.25">
      <c r="E5362" s="27"/>
      <c r="F5362" s="27"/>
      <c r="G5362" s="7"/>
    </row>
    <row r="5363" spans="5:7" x14ac:dyDescent="0.25">
      <c r="E5363" s="27"/>
      <c r="F5363" s="27"/>
      <c r="G5363" s="7"/>
    </row>
    <row r="5364" spans="5:7" x14ac:dyDescent="0.25">
      <c r="E5364" s="27"/>
      <c r="F5364" s="27"/>
      <c r="G5364" s="7"/>
    </row>
    <row r="5365" spans="5:7" x14ac:dyDescent="0.25">
      <c r="E5365" s="27"/>
      <c r="F5365" s="27"/>
      <c r="G5365" s="7"/>
    </row>
    <row r="5366" spans="5:7" x14ac:dyDescent="0.25">
      <c r="E5366" s="27"/>
      <c r="F5366" s="27"/>
      <c r="G5366" s="7"/>
    </row>
    <row r="5367" spans="5:7" x14ac:dyDescent="0.25">
      <c r="E5367" s="27"/>
      <c r="F5367" s="27"/>
      <c r="G5367" s="7"/>
    </row>
    <row r="5368" spans="5:7" x14ac:dyDescent="0.25">
      <c r="E5368" s="27"/>
      <c r="F5368" s="27"/>
      <c r="G5368" s="7"/>
    </row>
    <row r="5369" spans="5:7" x14ac:dyDescent="0.25">
      <c r="E5369" s="27"/>
      <c r="F5369" s="27"/>
      <c r="G5369" s="7"/>
    </row>
    <row r="5370" spans="5:7" x14ac:dyDescent="0.25">
      <c r="E5370" s="27"/>
      <c r="F5370" s="27"/>
      <c r="G5370" s="7"/>
    </row>
    <row r="5371" spans="5:7" x14ac:dyDescent="0.25">
      <c r="E5371" s="27"/>
      <c r="F5371" s="27"/>
      <c r="G5371" s="7"/>
    </row>
    <row r="5372" spans="5:7" x14ac:dyDescent="0.25">
      <c r="E5372" s="27"/>
      <c r="F5372" s="27"/>
      <c r="G5372" s="7"/>
    </row>
    <row r="5373" spans="5:7" x14ac:dyDescent="0.25">
      <c r="E5373" s="27"/>
      <c r="F5373" s="27"/>
      <c r="G5373" s="7"/>
    </row>
    <row r="5374" spans="5:7" x14ac:dyDescent="0.25">
      <c r="E5374" s="27"/>
      <c r="F5374" s="27"/>
      <c r="G5374" s="7"/>
    </row>
    <row r="5375" spans="5:7" x14ac:dyDescent="0.25">
      <c r="E5375" s="27"/>
      <c r="F5375" s="27"/>
      <c r="G5375" s="7"/>
    </row>
    <row r="5376" spans="5:7" x14ac:dyDescent="0.25">
      <c r="E5376" s="27"/>
      <c r="F5376" s="27"/>
      <c r="G5376" s="7"/>
    </row>
    <row r="5377" spans="5:7" x14ac:dyDescent="0.25">
      <c r="E5377" s="27"/>
      <c r="F5377" s="27"/>
      <c r="G5377" s="7"/>
    </row>
    <row r="5378" spans="5:7" x14ac:dyDescent="0.25">
      <c r="E5378" s="27"/>
      <c r="F5378" s="27"/>
      <c r="G5378" s="7"/>
    </row>
    <row r="5379" spans="5:7" x14ac:dyDescent="0.25">
      <c r="E5379" s="27"/>
      <c r="F5379" s="27"/>
      <c r="G5379" s="7"/>
    </row>
    <row r="5380" spans="5:7" x14ac:dyDescent="0.25">
      <c r="E5380" s="27"/>
      <c r="F5380" s="27"/>
      <c r="G5380" s="7"/>
    </row>
    <row r="5381" spans="5:7" x14ac:dyDescent="0.25">
      <c r="E5381" s="27"/>
      <c r="F5381" s="27"/>
      <c r="G5381" s="7"/>
    </row>
    <row r="5382" spans="5:7" x14ac:dyDescent="0.25">
      <c r="E5382" s="27"/>
      <c r="F5382" s="27"/>
      <c r="G5382" s="7"/>
    </row>
    <row r="5383" spans="5:7" x14ac:dyDescent="0.25">
      <c r="E5383" s="27"/>
      <c r="F5383" s="27"/>
      <c r="G5383" s="7"/>
    </row>
    <row r="5384" spans="5:7" x14ac:dyDescent="0.25">
      <c r="E5384" s="27"/>
      <c r="F5384" s="27"/>
      <c r="G5384" s="7"/>
    </row>
    <row r="5385" spans="5:7" x14ac:dyDescent="0.25">
      <c r="E5385" s="27"/>
      <c r="F5385" s="27"/>
      <c r="G5385" s="7"/>
    </row>
    <row r="5386" spans="5:7" x14ac:dyDescent="0.25">
      <c r="E5386" s="27"/>
      <c r="F5386" s="27"/>
      <c r="G5386" s="7"/>
    </row>
    <row r="5387" spans="5:7" x14ac:dyDescent="0.25">
      <c r="E5387" s="27"/>
      <c r="F5387" s="27"/>
      <c r="G5387" s="7"/>
    </row>
    <row r="5388" spans="5:7" x14ac:dyDescent="0.25">
      <c r="E5388" s="27"/>
      <c r="F5388" s="27"/>
      <c r="G5388" s="7"/>
    </row>
    <row r="5389" spans="5:7" x14ac:dyDescent="0.25">
      <c r="E5389" s="27"/>
      <c r="F5389" s="27"/>
      <c r="G5389" s="7"/>
    </row>
    <row r="5390" spans="5:7" x14ac:dyDescent="0.25">
      <c r="E5390" s="27"/>
      <c r="F5390" s="27"/>
      <c r="G5390" s="7"/>
    </row>
    <row r="5391" spans="5:7" x14ac:dyDescent="0.25">
      <c r="E5391" s="27"/>
      <c r="F5391" s="27"/>
      <c r="G5391" s="7"/>
    </row>
    <row r="5392" spans="5:7" x14ac:dyDescent="0.25">
      <c r="E5392" s="27"/>
      <c r="F5392" s="27"/>
      <c r="G5392" s="7"/>
    </row>
    <row r="5393" spans="5:7" x14ac:dyDescent="0.25">
      <c r="E5393" s="27"/>
      <c r="F5393" s="27"/>
      <c r="G5393" s="7"/>
    </row>
    <row r="5394" spans="5:7" x14ac:dyDescent="0.25">
      <c r="E5394" s="27"/>
      <c r="F5394" s="27"/>
      <c r="G5394" s="7"/>
    </row>
    <row r="5395" spans="5:7" x14ac:dyDescent="0.25">
      <c r="E5395" s="27"/>
      <c r="F5395" s="27"/>
      <c r="G5395" s="7"/>
    </row>
    <row r="5396" spans="5:7" x14ac:dyDescent="0.25">
      <c r="E5396" s="27"/>
      <c r="F5396" s="27"/>
      <c r="G5396" s="7"/>
    </row>
    <row r="5397" spans="5:7" x14ac:dyDescent="0.25">
      <c r="E5397" s="27"/>
      <c r="F5397" s="27"/>
      <c r="G5397" s="7"/>
    </row>
    <row r="5398" spans="5:7" x14ac:dyDescent="0.25">
      <c r="E5398" s="27"/>
      <c r="F5398" s="27"/>
      <c r="G5398" s="7"/>
    </row>
    <row r="5399" spans="5:7" x14ac:dyDescent="0.25">
      <c r="E5399" s="27"/>
      <c r="F5399" s="27"/>
      <c r="G5399" s="7"/>
    </row>
    <row r="5400" spans="5:7" x14ac:dyDescent="0.25">
      <c r="E5400" s="27"/>
      <c r="F5400" s="27"/>
      <c r="G5400" s="7"/>
    </row>
    <row r="5401" spans="5:7" x14ac:dyDescent="0.25">
      <c r="E5401" s="27"/>
      <c r="F5401" s="27"/>
      <c r="G5401" s="7"/>
    </row>
    <row r="5402" spans="5:7" x14ac:dyDescent="0.25">
      <c r="E5402" s="27"/>
      <c r="F5402" s="27"/>
      <c r="G5402" s="7"/>
    </row>
    <row r="5403" spans="5:7" x14ac:dyDescent="0.25">
      <c r="E5403" s="27"/>
      <c r="F5403" s="27"/>
      <c r="G5403" s="7"/>
    </row>
    <row r="5404" spans="5:7" x14ac:dyDescent="0.25">
      <c r="E5404" s="27"/>
      <c r="F5404" s="27"/>
      <c r="G5404" s="7"/>
    </row>
    <row r="5405" spans="5:7" x14ac:dyDescent="0.25">
      <c r="E5405" s="27"/>
      <c r="F5405" s="27"/>
      <c r="G5405" s="7"/>
    </row>
    <row r="5406" spans="5:7" x14ac:dyDescent="0.25">
      <c r="E5406" s="27"/>
      <c r="F5406" s="27"/>
      <c r="G5406" s="7"/>
    </row>
    <row r="5407" spans="5:7" x14ac:dyDescent="0.25">
      <c r="E5407" s="27"/>
      <c r="F5407" s="27"/>
      <c r="G5407" s="7"/>
    </row>
    <row r="5408" spans="5:7" x14ac:dyDescent="0.25">
      <c r="E5408" s="27"/>
      <c r="F5408" s="27"/>
      <c r="G5408" s="7"/>
    </row>
    <row r="5409" spans="5:7" x14ac:dyDescent="0.25">
      <c r="E5409" s="27"/>
      <c r="F5409" s="27"/>
      <c r="G5409" s="7"/>
    </row>
    <row r="5410" spans="5:7" x14ac:dyDescent="0.25">
      <c r="E5410" s="27"/>
      <c r="F5410" s="27"/>
      <c r="G5410" s="7"/>
    </row>
    <row r="5411" spans="5:7" x14ac:dyDescent="0.25">
      <c r="E5411" s="27"/>
      <c r="F5411" s="27"/>
      <c r="G5411" s="7"/>
    </row>
    <row r="5412" spans="5:7" x14ac:dyDescent="0.25">
      <c r="E5412" s="27"/>
      <c r="F5412" s="27"/>
      <c r="G5412" s="7"/>
    </row>
    <row r="5413" spans="5:7" x14ac:dyDescent="0.25">
      <c r="E5413" s="27"/>
      <c r="F5413" s="27"/>
      <c r="G5413" s="7"/>
    </row>
    <row r="5414" spans="5:7" x14ac:dyDescent="0.25">
      <c r="E5414" s="27"/>
      <c r="F5414" s="27"/>
      <c r="G5414" s="7"/>
    </row>
    <row r="5415" spans="5:7" x14ac:dyDescent="0.25">
      <c r="E5415" s="27"/>
      <c r="F5415" s="27"/>
      <c r="G5415" s="7"/>
    </row>
    <row r="5416" spans="5:7" x14ac:dyDescent="0.25">
      <c r="E5416" s="27"/>
      <c r="F5416" s="27"/>
      <c r="G5416" s="7"/>
    </row>
    <row r="5417" spans="5:7" x14ac:dyDescent="0.25">
      <c r="E5417" s="27"/>
      <c r="F5417" s="27"/>
      <c r="G5417" s="7"/>
    </row>
    <row r="5418" spans="5:7" x14ac:dyDescent="0.25">
      <c r="E5418" s="27"/>
      <c r="F5418" s="27"/>
      <c r="G5418" s="7"/>
    </row>
    <row r="5419" spans="5:7" x14ac:dyDescent="0.25">
      <c r="E5419" s="27"/>
      <c r="F5419" s="27"/>
      <c r="G5419" s="7"/>
    </row>
    <row r="5420" spans="5:7" x14ac:dyDescent="0.25">
      <c r="E5420" s="27"/>
      <c r="F5420" s="27"/>
      <c r="G5420" s="7"/>
    </row>
    <row r="5421" spans="5:7" x14ac:dyDescent="0.25">
      <c r="E5421" s="27"/>
      <c r="F5421" s="27"/>
      <c r="G5421" s="7"/>
    </row>
    <row r="5422" spans="5:7" x14ac:dyDescent="0.25">
      <c r="E5422" s="27"/>
      <c r="F5422" s="27"/>
      <c r="G5422" s="7"/>
    </row>
    <row r="5423" spans="5:7" x14ac:dyDescent="0.25">
      <c r="E5423" s="27"/>
      <c r="F5423" s="27"/>
      <c r="G5423" s="7"/>
    </row>
    <row r="5424" spans="5:7" x14ac:dyDescent="0.25">
      <c r="E5424" s="27"/>
      <c r="F5424" s="27"/>
      <c r="G5424" s="7"/>
    </row>
    <row r="5425" spans="5:7" x14ac:dyDescent="0.25">
      <c r="E5425" s="27"/>
      <c r="F5425" s="27"/>
      <c r="G5425" s="7"/>
    </row>
    <row r="5426" spans="5:7" x14ac:dyDescent="0.25">
      <c r="E5426" s="27"/>
      <c r="F5426" s="27"/>
      <c r="G5426" s="7"/>
    </row>
    <row r="5427" spans="5:7" x14ac:dyDescent="0.25">
      <c r="E5427" s="27"/>
      <c r="F5427" s="27"/>
      <c r="G5427" s="7"/>
    </row>
    <row r="5428" spans="5:7" x14ac:dyDescent="0.25">
      <c r="E5428" s="27"/>
      <c r="F5428" s="27"/>
      <c r="G5428" s="7"/>
    </row>
    <row r="5429" spans="5:7" x14ac:dyDescent="0.25">
      <c r="E5429" s="27"/>
      <c r="F5429" s="27"/>
      <c r="G5429" s="7"/>
    </row>
    <row r="5430" spans="5:7" x14ac:dyDescent="0.25">
      <c r="E5430" s="27"/>
      <c r="F5430" s="27"/>
      <c r="G5430" s="7"/>
    </row>
    <row r="5431" spans="5:7" x14ac:dyDescent="0.25">
      <c r="E5431" s="27"/>
      <c r="F5431" s="27"/>
      <c r="G5431" s="7"/>
    </row>
    <row r="5432" spans="5:7" x14ac:dyDescent="0.25">
      <c r="E5432" s="27"/>
      <c r="F5432" s="27"/>
      <c r="G5432" s="7"/>
    </row>
    <row r="5433" spans="5:7" x14ac:dyDescent="0.25">
      <c r="E5433" s="27"/>
      <c r="F5433" s="27"/>
      <c r="G5433" s="7"/>
    </row>
    <row r="5434" spans="5:7" x14ac:dyDescent="0.25">
      <c r="E5434" s="27"/>
      <c r="F5434" s="27"/>
      <c r="G5434" s="7"/>
    </row>
    <row r="5435" spans="5:7" x14ac:dyDescent="0.25">
      <c r="E5435" s="27"/>
      <c r="F5435" s="27"/>
      <c r="G5435" s="7"/>
    </row>
    <row r="5436" spans="5:7" x14ac:dyDescent="0.25">
      <c r="E5436" s="27"/>
      <c r="F5436" s="27"/>
      <c r="G5436" s="7"/>
    </row>
    <row r="5437" spans="5:7" x14ac:dyDescent="0.25">
      <c r="E5437" s="27"/>
      <c r="F5437" s="27"/>
      <c r="G5437" s="7"/>
    </row>
    <row r="5438" spans="5:7" x14ac:dyDescent="0.25">
      <c r="E5438" s="27"/>
      <c r="F5438" s="27"/>
      <c r="G5438" s="7"/>
    </row>
    <row r="5439" spans="5:7" x14ac:dyDescent="0.25">
      <c r="E5439" s="27"/>
      <c r="F5439" s="27"/>
      <c r="G5439" s="7"/>
    </row>
    <row r="5440" spans="5:7" x14ac:dyDescent="0.25">
      <c r="E5440" s="27"/>
      <c r="F5440" s="27"/>
      <c r="G5440" s="7"/>
    </row>
    <row r="5441" spans="5:7" x14ac:dyDescent="0.25">
      <c r="E5441" s="27"/>
      <c r="F5441" s="27"/>
      <c r="G5441" s="7"/>
    </row>
    <row r="5442" spans="5:7" x14ac:dyDescent="0.25">
      <c r="E5442" s="27"/>
      <c r="F5442" s="27"/>
      <c r="G5442" s="7"/>
    </row>
    <row r="5443" spans="5:7" x14ac:dyDescent="0.25">
      <c r="E5443" s="27"/>
      <c r="F5443" s="27"/>
      <c r="G5443" s="7"/>
    </row>
    <row r="5444" spans="5:7" x14ac:dyDescent="0.25">
      <c r="E5444" s="27"/>
      <c r="F5444" s="27"/>
      <c r="G5444" s="7"/>
    </row>
    <row r="5445" spans="5:7" x14ac:dyDescent="0.25">
      <c r="E5445" s="27"/>
      <c r="F5445" s="27"/>
      <c r="G5445" s="7"/>
    </row>
    <row r="5446" spans="5:7" x14ac:dyDescent="0.25">
      <c r="E5446" s="27"/>
      <c r="F5446" s="27"/>
      <c r="G5446" s="7"/>
    </row>
    <row r="5447" spans="5:7" x14ac:dyDescent="0.25">
      <c r="E5447" s="27"/>
      <c r="F5447" s="27"/>
      <c r="G5447" s="7"/>
    </row>
    <row r="5448" spans="5:7" x14ac:dyDescent="0.25">
      <c r="E5448" s="27"/>
      <c r="F5448" s="27"/>
      <c r="G5448" s="7"/>
    </row>
    <row r="5449" spans="5:7" x14ac:dyDescent="0.25">
      <c r="E5449" s="27"/>
      <c r="F5449" s="27"/>
      <c r="G5449" s="7"/>
    </row>
    <row r="5450" spans="5:7" x14ac:dyDescent="0.25">
      <c r="E5450" s="27"/>
      <c r="F5450" s="27"/>
      <c r="G5450" s="7"/>
    </row>
    <row r="5451" spans="5:7" x14ac:dyDescent="0.25">
      <c r="E5451" s="27"/>
      <c r="F5451" s="27"/>
      <c r="G5451" s="7"/>
    </row>
    <row r="5452" spans="5:7" x14ac:dyDescent="0.25">
      <c r="E5452" s="27"/>
      <c r="F5452" s="27"/>
      <c r="G5452" s="7"/>
    </row>
    <row r="5453" spans="5:7" x14ac:dyDescent="0.25">
      <c r="E5453" s="27"/>
      <c r="F5453" s="27"/>
      <c r="G5453" s="7"/>
    </row>
    <row r="5454" spans="5:7" x14ac:dyDescent="0.25">
      <c r="E5454" s="27"/>
      <c r="F5454" s="27"/>
      <c r="G5454" s="7"/>
    </row>
    <row r="5455" spans="5:7" x14ac:dyDescent="0.25">
      <c r="E5455" s="27"/>
      <c r="F5455" s="27"/>
      <c r="G5455" s="7"/>
    </row>
    <row r="5456" spans="5:7" x14ac:dyDescent="0.25">
      <c r="E5456" s="27"/>
      <c r="F5456" s="27"/>
      <c r="G5456" s="7"/>
    </row>
    <row r="5457" spans="5:7" x14ac:dyDescent="0.25">
      <c r="E5457" s="27"/>
      <c r="F5457" s="27"/>
      <c r="G5457" s="7"/>
    </row>
    <row r="5458" spans="5:7" x14ac:dyDescent="0.25">
      <c r="E5458" s="27"/>
      <c r="F5458" s="27"/>
      <c r="G5458" s="7"/>
    </row>
    <row r="5459" spans="5:7" x14ac:dyDescent="0.25">
      <c r="E5459" s="27"/>
      <c r="F5459" s="27"/>
      <c r="G5459" s="7"/>
    </row>
    <row r="5460" spans="5:7" x14ac:dyDescent="0.25">
      <c r="E5460" s="27"/>
      <c r="F5460" s="27"/>
      <c r="G5460" s="7"/>
    </row>
    <row r="5461" spans="5:7" x14ac:dyDescent="0.25">
      <c r="E5461" s="27"/>
      <c r="F5461" s="27"/>
      <c r="G5461" s="7"/>
    </row>
    <row r="5462" spans="5:7" x14ac:dyDescent="0.25">
      <c r="E5462" s="27"/>
      <c r="F5462" s="27"/>
      <c r="G5462" s="7"/>
    </row>
    <row r="5463" spans="5:7" x14ac:dyDescent="0.25">
      <c r="E5463" s="27"/>
      <c r="F5463" s="27"/>
      <c r="G5463" s="7"/>
    </row>
    <row r="5464" spans="5:7" x14ac:dyDescent="0.25">
      <c r="E5464" s="27"/>
      <c r="F5464" s="27"/>
      <c r="G5464" s="7"/>
    </row>
    <row r="5465" spans="5:7" x14ac:dyDescent="0.25">
      <c r="E5465" s="27"/>
      <c r="F5465" s="27"/>
      <c r="G5465" s="7"/>
    </row>
    <row r="5466" spans="5:7" x14ac:dyDescent="0.25">
      <c r="E5466" s="27"/>
      <c r="F5466" s="27"/>
      <c r="G5466" s="7"/>
    </row>
    <row r="5467" spans="5:7" x14ac:dyDescent="0.25">
      <c r="E5467" s="27"/>
      <c r="F5467" s="27"/>
      <c r="G5467" s="7"/>
    </row>
    <row r="5468" spans="5:7" x14ac:dyDescent="0.25">
      <c r="E5468" s="27"/>
      <c r="F5468" s="27"/>
      <c r="G5468" s="7"/>
    </row>
    <row r="5469" spans="5:7" x14ac:dyDescent="0.25">
      <c r="E5469" s="27"/>
      <c r="F5469" s="27"/>
      <c r="G5469" s="7"/>
    </row>
    <row r="5470" spans="5:7" x14ac:dyDescent="0.25">
      <c r="E5470" s="27"/>
      <c r="F5470" s="27"/>
      <c r="G5470" s="7"/>
    </row>
    <row r="5471" spans="5:7" x14ac:dyDescent="0.25">
      <c r="E5471" s="27"/>
      <c r="F5471" s="27"/>
      <c r="G5471" s="7"/>
    </row>
    <row r="5472" spans="5:7" x14ac:dyDescent="0.25">
      <c r="E5472" s="27"/>
      <c r="F5472" s="27"/>
      <c r="G5472" s="7"/>
    </row>
    <row r="5473" spans="5:7" x14ac:dyDescent="0.25">
      <c r="E5473" s="27"/>
      <c r="F5473" s="27"/>
      <c r="G5473" s="7"/>
    </row>
    <row r="5474" spans="5:7" x14ac:dyDescent="0.25">
      <c r="E5474" s="27"/>
      <c r="F5474" s="27"/>
      <c r="G5474" s="7"/>
    </row>
    <row r="5475" spans="5:7" x14ac:dyDescent="0.25">
      <c r="E5475" s="27"/>
      <c r="F5475" s="27"/>
      <c r="G5475" s="7"/>
    </row>
    <row r="5476" spans="5:7" x14ac:dyDescent="0.25">
      <c r="E5476" s="27"/>
      <c r="F5476" s="27"/>
      <c r="G5476" s="7"/>
    </row>
    <row r="5477" spans="5:7" x14ac:dyDescent="0.25">
      <c r="E5477" s="27"/>
      <c r="F5477" s="27"/>
      <c r="G5477" s="7"/>
    </row>
    <row r="5478" spans="5:7" x14ac:dyDescent="0.25">
      <c r="E5478" s="27"/>
      <c r="F5478" s="27"/>
      <c r="G5478" s="7"/>
    </row>
    <row r="5479" spans="5:7" x14ac:dyDescent="0.25">
      <c r="E5479" s="27"/>
      <c r="F5479" s="27"/>
      <c r="G5479" s="7"/>
    </row>
    <row r="5480" spans="5:7" x14ac:dyDescent="0.25">
      <c r="E5480" s="27"/>
      <c r="F5480" s="27"/>
      <c r="G5480" s="7"/>
    </row>
    <row r="5481" spans="5:7" x14ac:dyDescent="0.25">
      <c r="E5481" s="27"/>
      <c r="F5481" s="27"/>
      <c r="G5481" s="7"/>
    </row>
    <row r="5482" spans="5:7" x14ac:dyDescent="0.25">
      <c r="E5482" s="27"/>
      <c r="F5482" s="27"/>
      <c r="G5482" s="7"/>
    </row>
    <row r="5483" spans="5:7" x14ac:dyDescent="0.25">
      <c r="E5483" s="27"/>
      <c r="F5483" s="27"/>
      <c r="G5483" s="7"/>
    </row>
    <row r="5484" spans="5:7" x14ac:dyDescent="0.25">
      <c r="E5484" s="27"/>
      <c r="F5484" s="27"/>
      <c r="G5484" s="7"/>
    </row>
    <row r="5485" spans="5:7" x14ac:dyDescent="0.25">
      <c r="E5485" s="27"/>
      <c r="F5485" s="27"/>
      <c r="G5485" s="7"/>
    </row>
    <row r="5486" spans="5:7" x14ac:dyDescent="0.25">
      <c r="E5486" s="27"/>
      <c r="F5486" s="27"/>
      <c r="G5486" s="7"/>
    </row>
    <row r="5487" spans="5:7" x14ac:dyDescent="0.25">
      <c r="E5487" s="27"/>
      <c r="F5487" s="27"/>
      <c r="G5487" s="7"/>
    </row>
    <row r="5488" spans="5:7" x14ac:dyDescent="0.25">
      <c r="E5488" s="27"/>
      <c r="F5488" s="27"/>
      <c r="G5488" s="7"/>
    </row>
    <row r="5489" spans="5:7" x14ac:dyDescent="0.25">
      <c r="E5489" s="27"/>
      <c r="F5489" s="27"/>
      <c r="G5489" s="7"/>
    </row>
    <row r="5490" spans="5:7" x14ac:dyDescent="0.25">
      <c r="E5490" s="27"/>
      <c r="F5490" s="27"/>
      <c r="G5490" s="7"/>
    </row>
    <row r="5491" spans="5:7" x14ac:dyDescent="0.25">
      <c r="E5491" s="27"/>
      <c r="F5491" s="27"/>
      <c r="G5491" s="7"/>
    </row>
    <row r="5492" spans="5:7" x14ac:dyDescent="0.25">
      <c r="E5492" s="27"/>
      <c r="F5492" s="27"/>
      <c r="G5492" s="7"/>
    </row>
    <row r="5493" spans="5:7" x14ac:dyDescent="0.25">
      <c r="E5493" s="27"/>
      <c r="F5493" s="27"/>
      <c r="G5493" s="7"/>
    </row>
    <row r="5494" spans="5:7" x14ac:dyDescent="0.25">
      <c r="E5494" s="27"/>
      <c r="F5494" s="27"/>
      <c r="G5494" s="7"/>
    </row>
    <row r="5495" spans="5:7" x14ac:dyDescent="0.25">
      <c r="E5495" s="27"/>
      <c r="F5495" s="27"/>
      <c r="G5495" s="7"/>
    </row>
    <row r="5496" spans="5:7" x14ac:dyDescent="0.25">
      <c r="E5496" s="27"/>
      <c r="F5496" s="27"/>
      <c r="G5496" s="7"/>
    </row>
    <row r="5497" spans="5:7" x14ac:dyDescent="0.25">
      <c r="E5497" s="27"/>
      <c r="F5497" s="27"/>
      <c r="G5497" s="7"/>
    </row>
    <row r="5498" spans="5:7" x14ac:dyDescent="0.25">
      <c r="E5498" s="27"/>
      <c r="F5498" s="27"/>
      <c r="G5498" s="7"/>
    </row>
    <row r="5499" spans="5:7" x14ac:dyDescent="0.25">
      <c r="E5499" s="27"/>
      <c r="F5499" s="27"/>
      <c r="G5499" s="7"/>
    </row>
    <row r="5500" spans="5:7" x14ac:dyDescent="0.25">
      <c r="E5500" s="27"/>
      <c r="F5500" s="27"/>
      <c r="G5500" s="7"/>
    </row>
    <row r="5501" spans="5:7" x14ac:dyDescent="0.25">
      <c r="E5501" s="27"/>
      <c r="F5501" s="27"/>
      <c r="G5501" s="7"/>
    </row>
    <row r="5502" spans="5:7" x14ac:dyDescent="0.25">
      <c r="E5502" s="27"/>
      <c r="F5502" s="27"/>
      <c r="G5502" s="7"/>
    </row>
    <row r="5503" spans="5:7" x14ac:dyDescent="0.25">
      <c r="E5503" s="27"/>
      <c r="F5503" s="27"/>
      <c r="G5503" s="7"/>
    </row>
    <row r="5504" spans="5:7" x14ac:dyDescent="0.25">
      <c r="E5504" s="27"/>
      <c r="F5504" s="27"/>
      <c r="G5504" s="7"/>
    </row>
    <row r="5505" spans="5:7" x14ac:dyDescent="0.25">
      <c r="E5505" s="27"/>
      <c r="F5505" s="27"/>
      <c r="G5505" s="7"/>
    </row>
    <row r="5506" spans="5:7" x14ac:dyDescent="0.25">
      <c r="E5506" s="27"/>
      <c r="F5506" s="27"/>
      <c r="G5506" s="7"/>
    </row>
    <row r="5507" spans="5:7" x14ac:dyDescent="0.25">
      <c r="E5507" s="27"/>
      <c r="F5507" s="27"/>
      <c r="G5507" s="7"/>
    </row>
    <row r="5508" spans="5:7" x14ac:dyDescent="0.25">
      <c r="E5508" s="27"/>
      <c r="F5508" s="27"/>
      <c r="G5508" s="7"/>
    </row>
    <row r="5509" spans="5:7" x14ac:dyDescent="0.25">
      <c r="E5509" s="27"/>
      <c r="F5509" s="27"/>
      <c r="G5509" s="7"/>
    </row>
    <row r="5510" spans="5:7" x14ac:dyDescent="0.25">
      <c r="E5510" s="27"/>
      <c r="F5510" s="27"/>
      <c r="G5510" s="7"/>
    </row>
    <row r="5511" spans="5:7" x14ac:dyDescent="0.25">
      <c r="E5511" s="27"/>
      <c r="F5511" s="27"/>
      <c r="G5511" s="7"/>
    </row>
    <row r="5512" spans="5:7" x14ac:dyDescent="0.25">
      <c r="E5512" s="27"/>
      <c r="F5512" s="27"/>
      <c r="G5512" s="7"/>
    </row>
    <row r="5513" spans="5:7" x14ac:dyDescent="0.25">
      <c r="E5513" s="27"/>
      <c r="F5513" s="27"/>
      <c r="G5513" s="7"/>
    </row>
    <row r="5514" spans="5:7" x14ac:dyDescent="0.25">
      <c r="E5514" s="27"/>
      <c r="F5514" s="27"/>
      <c r="G5514" s="7"/>
    </row>
    <row r="5515" spans="5:7" x14ac:dyDescent="0.25">
      <c r="E5515" s="27"/>
      <c r="F5515" s="27"/>
      <c r="G5515" s="7"/>
    </row>
    <row r="5516" spans="5:7" x14ac:dyDescent="0.25">
      <c r="E5516" s="27"/>
      <c r="F5516" s="27"/>
      <c r="G5516" s="7"/>
    </row>
    <row r="5517" spans="5:7" x14ac:dyDescent="0.25">
      <c r="E5517" s="27"/>
      <c r="F5517" s="27"/>
      <c r="G5517" s="7"/>
    </row>
    <row r="5518" spans="5:7" x14ac:dyDescent="0.25">
      <c r="E5518" s="27"/>
      <c r="F5518" s="27"/>
      <c r="G5518" s="7"/>
    </row>
    <row r="5519" spans="5:7" x14ac:dyDescent="0.25">
      <c r="E5519" s="27"/>
      <c r="F5519" s="27"/>
      <c r="G5519" s="7"/>
    </row>
    <row r="5520" spans="5:7" x14ac:dyDescent="0.25">
      <c r="E5520" s="27"/>
      <c r="F5520" s="27"/>
      <c r="G5520" s="7"/>
    </row>
    <row r="5521" spans="5:7" x14ac:dyDescent="0.25">
      <c r="E5521" s="27"/>
      <c r="F5521" s="27"/>
      <c r="G5521" s="7"/>
    </row>
    <row r="5522" spans="5:7" x14ac:dyDescent="0.25">
      <c r="E5522" s="27"/>
      <c r="F5522" s="27"/>
      <c r="G5522" s="7"/>
    </row>
    <row r="5523" spans="5:7" x14ac:dyDescent="0.25">
      <c r="E5523" s="27"/>
      <c r="F5523" s="27"/>
      <c r="G5523" s="7"/>
    </row>
    <row r="5524" spans="5:7" x14ac:dyDescent="0.25">
      <c r="E5524" s="27"/>
      <c r="F5524" s="27"/>
      <c r="G5524" s="7"/>
    </row>
    <row r="5525" spans="5:7" x14ac:dyDescent="0.25">
      <c r="E5525" s="27"/>
      <c r="F5525" s="27"/>
      <c r="G5525" s="7"/>
    </row>
    <row r="5526" spans="5:7" x14ac:dyDescent="0.25">
      <c r="E5526" s="27"/>
      <c r="F5526" s="27"/>
      <c r="G5526" s="7"/>
    </row>
    <row r="5527" spans="5:7" x14ac:dyDescent="0.25">
      <c r="E5527" s="27"/>
      <c r="F5527" s="27"/>
      <c r="G5527" s="7"/>
    </row>
    <row r="5528" spans="5:7" x14ac:dyDescent="0.25">
      <c r="E5528" s="27"/>
      <c r="F5528" s="27"/>
      <c r="G5528" s="7"/>
    </row>
    <row r="5529" spans="5:7" x14ac:dyDescent="0.25">
      <c r="E5529" s="27"/>
      <c r="F5529" s="27"/>
      <c r="G5529" s="7"/>
    </row>
    <row r="5530" spans="5:7" x14ac:dyDescent="0.25">
      <c r="E5530" s="27"/>
      <c r="F5530" s="27"/>
      <c r="G5530" s="7"/>
    </row>
    <row r="5531" spans="5:7" x14ac:dyDescent="0.25">
      <c r="E5531" s="27"/>
      <c r="F5531" s="27"/>
      <c r="G5531" s="7"/>
    </row>
    <row r="5532" spans="5:7" x14ac:dyDescent="0.25">
      <c r="E5532" s="27"/>
      <c r="F5532" s="27"/>
      <c r="G5532" s="7"/>
    </row>
    <row r="5533" spans="5:7" x14ac:dyDescent="0.25">
      <c r="E5533" s="27"/>
      <c r="F5533" s="27"/>
      <c r="G5533" s="7"/>
    </row>
    <row r="5534" spans="5:7" x14ac:dyDescent="0.25">
      <c r="E5534" s="27"/>
      <c r="F5534" s="27"/>
      <c r="G5534" s="7"/>
    </row>
    <row r="5535" spans="5:7" x14ac:dyDescent="0.25">
      <c r="E5535" s="27"/>
      <c r="F5535" s="27"/>
      <c r="G5535" s="7"/>
    </row>
    <row r="5536" spans="5:7" x14ac:dyDescent="0.25">
      <c r="E5536" s="27"/>
      <c r="F5536" s="27"/>
      <c r="G5536" s="7"/>
    </row>
    <row r="5537" spans="5:7" x14ac:dyDescent="0.25">
      <c r="E5537" s="27"/>
      <c r="F5537" s="27"/>
      <c r="G5537" s="7"/>
    </row>
    <row r="5538" spans="5:7" x14ac:dyDescent="0.25">
      <c r="E5538" s="27"/>
      <c r="F5538" s="27"/>
      <c r="G5538" s="7"/>
    </row>
    <row r="5539" spans="5:7" x14ac:dyDescent="0.25">
      <c r="E5539" s="27"/>
      <c r="F5539" s="27"/>
      <c r="G5539" s="7"/>
    </row>
    <row r="5540" spans="5:7" x14ac:dyDescent="0.25">
      <c r="E5540" s="27"/>
      <c r="F5540" s="27"/>
      <c r="G5540" s="7"/>
    </row>
    <row r="5541" spans="5:7" x14ac:dyDescent="0.25">
      <c r="E5541" s="27"/>
      <c r="F5541" s="27"/>
      <c r="G5541" s="7"/>
    </row>
    <row r="5542" spans="5:7" x14ac:dyDescent="0.25">
      <c r="E5542" s="27"/>
      <c r="F5542" s="27"/>
      <c r="G5542" s="7"/>
    </row>
    <row r="5543" spans="5:7" x14ac:dyDescent="0.25">
      <c r="E5543" s="27"/>
      <c r="F5543" s="27"/>
      <c r="G5543" s="7"/>
    </row>
    <row r="5544" spans="5:7" x14ac:dyDescent="0.25">
      <c r="E5544" s="27"/>
      <c r="F5544" s="27"/>
      <c r="G5544" s="7"/>
    </row>
    <row r="5545" spans="5:7" x14ac:dyDescent="0.25">
      <c r="E5545" s="27"/>
      <c r="F5545" s="27"/>
      <c r="G5545" s="7"/>
    </row>
    <row r="5546" spans="5:7" x14ac:dyDescent="0.25">
      <c r="E5546" s="27"/>
      <c r="F5546" s="27"/>
      <c r="G5546" s="7"/>
    </row>
    <row r="5547" spans="5:7" x14ac:dyDescent="0.25">
      <c r="E5547" s="27"/>
      <c r="F5547" s="27"/>
      <c r="G5547" s="7"/>
    </row>
    <row r="5548" spans="5:7" x14ac:dyDescent="0.25">
      <c r="E5548" s="27"/>
      <c r="F5548" s="27"/>
      <c r="G5548" s="7"/>
    </row>
    <row r="5549" spans="5:7" x14ac:dyDescent="0.25">
      <c r="E5549" s="27"/>
      <c r="F5549" s="27"/>
      <c r="G5549" s="7"/>
    </row>
    <row r="5550" spans="5:7" x14ac:dyDescent="0.25">
      <c r="E5550" s="27"/>
      <c r="F5550" s="27"/>
      <c r="G5550" s="7"/>
    </row>
    <row r="5551" spans="5:7" x14ac:dyDescent="0.25">
      <c r="E5551" s="27"/>
      <c r="F5551" s="27"/>
      <c r="G5551" s="7"/>
    </row>
    <row r="5552" spans="5:7" x14ac:dyDescent="0.25">
      <c r="E5552" s="27"/>
      <c r="F5552" s="27"/>
      <c r="G5552" s="7"/>
    </row>
    <row r="5553" spans="5:7" x14ac:dyDescent="0.25">
      <c r="E5553" s="27"/>
      <c r="F5553" s="27"/>
      <c r="G5553" s="7"/>
    </row>
    <row r="5554" spans="5:7" x14ac:dyDescent="0.25">
      <c r="E5554" s="27"/>
      <c r="F5554" s="27"/>
      <c r="G5554" s="7"/>
    </row>
    <row r="5555" spans="5:7" x14ac:dyDescent="0.25">
      <c r="E5555" s="27"/>
      <c r="F5555" s="27"/>
      <c r="G5555" s="7"/>
    </row>
    <row r="5556" spans="5:7" x14ac:dyDescent="0.25">
      <c r="E5556" s="27"/>
      <c r="F5556" s="27"/>
      <c r="G5556" s="7"/>
    </row>
    <row r="5557" spans="5:7" x14ac:dyDescent="0.25">
      <c r="E5557" s="27"/>
      <c r="F5557" s="27"/>
      <c r="G5557" s="7"/>
    </row>
    <row r="5558" spans="5:7" x14ac:dyDescent="0.25">
      <c r="E5558" s="27"/>
      <c r="F5558" s="27"/>
      <c r="G5558" s="7"/>
    </row>
    <row r="5559" spans="5:7" x14ac:dyDescent="0.25">
      <c r="E5559" s="27"/>
      <c r="F5559" s="27"/>
      <c r="G5559" s="7"/>
    </row>
    <row r="5560" spans="5:7" x14ac:dyDescent="0.25">
      <c r="E5560" s="27"/>
      <c r="F5560" s="27"/>
      <c r="G5560" s="7"/>
    </row>
    <row r="5561" spans="5:7" x14ac:dyDescent="0.25">
      <c r="E5561" s="27"/>
      <c r="F5561" s="27"/>
      <c r="G5561" s="7"/>
    </row>
    <row r="5562" spans="5:7" x14ac:dyDescent="0.25">
      <c r="E5562" s="27"/>
      <c r="F5562" s="27"/>
      <c r="G5562" s="7"/>
    </row>
    <row r="5563" spans="5:7" x14ac:dyDescent="0.25">
      <c r="E5563" s="27"/>
      <c r="F5563" s="27"/>
      <c r="G5563" s="7"/>
    </row>
    <row r="5564" spans="5:7" x14ac:dyDescent="0.25">
      <c r="E5564" s="27"/>
      <c r="F5564" s="27"/>
      <c r="G5564" s="7"/>
    </row>
    <row r="5565" spans="5:7" x14ac:dyDescent="0.25">
      <c r="E5565" s="27"/>
      <c r="F5565" s="27"/>
      <c r="G5565" s="7"/>
    </row>
    <row r="5566" spans="5:7" x14ac:dyDescent="0.25">
      <c r="E5566" s="27"/>
      <c r="F5566" s="27"/>
      <c r="G5566" s="7"/>
    </row>
    <row r="5567" spans="5:7" x14ac:dyDescent="0.25">
      <c r="E5567" s="27"/>
      <c r="F5567" s="27"/>
      <c r="G5567" s="7"/>
    </row>
    <row r="5568" spans="5:7" x14ac:dyDescent="0.25">
      <c r="E5568" s="27"/>
      <c r="F5568" s="27"/>
      <c r="G5568" s="7"/>
    </row>
    <row r="5569" spans="5:7" x14ac:dyDescent="0.25">
      <c r="E5569" s="27"/>
      <c r="F5569" s="27"/>
      <c r="G5569" s="7"/>
    </row>
    <row r="5570" spans="5:7" x14ac:dyDescent="0.25">
      <c r="E5570" s="27"/>
      <c r="F5570" s="27"/>
      <c r="G5570" s="7"/>
    </row>
    <row r="5571" spans="5:7" x14ac:dyDescent="0.25">
      <c r="E5571" s="27"/>
      <c r="F5571" s="27"/>
      <c r="G5571" s="7"/>
    </row>
    <row r="5572" spans="5:7" x14ac:dyDescent="0.25">
      <c r="E5572" s="27"/>
      <c r="F5572" s="27"/>
      <c r="G5572" s="7"/>
    </row>
    <row r="5573" spans="5:7" x14ac:dyDescent="0.25">
      <c r="E5573" s="27"/>
      <c r="F5573" s="27"/>
      <c r="G5573" s="7"/>
    </row>
    <row r="5574" spans="5:7" x14ac:dyDescent="0.25">
      <c r="E5574" s="27"/>
      <c r="F5574" s="27"/>
      <c r="G5574" s="7"/>
    </row>
    <row r="5575" spans="5:7" x14ac:dyDescent="0.25">
      <c r="E5575" s="27"/>
      <c r="F5575" s="27"/>
      <c r="G5575" s="7"/>
    </row>
    <row r="5576" spans="5:7" x14ac:dyDescent="0.25">
      <c r="E5576" s="27"/>
      <c r="F5576" s="27"/>
      <c r="G5576" s="7"/>
    </row>
    <row r="5577" spans="5:7" x14ac:dyDescent="0.25">
      <c r="E5577" s="27"/>
      <c r="F5577" s="27"/>
      <c r="G5577" s="7"/>
    </row>
    <row r="5578" spans="5:7" x14ac:dyDescent="0.25">
      <c r="E5578" s="27"/>
      <c r="F5578" s="27"/>
      <c r="G5578" s="7"/>
    </row>
    <row r="5579" spans="5:7" x14ac:dyDescent="0.25">
      <c r="E5579" s="27"/>
      <c r="F5579" s="27"/>
      <c r="G5579" s="7"/>
    </row>
    <row r="5580" spans="5:7" x14ac:dyDescent="0.25">
      <c r="E5580" s="27"/>
      <c r="F5580" s="27"/>
      <c r="G5580" s="7"/>
    </row>
    <row r="5581" spans="5:7" x14ac:dyDescent="0.25">
      <c r="E5581" s="27"/>
      <c r="F5581" s="27"/>
      <c r="G5581" s="7"/>
    </row>
    <row r="5582" spans="5:7" x14ac:dyDescent="0.25">
      <c r="E5582" s="27"/>
      <c r="F5582" s="27"/>
      <c r="G5582" s="7"/>
    </row>
    <row r="5583" spans="5:7" x14ac:dyDescent="0.25">
      <c r="E5583" s="27"/>
      <c r="F5583" s="27"/>
      <c r="G5583" s="7"/>
    </row>
    <row r="5584" spans="5:7" x14ac:dyDescent="0.25">
      <c r="E5584" s="27"/>
      <c r="F5584" s="27"/>
      <c r="G5584" s="7"/>
    </row>
    <row r="5585" spans="5:7" x14ac:dyDescent="0.25">
      <c r="E5585" s="27"/>
      <c r="F5585" s="27"/>
      <c r="G5585" s="7"/>
    </row>
    <row r="5586" spans="5:7" x14ac:dyDescent="0.25">
      <c r="E5586" s="27"/>
      <c r="F5586" s="27"/>
      <c r="G5586" s="7"/>
    </row>
    <row r="5587" spans="5:7" x14ac:dyDescent="0.25">
      <c r="E5587" s="27"/>
      <c r="F5587" s="27"/>
      <c r="G5587" s="7"/>
    </row>
    <row r="5588" spans="5:7" x14ac:dyDescent="0.25">
      <c r="E5588" s="27"/>
      <c r="F5588" s="27"/>
      <c r="G5588" s="7"/>
    </row>
    <row r="5589" spans="5:7" x14ac:dyDescent="0.25">
      <c r="E5589" s="27"/>
      <c r="F5589" s="27"/>
      <c r="G5589" s="7"/>
    </row>
    <row r="5590" spans="5:7" x14ac:dyDescent="0.25">
      <c r="E5590" s="27"/>
      <c r="F5590" s="27"/>
      <c r="G5590" s="7"/>
    </row>
    <row r="5591" spans="5:7" x14ac:dyDescent="0.25">
      <c r="E5591" s="27"/>
      <c r="F5591" s="27"/>
      <c r="G5591" s="7"/>
    </row>
    <row r="5592" spans="5:7" x14ac:dyDescent="0.25">
      <c r="E5592" s="27"/>
      <c r="F5592" s="27"/>
      <c r="G5592" s="7"/>
    </row>
    <row r="5593" spans="5:7" x14ac:dyDescent="0.25">
      <c r="E5593" s="27"/>
      <c r="F5593" s="27"/>
      <c r="G5593" s="7"/>
    </row>
    <row r="5594" spans="5:7" x14ac:dyDescent="0.25">
      <c r="E5594" s="27"/>
      <c r="F5594" s="27"/>
      <c r="G5594" s="7"/>
    </row>
    <row r="5595" spans="5:7" x14ac:dyDescent="0.25">
      <c r="E5595" s="27"/>
      <c r="F5595" s="27"/>
      <c r="G5595" s="7"/>
    </row>
    <row r="5596" spans="5:7" x14ac:dyDescent="0.25">
      <c r="E5596" s="27"/>
      <c r="F5596" s="27"/>
      <c r="G5596" s="7"/>
    </row>
    <row r="5597" spans="5:7" x14ac:dyDescent="0.25">
      <c r="E5597" s="27"/>
      <c r="F5597" s="27"/>
      <c r="G5597" s="7"/>
    </row>
    <row r="5598" spans="5:7" x14ac:dyDescent="0.25">
      <c r="E5598" s="27"/>
      <c r="F5598" s="27"/>
      <c r="G5598" s="7"/>
    </row>
    <row r="5599" spans="5:7" x14ac:dyDescent="0.25">
      <c r="E5599" s="27"/>
      <c r="F5599" s="27"/>
      <c r="G5599" s="7"/>
    </row>
    <row r="5600" spans="5:7" x14ac:dyDescent="0.25">
      <c r="E5600" s="27"/>
      <c r="F5600" s="27"/>
      <c r="G5600" s="7"/>
    </row>
    <row r="5601" spans="5:7" x14ac:dyDescent="0.25">
      <c r="E5601" s="27"/>
      <c r="F5601" s="27"/>
      <c r="G5601" s="7"/>
    </row>
    <row r="5602" spans="5:7" x14ac:dyDescent="0.25">
      <c r="E5602" s="27"/>
      <c r="F5602" s="27"/>
      <c r="G5602" s="7"/>
    </row>
    <row r="5603" spans="5:7" x14ac:dyDescent="0.25">
      <c r="E5603" s="27"/>
      <c r="F5603" s="27"/>
      <c r="G5603" s="7"/>
    </row>
    <row r="5604" spans="5:7" x14ac:dyDescent="0.25">
      <c r="E5604" s="27"/>
      <c r="F5604" s="27"/>
      <c r="G5604" s="7"/>
    </row>
    <row r="5605" spans="5:7" x14ac:dyDescent="0.25">
      <c r="E5605" s="27"/>
      <c r="F5605" s="27"/>
      <c r="G5605" s="7"/>
    </row>
    <row r="5606" spans="5:7" x14ac:dyDescent="0.25">
      <c r="E5606" s="27"/>
      <c r="F5606" s="27"/>
      <c r="G5606" s="7"/>
    </row>
    <row r="5607" spans="5:7" x14ac:dyDescent="0.25">
      <c r="E5607" s="27"/>
      <c r="F5607" s="27"/>
      <c r="G5607" s="7"/>
    </row>
    <row r="5608" spans="5:7" x14ac:dyDescent="0.25">
      <c r="E5608" s="27"/>
      <c r="F5608" s="27"/>
      <c r="G5608" s="7"/>
    </row>
    <row r="5609" spans="5:7" x14ac:dyDescent="0.25">
      <c r="E5609" s="27"/>
      <c r="F5609" s="27"/>
      <c r="G5609" s="7"/>
    </row>
    <row r="5610" spans="5:7" x14ac:dyDescent="0.25">
      <c r="E5610" s="27"/>
      <c r="F5610" s="27"/>
      <c r="G5610" s="7"/>
    </row>
    <row r="5611" spans="5:7" x14ac:dyDescent="0.25">
      <c r="E5611" s="27"/>
      <c r="F5611" s="27"/>
      <c r="G5611" s="7"/>
    </row>
    <row r="5612" spans="5:7" x14ac:dyDescent="0.25">
      <c r="E5612" s="27"/>
      <c r="F5612" s="27"/>
      <c r="G5612" s="7"/>
    </row>
    <row r="5613" spans="5:7" x14ac:dyDescent="0.25">
      <c r="E5613" s="27"/>
      <c r="F5613" s="27"/>
      <c r="G5613" s="7"/>
    </row>
    <row r="5614" spans="5:7" x14ac:dyDescent="0.25">
      <c r="E5614" s="27"/>
      <c r="F5614" s="27"/>
      <c r="G5614" s="7"/>
    </row>
    <row r="5615" spans="5:7" x14ac:dyDescent="0.25">
      <c r="E5615" s="27"/>
      <c r="F5615" s="27"/>
      <c r="G5615" s="7"/>
    </row>
    <row r="5616" spans="5:7" x14ac:dyDescent="0.25">
      <c r="E5616" s="27"/>
      <c r="F5616" s="27"/>
      <c r="G5616" s="7"/>
    </row>
    <row r="5617" spans="5:7" x14ac:dyDescent="0.25">
      <c r="E5617" s="27"/>
      <c r="F5617" s="27"/>
      <c r="G5617" s="7"/>
    </row>
    <row r="5618" spans="5:7" x14ac:dyDescent="0.25">
      <c r="E5618" s="27"/>
      <c r="F5618" s="27"/>
      <c r="G5618" s="7"/>
    </row>
    <row r="5619" spans="5:7" x14ac:dyDescent="0.25">
      <c r="E5619" s="27"/>
      <c r="F5619" s="27"/>
      <c r="G5619" s="7"/>
    </row>
    <row r="5620" spans="5:7" x14ac:dyDescent="0.25">
      <c r="E5620" s="27"/>
      <c r="F5620" s="27"/>
      <c r="G5620" s="7"/>
    </row>
    <row r="5621" spans="5:7" x14ac:dyDescent="0.25">
      <c r="E5621" s="27"/>
      <c r="F5621" s="27"/>
      <c r="G5621" s="7"/>
    </row>
    <row r="5622" spans="5:7" x14ac:dyDescent="0.25">
      <c r="E5622" s="27"/>
      <c r="F5622" s="27"/>
      <c r="G5622" s="7"/>
    </row>
    <row r="5623" spans="5:7" x14ac:dyDescent="0.25">
      <c r="E5623" s="27"/>
      <c r="F5623" s="27"/>
      <c r="G5623" s="7"/>
    </row>
    <row r="5624" spans="5:7" x14ac:dyDescent="0.25">
      <c r="E5624" s="27"/>
      <c r="F5624" s="27"/>
      <c r="G5624" s="7"/>
    </row>
    <row r="5625" spans="5:7" x14ac:dyDescent="0.25">
      <c r="E5625" s="27"/>
      <c r="F5625" s="27"/>
      <c r="G5625" s="7"/>
    </row>
    <row r="5626" spans="5:7" x14ac:dyDescent="0.25">
      <c r="E5626" s="27"/>
      <c r="F5626" s="27"/>
      <c r="G5626" s="7"/>
    </row>
    <row r="5627" spans="5:7" x14ac:dyDescent="0.25">
      <c r="E5627" s="27"/>
      <c r="F5627" s="27"/>
      <c r="G5627" s="7"/>
    </row>
    <row r="5628" spans="5:7" x14ac:dyDescent="0.25">
      <c r="E5628" s="27"/>
      <c r="F5628" s="27"/>
      <c r="G5628" s="7"/>
    </row>
    <row r="5629" spans="5:7" x14ac:dyDescent="0.25">
      <c r="E5629" s="27"/>
      <c r="F5629" s="27"/>
      <c r="G5629" s="7"/>
    </row>
    <row r="5630" spans="5:7" x14ac:dyDescent="0.25">
      <c r="E5630" s="27"/>
      <c r="F5630" s="27"/>
      <c r="G5630" s="7"/>
    </row>
    <row r="5631" spans="5:7" x14ac:dyDescent="0.25">
      <c r="E5631" s="27"/>
      <c r="F5631" s="27"/>
      <c r="G5631" s="7"/>
    </row>
    <row r="5632" spans="5:7" x14ac:dyDescent="0.25">
      <c r="E5632" s="27"/>
      <c r="F5632" s="27"/>
      <c r="G5632" s="7"/>
    </row>
    <row r="5633" spans="5:7" x14ac:dyDescent="0.25">
      <c r="E5633" s="27"/>
      <c r="F5633" s="27"/>
      <c r="G5633" s="7"/>
    </row>
    <row r="5634" spans="5:7" x14ac:dyDescent="0.25">
      <c r="E5634" s="27"/>
      <c r="F5634" s="27"/>
      <c r="G5634" s="7"/>
    </row>
    <row r="5635" spans="5:7" x14ac:dyDescent="0.25">
      <c r="E5635" s="27"/>
      <c r="F5635" s="27"/>
      <c r="G5635" s="7"/>
    </row>
    <row r="5636" spans="5:7" x14ac:dyDescent="0.25">
      <c r="E5636" s="27"/>
      <c r="F5636" s="27"/>
      <c r="G5636" s="7"/>
    </row>
    <row r="5637" spans="5:7" x14ac:dyDescent="0.25">
      <c r="E5637" s="27"/>
      <c r="F5637" s="27"/>
      <c r="G5637" s="7"/>
    </row>
    <row r="5638" spans="5:7" x14ac:dyDescent="0.25">
      <c r="E5638" s="27"/>
      <c r="F5638" s="27"/>
      <c r="G5638" s="7"/>
    </row>
    <row r="5639" spans="5:7" x14ac:dyDescent="0.25">
      <c r="E5639" s="27"/>
      <c r="F5639" s="27"/>
      <c r="G5639" s="7"/>
    </row>
    <row r="5640" spans="5:7" x14ac:dyDescent="0.25">
      <c r="E5640" s="27"/>
      <c r="F5640" s="27"/>
      <c r="G5640" s="7"/>
    </row>
    <row r="5641" spans="5:7" x14ac:dyDescent="0.25">
      <c r="E5641" s="27"/>
      <c r="F5641" s="27"/>
      <c r="G5641" s="7"/>
    </row>
    <row r="5642" spans="5:7" x14ac:dyDescent="0.25">
      <c r="E5642" s="27"/>
      <c r="F5642" s="27"/>
      <c r="G5642" s="7"/>
    </row>
    <row r="5643" spans="5:7" x14ac:dyDescent="0.25">
      <c r="E5643" s="27"/>
      <c r="F5643" s="27"/>
      <c r="G5643" s="7"/>
    </row>
    <row r="5644" spans="5:7" x14ac:dyDescent="0.25">
      <c r="E5644" s="27"/>
      <c r="F5644" s="27"/>
      <c r="G5644" s="7"/>
    </row>
    <row r="5645" spans="5:7" x14ac:dyDescent="0.25">
      <c r="E5645" s="27"/>
      <c r="F5645" s="27"/>
      <c r="G5645" s="7"/>
    </row>
    <row r="5646" spans="5:7" x14ac:dyDescent="0.25">
      <c r="E5646" s="27"/>
      <c r="F5646" s="27"/>
      <c r="G5646" s="7"/>
    </row>
    <row r="5647" spans="5:7" x14ac:dyDescent="0.25">
      <c r="E5647" s="27"/>
      <c r="F5647" s="27"/>
      <c r="G5647" s="7"/>
    </row>
    <row r="5648" spans="5:7" x14ac:dyDescent="0.25">
      <c r="E5648" s="27"/>
      <c r="F5648" s="27"/>
      <c r="G5648" s="7"/>
    </row>
    <row r="5649" spans="5:7" x14ac:dyDescent="0.25">
      <c r="E5649" s="27"/>
      <c r="F5649" s="27"/>
      <c r="G5649" s="7"/>
    </row>
    <row r="5650" spans="5:7" x14ac:dyDescent="0.25">
      <c r="E5650" s="27"/>
      <c r="F5650" s="27"/>
      <c r="G5650" s="7"/>
    </row>
    <row r="5651" spans="5:7" x14ac:dyDescent="0.25">
      <c r="E5651" s="27"/>
      <c r="F5651" s="27"/>
      <c r="G5651" s="7"/>
    </row>
    <row r="5652" spans="5:7" x14ac:dyDescent="0.25">
      <c r="E5652" s="27"/>
      <c r="F5652" s="27"/>
      <c r="G5652" s="7"/>
    </row>
    <row r="5653" spans="5:7" x14ac:dyDescent="0.25">
      <c r="E5653" s="27"/>
      <c r="F5653" s="27"/>
      <c r="G5653" s="7"/>
    </row>
    <row r="5654" spans="5:7" x14ac:dyDescent="0.25">
      <c r="E5654" s="27"/>
      <c r="F5654" s="27"/>
      <c r="G5654" s="7"/>
    </row>
    <row r="5655" spans="5:7" x14ac:dyDescent="0.25">
      <c r="E5655" s="27"/>
      <c r="F5655" s="27"/>
      <c r="G5655" s="7"/>
    </row>
    <row r="5656" spans="5:7" x14ac:dyDescent="0.25">
      <c r="E5656" s="27"/>
      <c r="F5656" s="27"/>
      <c r="G5656" s="7"/>
    </row>
    <row r="5657" spans="5:7" x14ac:dyDescent="0.25">
      <c r="E5657" s="27"/>
      <c r="F5657" s="27"/>
      <c r="G5657" s="7"/>
    </row>
    <row r="5658" spans="5:7" x14ac:dyDescent="0.25">
      <c r="E5658" s="27"/>
      <c r="F5658" s="27"/>
      <c r="G5658" s="7"/>
    </row>
    <row r="5659" spans="5:7" x14ac:dyDescent="0.25">
      <c r="E5659" s="27"/>
      <c r="F5659" s="27"/>
      <c r="G5659" s="7"/>
    </row>
    <row r="5660" spans="5:7" x14ac:dyDescent="0.25">
      <c r="E5660" s="27"/>
      <c r="F5660" s="27"/>
      <c r="G5660" s="7"/>
    </row>
    <row r="5661" spans="5:7" x14ac:dyDescent="0.25">
      <c r="E5661" s="27"/>
      <c r="F5661" s="27"/>
      <c r="G5661" s="7"/>
    </row>
    <row r="5662" spans="5:7" x14ac:dyDescent="0.25">
      <c r="E5662" s="27"/>
      <c r="F5662" s="27"/>
      <c r="G5662" s="7"/>
    </row>
    <row r="5663" spans="5:7" x14ac:dyDescent="0.25">
      <c r="E5663" s="27"/>
      <c r="F5663" s="27"/>
      <c r="G5663" s="7"/>
    </row>
    <row r="5664" spans="5:7" x14ac:dyDescent="0.25">
      <c r="E5664" s="27"/>
      <c r="F5664" s="27"/>
      <c r="G5664" s="7"/>
    </row>
    <row r="5665" spans="5:7" x14ac:dyDescent="0.25">
      <c r="E5665" s="27"/>
      <c r="F5665" s="27"/>
      <c r="G5665" s="7"/>
    </row>
    <row r="5666" spans="5:7" x14ac:dyDescent="0.25">
      <c r="E5666" s="27"/>
      <c r="F5666" s="27"/>
      <c r="G5666" s="7"/>
    </row>
    <row r="5667" spans="5:7" x14ac:dyDescent="0.25">
      <c r="E5667" s="27"/>
      <c r="F5667" s="27"/>
      <c r="G5667" s="7"/>
    </row>
    <row r="5668" spans="5:7" x14ac:dyDescent="0.25">
      <c r="E5668" s="27"/>
      <c r="F5668" s="27"/>
      <c r="G5668" s="7"/>
    </row>
    <row r="5669" spans="5:7" x14ac:dyDescent="0.25">
      <c r="E5669" s="27"/>
      <c r="F5669" s="27"/>
      <c r="G5669" s="7"/>
    </row>
    <row r="5670" spans="5:7" x14ac:dyDescent="0.25">
      <c r="E5670" s="27"/>
      <c r="F5670" s="27"/>
      <c r="G5670" s="7"/>
    </row>
    <row r="5671" spans="5:7" x14ac:dyDescent="0.25">
      <c r="E5671" s="27"/>
      <c r="F5671" s="27"/>
      <c r="G5671" s="7"/>
    </row>
    <row r="5672" spans="5:7" x14ac:dyDescent="0.25">
      <c r="E5672" s="27"/>
      <c r="F5672" s="27"/>
      <c r="G5672" s="7"/>
    </row>
    <row r="5673" spans="5:7" x14ac:dyDescent="0.25">
      <c r="E5673" s="27"/>
      <c r="F5673" s="27"/>
      <c r="G5673" s="7"/>
    </row>
    <row r="5674" spans="5:7" x14ac:dyDescent="0.25">
      <c r="E5674" s="27"/>
      <c r="F5674" s="27"/>
      <c r="G5674" s="7"/>
    </row>
    <row r="5675" spans="5:7" x14ac:dyDescent="0.25">
      <c r="E5675" s="27"/>
      <c r="F5675" s="27"/>
      <c r="G5675" s="7"/>
    </row>
    <row r="5676" spans="5:7" x14ac:dyDescent="0.25">
      <c r="E5676" s="27"/>
      <c r="F5676" s="27"/>
      <c r="G5676" s="7"/>
    </row>
    <row r="5677" spans="5:7" x14ac:dyDescent="0.25">
      <c r="E5677" s="27"/>
      <c r="F5677" s="27"/>
      <c r="G5677" s="7"/>
    </row>
    <row r="5678" spans="5:7" x14ac:dyDescent="0.25">
      <c r="E5678" s="27"/>
      <c r="F5678" s="27"/>
      <c r="G5678" s="7"/>
    </row>
    <row r="5679" spans="5:7" x14ac:dyDescent="0.25">
      <c r="E5679" s="27"/>
      <c r="F5679" s="27"/>
      <c r="G5679" s="7"/>
    </row>
    <row r="5680" spans="5:7" x14ac:dyDescent="0.25">
      <c r="E5680" s="27"/>
      <c r="F5680" s="27"/>
      <c r="G5680" s="7"/>
    </row>
    <row r="5681" spans="5:7" x14ac:dyDescent="0.25">
      <c r="E5681" s="27"/>
      <c r="F5681" s="27"/>
      <c r="G5681" s="7"/>
    </row>
    <row r="5682" spans="5:7" x14ac:dyDescent="0.25">
      <c r="E5682" s="27"/>
      <c r="F5682" s="27"/>
      <c r="G5682" s="7"/>
    </row>
    <row r="5683" spans="5:7" x14ac:dyDescent="0.25">
      <c r="E5683" s="27"/>
      <c r="F5683" s="27"/>
      <c r="G5683" s="7"/>
    </row>
    <row r="5684" spans="5:7" x14ac:dyDescent="0.25">
      <c r="E5684" s="27"/>
      <c r="F5684" s="27"/>
      <c r="G5684" s="7"/>
    </row>
    <row r="5685" spans="5:7" x14ac:dyDescent="0.25">
      <c r="E5685" s="27"/>
      <c r="F5685" s="27"/>
      <c r="G5685" s="7"/>
    </row>
    <row r="5686" spans="5:7" x14ac:dyDescent="0.25">
      <c r="E5686" s="27"/>
      <c r="F5686" s="27"/>
      <c r="G5686" s="7"/>
    </row>
    <row r="5687" spans="5:7" x14ac:dyDescent="0.25">
      <c r="E5687" s="27"/>
      <c r="F5687" s="27"/>
      <c r="G5687" s="7"/>
    </row>
    <row r="5688" spans="5:7" x14ac:dyDescent="0.25">
      <c r="E5688" s="27"/>
      <c r="F5688" s="27"/>
      <c r="G5688" s="7"/>
    </row>
    <row r="5689" spans="5:7" x14ac:dyDescent="0.25">
      <c r="E5689" s="27"/>
      <c r="F5689" s="27"/>
      <c r="G5689" s="7"/>
    </row>
    <row r="5690" spans="5:7" x14ac:dyDescent="0.25">
      <c r="E5690" s="27"/>
      <c r="F5690" s="27"/>
      <c r="G5690" s="7"/>
    </row>
    <row r="5691" spans="5:7" x14ac:dyDescent="0.25">
      <c r="E5691" s="27"/>
      <c r="F5691" s="27"/>
      <c r="G5691" s="7"/>
    </row>
    <row r="5692" spans="5:7" x14ac:dyDescent="0.25">
      <c r="E5692" s="27"/>
      <c r="F5692" s="27"/>
      <c r="G5692" s="7"/>
    </row>
    <row r="5693" spans="5:7" x14ac:dyDescent="0.25">
      <c r="E5693" s="27"/>
      <c r="F5693" s="27"/>
      <c r="G5693" s="7"/>
    </row>
    <row r="5694" spans="5:7" x14ac:dyDescent="0.25">
      <c r="E5694" s="27"/>
      <c r="F5694" s="27"/>
      <c r="G5694" s="7"/>
    </row>
    <row r="5695" spans="5:7" x14ac:dyDescent="0.25">
      <c r="E5695" s="27"/>
      <c r="F5695" s="27"/>
      <c r="G5695" s="7"/>
    </row>
    <row r="5696" spans="5:7" x14ac:dyDescent="0.25">
      <c r="E5696" s="27"/>
      <c r="F5696" s="27"/>
      <c r="G5696" s="7"/>
    </row>
    <row r="5697" spans="5:7" x14ac:dyDescent="0.25">
      <c r="E5697" s="27"/>
      <c r="F5697" s="27"/>
      <c r="G5697" s="7"/>
    </row>
    <row r="5698" spans="5:7" x14ac:dyDescent="0.25">
      <c r="E5698" s="27"/>
      <c r="F5698" s="27"/>
      <c r="G5698" s="7"/>
    </row>
    <row r="5699" spans="5:7" x14ac:dyDescent="0.25">
      <c r="E5699" s="27"/>
      <c r="F5699" s="27"/>
      <c r="G5699" s="7"/>
    </row>
    <row r="5700" spans="5:7" x14ac:dyDescent="0.25">
      <c r="E5700" s="27"/>
      <c r="F5700" s="27"/>
      <c r="G5700" s="7"/>
    </row>
    <row r="5701" spans="5:7" x14ac:dyDescent="0.25">
      <c r="E5701" s="27"/>
      <c r="F5701" s="27"/>
      <c r="G5701" s="7"/>
    </row>
    <row r="5702" spans="5:7" x14ac:dyDescent="0.25">
      <c r="E5702" s="27"/>
      <c r="F5702" s="27"/>
      <c r="G5702" s="7"/>
    </row>
    <row r="5703" spans="5:7" x14ac:dyDescent="0.25">
      <c r="E5703" s="27"/>
      <c r="F5703" s="27"/>
      <c r="G5703" s="7"/>
    </row>
    <row r="5704" spans="5:7" x14ac:dyDescent="0.25">
      <c r="E5704" s="27"/>
      <c r="F5704" s="27"/>
      <c r="G5704" s="7"/>
    </row>
    <row r="5705" spans="5:7" x14ac:dyDescent="0.25">
      <c r="E5705" s="27"/>
      <c r="F5705" s="27"/>
      <c r="G5705" s="7"/>
    </row>
    <row r="5706" spans="5:7" x14ac:dyDescent="0.25">
      <c r="E5706" s="27"/>
      <c r="F5706" s="27"/>
      <c r="G5706" s="7"/>
    </row>
    <row r="5707" spans="5:7" x14ac:dyDescent="0.25">
      <c r="E5707" s="27"/>
      <c r="F5707" s="27"/>
      <c r="G5707" s="7"/>
    </row>
    <row r="5708" spans="5:7" x14ac:dyDescent="0.25">
      <c r="E5708" s="27"/>
      <c r="F5708" s="27"/>
      <c r="G5708" s="7"/>
    </row>
    <row r="5709" spans="5:7" x14ac:dyDescent="0.25">
      <c r="E5709" s="27"/>
      <c r="F5709" s="27"/>
      <c r="G5709" s="7"/>
    </row>
    <row r="5710" spans="5:7" x14ac:dyDescent="0.25">
      <c r="E5710" s="27"/>
      <c r="F5710" s="27"/>
      <c r="G5710" s="7"/>
    </row>
    <row r="5711" spans="5:7" x14ac:dyDescent="0.25">
      <c r="E5711" s="27"/>
      <c r="F5711" s="27"/>
      <c r="G5711" s="7"/>
    </row>
    <row r="5712" spans="5:7" x14ac:dyDescent="0.25">
      <c r="E5712" s="27"/>
      <c r="F5712" s="27"/>
      <c r="G5712" s="7"/>
    </row>
    <row r="5713" spans="5:7" x14ac:dyDescent="0.25">
      <c r="E5713" s="27"/>
      <c r="F5713" s="27"/>
      <c r="G5713" s="7"/>
    </row>
    <row r="5714" spans="5:7" x14ac:dyDescent="0.25">
      <c r="E5714" s="27"/>
      <c r="F5714" s="27"/>
      <c r="G5714" s="7"/>
    </row>
    <row r="5715" spans="5:7" x14ac:dyDescent="0.25">
      <c r="E5715" s="27"/>
      <c r="F5715" s="27"/>
      <c r="G5715" s="7"/>
    </row>
    <row r="5716" spans="5:7" x14ac:dyDescent="0.25">
      <c r="E5716" s="27"/>
      <c r="F5716" s="27"/>
      <c r="G5716" s="7"/>
    </row>
    <row r="5717" spans="5:7" x14ac:dyDescent="0.25">
      <c r="E5717" s="27"/>
      <c r="F5717" s="27"/>
      <c r="G5717" s="7"/>
    </row>
    <row r="5718" spans="5:7" x14ac:dyDescent="0.25">
      <c r="E5718" s="27"/>
      <c r="F5718" s="27"/>
      <c r="G5718" s="7"/>
    </row>
    <row r="5719" spans="5:7" x14ac:dyDescent="0.25">
      <c r="E5719" s="27"/>
      <c r="F5719" s="27"/>
      <c r="G5719" s="7"/>
    </row>
    <row r="5720" spans="5:7" x14ac:dyDescent="0.25">
      <c r="E5720" s="27"/>
      <c r="F5720" s="27"/>
      <c r="G5720" s="7"/>
    </row>
    <row r="5721" spans="5:7" x14ac:dyDescent="0.25">
      <c r="E5721" s="27"/>
      <c r="F5721" s="27"/>
      <c r="G5721" s="7"/>
    </row>
    <row r="5722" spans="5:7" x14ac:dyDescent="0.25">
      <c r="E5722" s="27"/>
      <c r="F5722" s="27"/>
      <c r="G5722" s="7"/>
    </row>
    <row r="5723" spans="5:7" x14ac:dyDescent="0.25">
      <c r="E5723" s="27"/>
      <c r="F5723" s="27"/>
      <c r="G5723" s="7"/>
    </row>
    <row r="5724" spans="5:7" x14ac:dyDescent="0.25">
      <c r="E5724" s="27"/>
      <c r="F5724" s="27"/>
      <c r="G5724" s="7"/>
    </row>
    <row r="5725" spans="5:7" x14ac:dyDescent="0.25">
      <c r="E5725" s="27"/>
      <c r="F5725" s="27"/>
      <c r="G5725" s="7"/>
    </row>
    <row r="5726" spans="5:7" x14ac:dyDescent="0.25">
      <c r="E5726" s="27"/>
      <c r="F5726" s="27"/>
      <c r="G5726" s="7"/>
    </row>
    <row r="5727" spans="5:7" x14ac:dyDescent="0.25">
      <c r="E5727" s="27"/>
      <c r="F5727" s="27"/>
      <c r="G5727" s="7"/>
    </row>
    <row r="5728" spans="5:7" x14ac:dyDescent="0.25">
      <c r="E5728" s="27"/>
      <c r="F5728" s="27"/>
      <c r="G5728" s="7"/>
    </row>
    <row r="5729" spans="5:7" x14ac:dyDescent="0.25">
      <c r="E5729" s="27"/>
      <c r="F5729" s="27"/>
      <c r="G5729" s="7"/>
    </row>
    <row r="5730" spans="5:7" x14ac:dyDescent="0.25">
      <c r="E5730" s="27"/>
      <c r="F5730" s="27"/>
      <c r="G5730" s="7"/>
    </row>
    <row r="5731" spans="5:7" x14ac:dyDescent="0.25">
      <c r="E5731" s="27"/>
      <c r="F5731" s="27"/>
      <c r="G5731" s="7"/>
    </row>
    <row r="5732" spans="5:7" x14ac:dyDescent="0.25">
      <c r="E5732" s="27"/>
      <c r="F5732" s="27"/>
      <c r="G5732" s="7"/>
    </row>
    <row r="5733" spans="5:7" x14ac:dyDescent="0.25">
      <c r="E5733" s="27"/>
      <c r="F5733" s="27"/>
      <c r="G5733" s="7"/>
    </row>
    <row r="5734" spans="5:7" x14ac:dyDescent="0.25">
      <c r="E5734" s="27"/>
      <c r="F5734" s="27"/>
      <c r="G5734" s="7"/>
    </row>
    <row r="5735" spans="5:7" x14ac:dyDescent="0.25">
      <c r="E5735" s="27"/>
      <c r="F5735" s="27"/>
      <c r="G5735" s="7"/>
    </row>
    <row r="5736" spans="5:7" x14ac:dyDescent="0.25">
      <c r="E5736" s="27"/>
      <c r="F5736" s="27"/>
      <c r="G5736" s="7"/>
    </row>
    <row r="5737" spans="5:7" x14ac:dyDescent="0.25">
      <c r="E5737" s="27"/>
      <c r="F5737" s="27"/>
      <c r="G5737" s="7"/>
    </row>
    <row r="5738" spans="5:7" x14ac:dyDescent="0.25">
      <c r="E5738" s="27"/>
      <c r="F5738" s="27"/>
      <c r="G5738" s="7"/>
    </row>
    <row r="5739" spans="5:7" x14ac:dyDescent="0.25">
      <c r="E5739" s="27"/>
      <c r="F5739" s="27"/>
      <c r="G5739" s="7"/>
    </row>
    <row r="5740" spans="5:7" x14ac:dyDescent="0.25">
      <c r="E5740" s="27"/>
      <c r="F5740" s="27"/>
      <c r="G5740" s="7"/>
    </row>
    <row r="5741" spans="5:7" x14ac:dyDescent="0.25">
      <c r="E5741" s="27"/>
      <c r="F5741" s="27"/>
      <c r="G5741" s="7"/>
    </row>
    <row r="5742" spans="5:7" x14ac:dyDescent="0.25">
      <c r="E5742" s="27"/>
      <c r="F5742" s="27"/>
      <c r="G5742" s="7"/>
    </row>
    <row r="5743" spans="5:7" x14ac:dyDescent="0.25">
      <c r="E5743" s="27"/>
      <c r="F5743" s="27"/>
      <c r="G5743" s="7"/>
    </row>
    <row r="5744" spans="5:7" x14ac:dyDescent="0.25">
      <c r="E5744" s="27"/>
      <c r="F5744" s="27"/>
      <c r="G5744" s="7"/>
    </row>
    <row r="5745" spans="5:7" x14ac:dyDescent="0.25">
      <c r="E5745" s="27"/>
      <c r="F5745" s="27"/>
      <c r="G5745" s="7"/>
    </row>
    <row r="5746" spans="5:7" x14ac:dyDescent="0.25">
      <c r="E5746" s="27"/>
      <c r="F5746" s="27"/>
      <c r="G5746" s="7"/>
    </row>
    <row r="5747" spans="5:7" x14ac:dyDescent="0.25">
      <c r="E5747" s="27"/>
      <c r="F5747" s="27"/>
      <c r="G5747" s="7"/>
    </row>
    <row r="5748" spans="5:7" x14ac:dyDescent="0.25">
      <c r="E5748" s="27"/>
      <c r="F5748" s="27"/>
      <c r="G5748" s="7"/>
    </row>
    <row r="5749" spans="5:7" x14ac:dyDescent="0.25">
      <c r="E5749" s="27"/>
      <c r="F5749" s="27"/>
      <c r="G5749" s="7"/>
    </row>
    <row r="5750" spans="5:7" x14ac:dyDescent="0.25">
      <c r="E5750" s="27"/>
      <c r="F5750" s="27"/>
      <c r="G5750" s="7"/>
    </row>
    <row r="5751" spans="5:7" x14ac:dyDescent="0.25">
      <c r="E5751" s="27"/>
      <c r="F5751" s="27"/>
      <c r="G5751" s="7"/>
    </row>
    <row r="5752" spans="5:7" x14ac:dyDescent="0.25">
      <c r="E5752" s="27"/>
      <c r="F5752" s="27"/>
      <c r="G5752" s="7"/>
    </row>
    <row r="5753" spans="5:7" x14ac:dyDescent="0.25">
      <c r="E5753" s="27"/>
      <c r="F5753" s="27"/>
      <c r="G5753" s="7"/>
    </row>
    <row r="5754" spans="5:7" x14ac:dyDescent="0.25">
      <c r="E5754" s="27"/>
      <c r="F5754" s="27"/>
      <c r="G5754" s="7"/>
    </row>
    <row r="5755" spans="5:7" x14ac:dyDescent="0.25">
      <c r="E5755" s="27"/>
      <c r="F5755" s="27"/>
      <c r="G5755" s="7"/>
    </row>
    <row r="5756" spans="5:7" x14ac:dyDescent="0.25">
      <c r="E5756" s="27"/>
      <c r="F5756" s="27"/>
      <c r="G5756" s="7"/>
    </row>
    <row r="5757" spans="5:7" x14ac:dyDescent="0.25">
      <c r="E5757" s="27"/>
      <c r="F5757" s="27"/>
      <c r="G5757" s="7"/>
    </row>
    <row r="5758" spans="5:7" x14ac:dyDescent="0.25">
      <c r="E5758" s="27"/>
      <c r="F5758" s="27"/>
      <c r="G5758" s="7"/>
    </row>
    <row r="5759" spans="5:7" x14ac:dyDescent="0.25">
      <c r="E5759" s="27"/>
      <c r="F5759" s="27"/>
      <c r="G5759" s="7"/>
    </row>
    <row r="5760" spans="5:7" x14ac:dyDescent="0.25">
      <c r="E5760" s="27"/>
      <c r="F5760" s="27"/>
      <c r="G5760" s="7"/>
    </row>
    <row r="5761" spans="5:7" x14ac:dyDescent="0.25">
      <c r="E5761" s="27"/>
      <c r="F5761" s="27"/>
      <c r="G5761" s="7"/>
    </row>
    <row r="5762" spans="5:7" x14ac:dyDescent="0.25">
      <c r="E5762" s="27"/>
      <c r="F5762" s="27"/>
      <c r="G5762" s="7"/>
    </row>
    <row r="5763" spans="5:7" x14ac:dyDescent="0.25">
      <c r="E5763" s="27"/>
      <c r="F5763" s="27"/>
      <c r="G5763" s="7"/>
    </row>
    <row r="5764" spans="5:7" x14ac:dyDescent="0.25">
      <c r="E5764" s="27"/>
      <c r="F5764" s="27"/>
      <c r="G5764" s="7"/>
    </row>
    <row r="5765" spans="5:7" x14ac:dyDescent="0.25">
      <c r="E5765" s="27"/>
      <c r="F5765" s="27"/>
      <c r="G5765" s="7"/>
    </row>
    <row r="5766" spans="5:7" x14ac:dyDescent="0.25">
      <c r="E5766" s="27"/>
      <c r="F5766" s="27"/>
      <c r="G5766" s="7"/>
    </row>
    <row r="5767" spans="5:7" x14ac:dyDescent="0.25">
      <c r="E5767" s="27"/>
      <c r="F5767" s="27"/>
      <c r="G5767" s="7"/>
    </row>
    <row r="5768" spans="5:7" x14ac:dyDescent="0.25">
      <c r="E5768" s="27"/>
      <c r="F5768" s="27"/>
      <c r="G5768" s="7"/>
    </row>
    <row r="5769" spans="5:7" x14ac:dyDescent="0.25">
      <c r="E5769" s="27"/>
      <c r="F5769" s="27"/>
      <c r="G5769" s="7"/>
    </row>
    <row r="5770" spans="5:7" x14ac:dyDescent="0.25">
      <c r="E5770" s="27"/>
      <c r="F5770" s="27"/>
      <c r="G5770" s="7"/>
    </row>
    <row r="5771" spans="5:7" x14ac:dyDescent="0.25">
      <c r="E5771" s="27"/>
      <c r="F5771" s="27"/>
      <c r="G5771" s="7"/>
    </row>
    <row r="5772" spans="5:7" x14ac:dyDescent="0.25">
      <c r="E5772" s="27"/>
      <c r="F5772" s="27"/>
      <c r="G5772" s="7"/>
    </row>
    <row r="5773" spans="5:7" x14ac:dyDescent="0.25">
      <c r="E5773" s="27"/>
      <c r="F5773" s="27"/>
      <c r="G5773" s="7"/>
    </row>
    <row r="5774" spans="5:7" x14ac:dyDescent="0.25">
      <c r="E5774" s="27"/>
      <c r="F5774" s="27"/>
      <c r="G5774" s="7"/>
    </row>
    <row r="5775" spans="5:7" x14ac:dyDescent="0.25">
      <c r="E5775" s="27"/>
      <c r="F5775" s="27"/>
      <c r="G5775" s="7"/>
    </row>
    <row r="5776" spans="5:7" x14ac:dyDescent="0.25">
      <c r="E5776" s="27"/>
      <c r="F5776" s="27"/>
      <c r="G5776" s="7"/>
    </row>
    <row r="5777" spans="5:7" x14ac:dyDescent="0.25">
      <c r="E5777" s="27"/>
      <c r="F5777" s="27"/>
      <c r="G5777" s="7"/>
    </row>
    <row r="5778" spans="5:7" x14ac:dyDescent="0.25">
      <c r="E5778" s="27"/>
      <c r="F5778" s="27"/>
      <c r="G5778" s="7"/>
    </row>
    <row r="5779" spans="5:7" x14ac:dyDescent="0.25">
      <c r="E5779" s="27"/>
      <c r="F5779" s="27"/>
      <c r="G5779" s="7"/>
    </row>
    <row r="5780" spans="5:7" x14ac:dyDescent="0.25">
      <c r="E5780" s="27"/>
      <c r="F5780" s="27"/>
      <c r="G5780" s="7"/>
    </row>
    <row r="5781" spans="5:7" x14ac:dyDescent="0.25">
      <c r="E5781" s="27"/>
      <c r="F5781" s="27"/>
      <c r="G5781" s="7"/>
    </row>
    <row r="5782" spans="5:7" x14ac:dyDescent="0.25">
      <c r="E5782" s="27"/>
      <c r="F5782" s="27"/>
      <c r="G5782" s="7"/>
    </row>
    <row r="5783" spans="5:7" x14ac:dyDescent="0.25">
      <c r="E5783" s="27"/>
      <c r="F5783" s="27"/>
      <c r="G5783" s="7"/>
    </row>
    <row r="5784" spans="5:7" x14ac:dyDescent="0.25">
      <c r="E5784" s="27"/>
      <c r="F5784" s="27"/>
      <c r="G5784" s="7"/>
    </row>
    <row r="5785" spans="5:7" x14ac:dyDescent="0.25">
      <c r="E5785" s="27"/>
      <c r="F5785" s="27"/>
      <c r="G5785" s="7"/>
    </row>
    <row r="5786" spans="5:7" x14ac:dyDescent="0.25">
      <c r="E5786" s="27"/>
      <c r="F5786" s="27"/>
      <c r="G5786" s="7"/>
    </row>
    <row r="5787" spans="5:7" x14ac:dyDescent="0.25">
      <c r="E5787" s="27"/>
      <c r="F5787" s="27"/>
      <c r="G5787" s="7"/>
    </row>
    <row r="5788" spans="5:7" x14ac:dyDescent="0.25">
      <c r="E5788" s="27"/>
      <c r="F5788" s="27"/>
      <c r="G5788" s="7"/>
    </row>
    <row r="5789" spans="5:7" x14ac:dyDescent="0.25">
      <c r="E5789" s="27"/>
      <c r="F5789" s="27"/>
      <c r="G5789" s="7"/>
    </row>
    <row r="5790" spans="5:7" x14ac:dyDescent="0.25">
      <c r="E5790" s="27"/>
      <c r="F5790" s="27"/>
      <c r="G5790" s="7"/>
    </row>
    <row r="5791" spans="5:7" x14ac:dyDescent="0.25">
      <c r="E5791" s="27"/>
      <c r="F5791" s="27"/>
      <c r="G5791" s="7"/>
    </row>
    <row r="5792" spans="5:7" x14ac:dyDescent="0.25">
      <c r="E5792" s="27"/>
      <c r="F5792" s="27"/>
      <c r="G5792" s="7"/>
    </row>
    <row r="5793" spans="5:7" x14ac:dyDescent="0.25">
      <c r="E5793" s="27"/>
      <c r="F5793" s="27"/>
      <c r="G5793" s="7"/>
    </row>
    <row r="5794" spans="5:7" x14ac:dyDescent="0.25">
      <c r="E5794" s="27"/>
      <c r="F5794" s="27"/>
      <c r="G5794" s="7"/>
    </row>
    <row r="5795" spans="5:7" x14ac:dyDescent="0.25">
      <c r="E5795" s="27"/>
      <c r="F5795" s="27"/>
      <c r="G5795" s="7"/>
    </row>
    <row r="5796" spans="5:7" x14ac:dyDescent="0.25">
      <c r="E5796" s="27"/>
      <c r="F5796" s="27"/>
      <c r="G5796" s="7"/>
    </row>
    <row r="5797" spans="5:7" x14ac:dyDescent="0.25">
      <c r="E5797" s="27"/>
      <c r="F5797" s="27"/>
      <c r="G5797" s="7"/>
    </row>
    <row r="5798" spans="5:7" x14ac:dyDescent="0.25">
      <c r="E5798" s="27"/>
      <c r="F5798" s="27"/>
      <c r="G5798" s="7"/>
    </row>
    <row r="5799" spans="5:7" x14ac:dyDescent="0.25">
      <c r="E5799" s="27"/>
      <c r="F5799" s="27"/>
      <c r="G5799" s="7"/>
    </row>
    <row r="5800" spans="5:7" x14ac:dyDescent="0.25">
      <c r="E5800" s="27"/>
      <c r="F5800" s="27"/>
      <c r="G5800" s="7"/>
    </row>
    <row r="5801" spans="5:7" x14ac:dyDescent="0.25">
      <c r="E5801" s="27"/>
      <c r="F5801" s="27"/>
      <c r="G5801" s="7"/>
    </row>
    <row r="5802" spans="5:7" x14ac:dyDescent="0.25">
      <c r="E5802" s="27"/>
      <c r="F5802" s="27"/>
      <c r="G5802" s="7"/>
    </row>
    <row r="5803" spans="5:7" x14ac:dyDescent="0.25">
      <c r="E5803" s="27"/>
      <c r="F5803" s="27"/>
      <c r="G5803" s="7"/>
    </row>
    <row r="5804" spans="5:7" x14ac:dyDescent="0.25">
      <c r="E5804" s="27"/>
      <c r="F5804" s="27"/>
      <c r="G5804" s="7"/>
    </row>
    <row r="5805" spans="5:7" x14ac:dyDescent="0.25">
      <c r="E5805" s="27"/>
      <c r="F5805" s="27"/>
      <c r="G5805" s="7"/>
    </row>
    <row r="5806" spans="5:7" x14ac:dyDescent="0.25">
      <c r="E5806" s="27"/>
      <c r="F5806" s="27"/>
      <c r="G5806" s="7"/>
    </row>
    <row r="5807" spans="5:7" x14ac:dyDescent="0.25">
      <c r="E5807" s="27"/>
      <c r="F5807" s="27"/>
      <c r="G5807" s="7"/>
    </row>
    <row r="5808" spans="5:7" x14ac:dyDescent="0.25">
      <c r="E5808" s="27"/>
      <c r="F5808" s="27"/>
      <c r="G5808" s="7"/>
    </row>
    <row r="5809" spans="5:7" x14ac:dyDescent="0.25">
      <c r="E5809" s="27"/>
      <c r="F5809" s="27"/>
      <c r="G5809" s="7"/>
    </row>
    <row r="5810" spans="5:7" x14ac:dyDescent="0.25">
      <c r="E5810" s="27"/>
      <c r="F5810" s="27"/>
      <c r="G5810" s="7"/>
    </row>
    <row r="5811" spans="5:7" x14ac:dyDescent="0.25">
      <c r="E5811" s="27"/>
      <c r="F5811" s="27"/>
      <c r="G5811" s="7"/>
    </row>
    <row r="5812" spans="5:7" x14ac:dyDescent="0.25">
      <c r="E5812" s="27"/>
      <c r="F5812" s="27"/>
      <c r="G5812" s="7"/>
    </row>
    <row r="5813" spans="5:7" x14ac:dyDescent="0.25">
      <c r="E5813" s="27"/>
      <c r="F5813" s="27"/>
      <c r="G5813" s="7"/>
    </row>
    <row r="5814" spans="5:7" x14ac:dyDescent="0.25">
      <c r="E5814" s="27"/>
      <c r="F5814" s="27"/>
      <c r="G5814" s="7"/>
    </row>
    <row r="5815" spans="5:7" x14ac:dyDescent="0.25">
      <c r="E5815" s="27"/>
      <c r="F5815" s="27"/>
      <c r="G5815" s="7"/>
    </row>
    <row r="5816" spans="5:7" x14ac:dyDescent="0.25">
      <c r="E5816" s="27"/>
      <c r="F5816" s="27"/>
      <c r="G5816" s="7"/>
    </row>
    <row r="5817" spans="5:7" x14ac:dyDescent="0.25">
      <c r="E5817" s="27"/>
      <c r="F5817" s="27"/>
      <c r="G5817" s="7"/>
    </row>
    <row r="5818" spans="5:7" x14ac:dyDescent="0.25">
      <c r="E5818" s="27"/>
      <c r="F5818" s="27"/>
      <c r="G5818" s="7"/>
    </row>
    <row r="5819" spans="5:7" x14ac:dyDescent="0.25">
      <c r="E5819" s="27"/>
      <c r="F5819" s="27"/>
      <c r="G5819" s="7"/>
    </row>
    <row r="5820" spans="5:7" x14ac:dyDescent="0.25">
      <c r="E5820" s="27"/>
      <c r="F5820" s="27"/>
      <c r="G5820" s="7"/>
    </row>
    <row r="5821" spans="5:7" x14ac:dyDescent="0.25">
      <c r="E5821" s="27"/>
      <c r="F5821" s="27"/>
      <c r="G5821" s="7"/>
    </row>
    <row r="5822" spans="5:7" x14ac:dyDescent="0.25">
      <c r="E5822" s="27"/>
      <c r="F5822" s="27"/>
      <c r="G5822" s="7"/>
    </row>
    <row r="5823" spans="5:7" x14ac:dyDescent="0.25">
      <c r="E5823" s="27"/>
      <c r="F5823" s="27"/>
      <c r="G5823" s="7"/>
    </row>
    <row r="5824" spans="5:7" x14ac:dyDescent="0.25">
      <c r="E5824" s="27"/>
      <c r="F5824" s="27"/>
      <c r="G5824" s="7"/>
    </row>
    <row r="5825" spans="5:7" x14ac:dyDescent="0.25">
      <c r="E5825" s="27"/>
      <c r="F5825" s="27"/>
      <c r="G5825" s="7"/>
    </row>
    <row r="5826" spans="5:7" x14ac:dyDescent="0.25">
      <c r="E5826" s="27"/>
      <c r="F5826" s="27"/>
      <c r="G5826" s="7"/>
    </row>
    <row r="5827" spans="5:7" x14ac:dyDescent="0.25">
      <c r="E5827" s="27"/>
      <c r="F5827" s="27"/>
      <c r="G5827" s="7"/>
    </row>
    <row r="5828" spans="5:7" x14ac:dyDescent="0.25">
      <c r="E5828" s="27"/>
      <c r="F5828" s="27"/>
      <c r="G5828" s="7"/>
    </row>
    <row r="5829" spans="5:7" x14ac:dyDescent="0.25">
      <c r="E5829" s="27"/>
      <c r="F5829" s="27"/>
      <c r="G5829" s="7"/>
    </row>
    <row r="5830" spans="5:7" x14ac:dyDescent="0.25">
      <c r="E5830" s="27"/>
      <c r="F5830" s="27"/>
      <c r="G5830" s="7"/>
    </row>
    <row r="5831" spans="5:7" x14ac:dyDescent="0.25">
      <c r="E5831" s="27"/>
      <c r="F5831" s="27"/>
      <c r="G5831" s="7"/>
    </row>
    <row r="5832" spans="5:7" x14ac:dyDescent="0.25">
      <c r="E5832" s="27"/>
      <c r="F5832" s="27"/>
      <c r="G5832" s="7"/>
    </row>
    <row r="5833" spans="5:7" x14ac:dyDescent="0.25">
      <c r="E5833" s="27"/>
      <c r="F5833" s="27"/>
      <c r="G5833" s="7"/>
    </row>
    <row r="5834" spans="5:7" x14ac:dyDescent="0.25">
      <c r="E5834" s="27"/>
      <c r="F5834" s="27"/>
      <c r="G5834" s="7"/>
    </row>
    <row r="5835" spans="5:7" x14ac:dyDescent="0.25">
      <c r="E5835" s="27"/>
      <c r="F5835" s="27"/>
      <c r="G5835" s="7"/>
    </row>
    <row r="5836" spans="5:7" x14ac:dyDescent="0.25">
      <c r="E5836" s="27"/>
      <c r="F5836" s="27"/>
      <c r="G5836" s="7"/>
    </row>
    <row r="5837" spans="5:7" x14ac:dyDescent="0.25">
      <c r="E5837" s="27"/>
      <c r="F5837" s="27"/>
      <c r="G5837" s="7"/>
    </row>
    <row r="5838" spans="5:7" x14ac:dyDescent="0.25">
      <c r="E5838" s="27"/>
      <c r="F5838" s="27"/>
      <c r="G5838" s="7"/>
    </row>
    <row r="5839" spans="5:7" x14ac:dyDescent="0.25">
      <c r="E5839" s="27"/>
      <c r="F5839" s="27"/>
      <c r="G5839" s="7"/>
    </row>
    <row r="5840" spans="5:7" x14ac:dyDescent="0.25">
      <c r="E5840" s="27"/>
      <c r="F5840" s="27"/>
      <c r="G5840" s="7"/>
    </row>
    <row r="5841" spans="5:7" x14ac:dyDescent="0.25">
      <c r="E5841" s="27"/>
      <c r="F5841" s="27"/>
      <c r="G5841" s="7"/>
    </row>
    <row r="5842" spans="5:7" x14ac:dyDescent="0.25">
      <c r="E5842" s="27"/>
      <c r="F5842" s="27"/>
      <c r="G5842" s="7"/>
    </row>
    <row r="5843" spans="5:7" x14ac:dyDescent="0.25">
      <c r="E5843" s="27"/>
      <c r="F5843" s="27"/>
      <c r="G5843" s="7"/>
    </row>
    <row r="5844" spans="5:7" x14ac:dyDescent="0.25">
      <c r="E5844" s="27"/>
      <c r="F5844" s="27"/>
      <c r="G5844" s="7"/>
    </row>
    <row r="5845" spans="5:7" x14ac:dyDescent="0.25">
      <c r="E5845" s="27"/>
      <c r="F5845" s="27"/>
      <c r="G5845" s="7"/>
    </row>
    <row r="5846" spans="5:7" x14ac:dyDescent="0.25">
      <c r="E5846" s="27"/>
      <c r="F5846" s="27"/>
      <c r="G5846" s="7"/>
    </row>
    <row r="5847" spans="5:7" x14ac:dyDescent="0.25">
      <c r="E5847" s="27"/>
      <c r="F5847" s="27"/>
      <c r="G5847" s="7"/>
    </row>
    <row r="5848" spans="5:7" x14ac:dyDescent="0.25">
      <c r="E5848" s="27"/>
      <c r="F5848" s="27"/>
      <c r="G5848" s="7"/>
    </row>
    <row r="5849" spans="5:7" x14ac:dyDescent="0.25">
      <c r="E5849" s="27"/>
      <c r="F5849" s="27"/>
      <c r="G5849" s="7"/>
    </row>
    <row r="5850" spans="5:7" x14ac:dyDescent="0.25">
      <c r="E5850" s="27"/>
      <c r="F5850" s="27"/>
      <c r="G5850" s="7"/>
    </row>
    <row r="5851" spans="5:7" x14ac:dyDescent="0.25">
      <c r="E5851" s="27"/>
      <c r="F5851" s="27"/>
      <c r="G5851" s="7"/>
    </row>
    <row r="5852" spans="5:7" x14ac:dyDescent="0.25">
      <c r="E5852" s="27"/>
      <c r="F5852" s="27"/>
      <c r="G5852" s="7"/>
    </row>
    <row r="5853" spans="5:7" x14ac:dyDescent="0.25">
      <c r="E5853" s="27"/>
      <c r="F5853" s="27"/>
      <c r="G5853" s="7"/>
    </row>
    <row r="5854" spans="5:7" x14ac:dyDescent="0.25">
      <c r="E5854" s="27"/>
      <c r="F5854" s="27"/>
      <c r="G5854" s="7"/>
    </row>
    <row r="5855" spans="5:7" x14ac:dyDescent="0.25">
      <c r="E5855" s="27"/>
      <c r="F5855" s="27"/>
      <c r="G5855" s="7"/>
    </row>
    <row r="5856" spans="5:7" x14ac:dyDescent="0.25">
      <c r="E5856" s="27"/>
      <c r="F5856" s="27"/>
      <c r="G5856" s="7"/>
    </row>
    <row r="5857" spans="5:7" x14ac:dyDescent="0.25">
      <c r="E5857" s="27"/>
      <c r="F5857" s="27"/>
      <c r="G5857" s="7"/>
    </row>
    <row r="5858" spans="5:7" x14ac:dyDescent="0.25">
      <c r="E5858" s="27"/>
      <c r="F5858" s="27"/>
      <c r="G5858" s="7"/>
    </row>
    <row r="5859" spans="5:7" x14ac:dyDescent="0.25">
      <c r="E5859" s="27"/>
      <c r="F5859" s="27"/>
      <c r="G5859" s="7"/>
    </row>
    <row r="5860" spans="5:7" x14ac:dyDescent="0.25">
      <c r="E5860" s="27"/>
      <c r="F5860" s="27"/>
      <c r="G5860" s="7"/>
    </row>
    <row r="5861" spans="5:7" x14ac:dyDescent="0.25">
      <c r="E5861" s="27"/>
      <c r="F5861" s="27"/>
      <c r="G5861" s="7"/>
    </row>
    <row r="5862" spans="5:7" x14ac:dyDescent="0.25">
      <c r="E5862" s="27"/>
      <c r="F5862" s="27"/>
      <c r="G5862" s="7"/>
    </row>
    <row r="5863" spans="5:7" x14ac:dyDescent="0.25">
      <c r="E5863" s="27"/>
      <c r="F5863" s="27"/>
      <c r="G5863" s="7"/>
    </row>
    <row r="5864" spans="5:7" x14ac:dyDescent="0.25">
      <c r="E5864" s="27"/>
      <c r="F5864" s="27"/>
      <c r="G5864" s="7"/>
    </row>
    <row r="5865" spans="5:7" x14ac:dyDescent="0.25">
      <c r="E5865" s="27"/>
      <c r="F5865" s="27"/>
      <c r="G5865" s="7"/>
    </row>
    <row r="5866" spans="5:7" x14ac:dyDescent="0.25">
      <c r="E5866" s="27"/>
      <c r="F5866" s="27"/>
      <c r="G5866" s="7"/>
    </row>
    <row r="5867" spans="5:7" x14ac:dyDescent="0.25">
      <c r="E5867" s="27"/>
      <c r="F5867" s="27"/>
      <c r="G5867" s="7"/>
    </row>
    <row r="5868" spans="5:7" x14ac:dyDescent="0.25">
      <c r="E5868" s="27"/>
      <c r="F5868" s="27"/>
      <c r="G5868" s="7"/>
    </row>
    <row r="5869" spans="5:7" x14ac:dyDescent="0.25">
      <c r="E5869" s="27"/>
      <c r="F5869" s="27"/>
      <c r="G5869" s="7"/>
    </row>
    <row r="5870" spans="5:7" x14ac:dyDescent="0.25">
      <c r="E5870" s="27"/>
      <c r="F5870" s="27"/>
      <c r="G5870" s="7"/>
    </row>
    <row r="5871" spans="5:7" x14ac:dyDescent="0.25">
      <c r="E5871" s="27"/>
      <c r="F5871" s="27"/>
      <c r="G5871" s="7"/>
    </row>
    <row r="5872" spans="5:7" x14ac:dyDescent="0.25">
      <c r="E5872" s="27"/>
      <c r="F5872" s="27"/>
      <c r="G5872" s="7"/>
    </row>
    <row r="5873" spans="5:7" x14ac:dyDescent="0.25">
      <c r="E5873" s="27"/>
      <c r="F5873" s="27"/>
      <c r="G5873" s="7"/>
    </row>
    <row r="5874" spans="5:7" x14ac:dyDescent="0.25">
      <c r="E5874" s="27"/>
      <c r="F5874" s="27"/>
      <c r="G5874" s="7"/>
    </row>
    <row r="5875" spans="5:7" x14ac:dyDescent="0.25">
      <c r="E5875" s="27"/>
      <c r="F5875" s="27"/>
      <c r="G5875" s="7"/>
    </row>
    <row r="5876" spans="5:7" x14ac:dyDescent="0.25">
      <c r="E5876" s="27"/>
      <c r="F5876" s="27"/>
      <c r="G5876" s="7"/>
    </row>
    <row r="5877" spans="5:7" x14ac:dyDescent="0.25">
      <c r="E5877" s="27"/>
      <c r="F5877" s="27"/>
      <c r="G5877" s="7"/>
    </row>
    <row r="5878" spans="5:7" x14ac:dyDescent="0.25">
      <c r="E5878" s="27"/>
      <c r="F5878" s="27"/>
      <c r="G5878" s="7"/>
    </row>
    <row r="5879" spans="5:7" x14ac:dyDescent="0.25">
      <c r="E5879" s="27"/>
      <c r="F5879" s="27"/>
      <c r="G5879" s="7"/>
    </row>
    <row r="5880" spans="5:7" x14ac:dyDescent="0.25">
      <c r="E5880" s="27"/>
      <c r="F5880" s="27"/>
      <c r="G5880" s="7"/>
    </row>
    <row r="5881" spans="5:7" x14ac:dyDescent="0.25">
      <c r="E5881" s="27"/>
      <c r="F5881" s="27"/>
      <c r="G5881" s="7"/>
    </row>
    <row r="5882" spans="5:7" x14ac:dyDescent="0.25">
      <c r="E5882" s="27"/>
      <c r="F5882" s="27"/>
      <c r="G5882" s="7"/>
    </row>
    <row r="5883" spans="5:7" x14ac:dyDescent="0.25">
      <c r="E5883" s="27"/>
      <c r="F5883" s="27"/>
      <c r="G5883" s="7"/>
    </row>
    <row r="5884" spans="5:7" x14ac:dyDescent="0.25">
      <c r="E5884" s="27"/>
      <c r="F5884" s="27"/>
      <c r="G5884" s="7"/>
    </row>
    <row r="5885" spans="5:7" x14ac:dyDescent="0.25">
      <c r="E5885" s="27"/>
      <c r="F5885" s="27"/>
      <c r="G5885" s="7"/>
    </row>
    <row r="5886" spans="5:7" x14ac:dyDescent="0.25">
      <c r="E5886" s="27"/>
      <c r="F5886" s="27"/>
      <c r="G5886" s="7"/>
    </row>
    <row r="5887" spans="5:7" x14ac:dyDescent="0.25">
      <c r="E5887" s="27"/>
      <c r="F5887" s="27"/>
      <c r="G5887" s="7"/>
    </row>
    <row r="5888" spans="5:7" x14ac:dyDescent="0.25">
      <c r="E5888" s="27"/>
      <c r="F5888" s="27"/>
      <c r="G5888" s="7"/>
    </row>
    <row r="5889" spans="5:7" x14ac:dyDescent="0.25">
      <c r="E5889" s="27"/>
      <c r="F5889" s="27"/>
      <c r="G5889" s="7"/>
    </row>
    <row r="5890" spans="5:7" x14ac:dyDescent="0.25">
      <c r="E5890" s="27"/>
      <c r="F5890" s="27"/>
      <c r="G5890" s="7"/>
    </row>
    <row r="5891" spans="5:7" x14ac:dyDescent="0.25">
      <c r="E5891" s="27"/>
      <c r="F5891" s="27"/>
      <c r="G5891" s="7"/>
    </row>
    <row r="5892" spans="5:7" x14ac:dyDescent="0.25">
      <c r="E5892" s="27"/>
      <c r="F5892" s="27"/>
      <c r="G5892" s="7"/>
    </row>
    <row r="5893" spans="5:7" x14ac:dyDescent="0.25">
      <c r="E5893" s="27"/>
      <c r="F5893" s="27"/>
      <c r="G5893" s="7"/>
    </row>
    <row r="5894" spans="5:7" x14ac:dyDescent="0.25">
      <c r="E5894" s="27"/>
      <c r="F5894" s="27"/>
      <c r="G5894" s="7"/>
    </row>
    <row r="5895" spans="5:7" x14ac:dyDescent="0.25">
      <c r="E5895" s="27"/>
      <c r="F5895" s="27"/>
      <c r="G5895" s="7"/>
    </row>
    <row r="5896" spans="5:7" x14ac:dyDescent="0.25">
      <c r="E5896" s="27"/>
      <c r="F5896" s="27"/>
      <c r="G5896" s="7"/>
    </row>
    <row r="5897" spans="5:7" x14ac:dyDescent="0.25">
      <c r="E5897" s="27"/>
      <c r="F5897" s="27"/>
      <c r="G5897" s="7"/>
    </row>
    <row r="5898" spans="5:7" x14ac:dyDescent="0.25">
      <c r="E5898" s="27"/>
      <c r="F5898" s="27"/>
      <c r="G5898" s="7"/>
    </row>
    <row r="5899" spans="5:7" x14ac:dyDescent="0.25">
      <c r="E5899" s="27"/>
      <c r="F5899" s="27"/>
      <c r="G5899" s="7"/>
    </row>
    <row r="5900" spans="5:7" x14ac:dyDescent="0.25">
      <c r="E5900" s="27"/>
      <c r="F5900" s="27"/>
      <c r="G5900" s="7"/>
    </row>
    <row r="5901" spans="5:7" x14ac:dyDescent="0.25">
      <c r="E5901" s="27"/>
      <c r="F5901" s="27"/>
      <c r="G5901" s="7"/>
    </row>
    <row r="5902" spans="5:7" x14ac:dyDescent="0.25">
      <c r="E5902" s="27"/>
      <c r="F5902" s="27"/>
      <c r="G5902" s="7"/>
    </row>
    <row r="5903" spans="5:7" x14ac:dyDescent="0.25">
      <c r="E5903" s="27"/>
      <c r="F5903" s="27"/>
      <c r="G5903" s="7"/>
    </row>
    <row r="5904" spans="5:7" x14ac:dyDescent="0.25">
      <c r="E5904" s="27"/>
      <c r="F5904" s="27"/>
      <c r="G5904" s="7"/>
    </row>
    <row r="5905" spans="5:7" x14ac:dyDescent="0.25">
      <c r="E5905" s="27"/>
      <c r="F5905" s="27"/>
      <c r="G5905" s="7"/>
    </row>
    <row r="5906" spans="5:7" x14ac:dyDescent="0.25">
      <c r="E5906" s="27"/>
      <c r="F5906" s="27"/>
      <c r="G5906" s="7"/>
    </row>
    <row r="5907" spans="5:7" x14ac:dyDescent="0.25">
      <c r="E5907" s="27"/>
      <c r="F5907" s="27"/>
      <c r="G5907" s="7"/>
    </row>
    <row r="5908" spans="5:7" x14ac:dyDescent="0.25">
      <c r="E5908" s="27"/>
      <c r="F5908" s="27"/>
      <c r="G5908" s="7"/>
    </row>
    <row r="5909" spans="5:7" x14ac:dyDescent="0.25">
      <c r="E5909" s="27"/>
      <c r="F5909" s="27"/>
      <c r="G5909" s="7"/>
    </row>
    <row r="5910" spans="5:7" x14ac:dyDescent="0.25">
      <c r="E5910" s="27"/>
      <c r="F5910" s="27"/>
      <c r="G5910" s="7"/>
    </row>
    <row r="5911" spans="5:7" x14ac:dyDescent="0.25">
      <c r="E5911" s="27"/>
      <c r="F5911" s="27"/>
      <c r="G5911" s="7"/>
    </row>
    <row r="5912" spans="5:7" x14ac:dyDescent="0.25">
      <c r="E5912" s="27"/>
      <c r="F5912" s="27"/>
      <c r="G5912" s="7"/>
    </row>
    <row r="5913" spans="5:7" x14ac:dyDescent="0.25">
      <c r="E5913" s="27"/>
      <c r="F5913" s="27"/>
      <c r="G5913" s="7"/>
    </row>
    <row r="5914" spans="5:7" x14ac:dyDescent="0.25">
      <c r="E5914" s="27"/>
      <c r="F5914" s="27"/>
      <c r="G5914" s="7"/>
    </row>
    <row r="5915" spans="5:7" x14ac:dyDescent="0.25">
      <c r="E5915" s="27"/>
      <c r="F5915" s="27"/>
      <c r="G5915" s="7"/>
    </row>
    <row r="5916" spans="5:7" x14ac:dyDescent="0.25">
      <c r="E5916" s="27"/>
      <c r="F5916" s="27"/>
      <c r="G5916" s="7"/>
    </row>
    <row r="5917" spans="5:7" x14ac:dyDescent="0.25">
      <c r="E5917" s="27"/>
      <c r="F5917" s="27"/>
      <c r="G5917" s="7"/>
    </row>
    <row r="5918" spans="5:7" x14ac:dyDescent="0.25">
      <c r="E5918" s="27"/>
      <c r="F5918" s="27"/>
      <c r="G5918" s="7"/>
    </row>
    <row r="5919" spans="5:7" x14ac:dyDescent="0.25">
      <c r="E5919" s="27"/>
      <c r="F5919" s="27"/>
      <c r="G5919" s="7"/>
    </row>
    <row r="5920" spans="5:7" x14ac:dyDescent="0.25">
      <c r="E5920" s="27"/>
      <c r="F5920" s="27"/>
      <c r="G5920" s="7"/>
    </row>
    <row r="5921" spans="5:7" x14ac:dyDescent="0.25">
      <c r="E5921" s="27"/>
      <c r="F5921" s="27"/>
      <c r="G5921" s="7"/>
    </row>
    <row r="5922" spans="5:7" x14ac:dyDescent="0.25">
      <c r="E5922" s="27"/>
      <c r="F5922" s="27"/>
      <c r="G5922" s="7"/>
    </row>
    <row r="5923" spans="5:7" x14ac:dyDescent="0.25">
      <c r="E5923" s="27"/>
      <c r="F5923" s="27"/>
      <c r="G5923" s="7"/>
    </row>
    <row r="5924" spans="5:7" x14ac:dyDescent="0.25">
      <c r="E5924" s="27"/>
      <c r="F5924" s="27"/>
      <c r="G5924" s="7"/>
    </row>
    <row r="5925" spans="5:7" x14ac:dyDescent="0.25">
      <c r="E5925" s="27"/>
      <c r="F5925" s="27"/>
      <c r="G5925" s="7"/>
    </row>
    <row r="5926" spans="5:7" x14ac:dyDescent="0.25">
      <c r="E5926" s="27"/>
      <c r="F5926" s="27"/>
      <c r="G5926" s="7"/>
    </row>
    <row r="5927" spans="5:7" x14ac:dyDescent="0.25">
      <c r="E5927" s="27"/>
      <c r="F5927" s="27"/>
      <c r="G5927" s="7"/>
    </row>
    <row r="5928" spans="5:7" x14ac:dyDescent="0.25">
      <c r="E5928" s="27"/>
      <c r="F5928" s="27"/>
      <c r="G5928" s="7"/>
    </row>
    <row r="5929" spans="5:7" x14ac:dyDescent="0.25">
      <c r="E5929" s="27"/>
      <c r="F5929" s="27"/>
      <c r="G5929" s="7"/>
    </row>
    <row r="5930" spans="5:7" x14ac:dyDescent="0.25">
      <c r="E5930" s="27"/>
      <c r="F5930" s="27"/>
      <c r="G5930" s="7"/>
    </row>
    <row r="5931" spans="5:7" x14ac:dyDescent="0.25">
      <c r="E5931" s="27"/>
      <c r="F5931" s="27"/>
      <c r="G5931" s="7"/>
    </row>
    <row r="5932" spans="5:7" x14ac:dyDescent="0.25">
      <c r="E5932" s="27"/>
      <c r="F5932" s="27"/>
      <c r="G5932" s="7"/>
    </row>
    <row r="5933" spans="5:7" x14ac:dyDescent="0.25">
      <c r="E5933" s="27"/>
      <c r="F5933" s="27"/>
      <c r="G5933" s="7"/>
    </row>
    <row r="5934" spans="5:7" x14ac:dyDescent="0.25">
      <c r="E5934" s="27"/>
      <c r="F5934" s="27"/>
      <c r="G5934" s="7"/>
    </row>
    <row r="5935" spans="5:7" x14ac:dyDescent="0.25">
      <c r="E5935" s="27"/>
      <c r="F5935" s="27"/>
      <c r="G5935" s="7"/>
    </row>
    <row r="5936" spans="5:7" x14ac:dyDescent="0.25">
      <c r="E5936" s="27"/>
      <c r="F5936" s="27"/>
      <c r="G5936" s="7"/>
    </row>
    <row r="5937" spans="5:7" x14ac:dyDescent="0.25">
      <c r="E5937" s="27"/>
      <c r="F5937" s="27"/>
      <c r="G5937" s="7"/>
    </row>
    <row r="5938" spans="5:7" x14ac:dyDescent="0.25">
      <c r="E5938" s="27"/>
      <c r="F5938" s="27"/>
      <c r="G5938" s="7"/>
    </row>
    <row r="5939" spans="5:7" x14ac:dyDescent="0.25">
      <c r="E5939" s="27"/>
      <c r="F5939" s="27"/>
      <c r="G5939" s="7"/>
    </row>
    <row r="5940" spans="5:7" x14ac:dyDescent="0.25">
      <c r="E5940" s="27"/>
      <c r="F5940" s="27"/>
      <c r="G5940" s="7"/>
    </row>
    <row r="5941" spans="5:7" x14ac:dyDescent="0.25">
      <c r="E5941" s="27"/>
      <c r="F5941" s="27"/>
      <c r="G5941" s="7"/>
    </row>
    <row r="5942" spans="5:7" x14ac:dyDescent="0.25">
      <c r="E5942" s="27"/>
      <c r="F5942" s="27"/>
      <c r="G5942" s="7"/>
    </row>
    <row r="5943" spans="5:7" x14ac:dyDescent="0.25">
      <c r="E5943" s="27"/>
      <c r="F5943" s="27"/>
      <c r="G5943" s="7"/>
    </row>
    <row r="5944" spans="5:7" x14ac:dyDescent="0.25">
      <c r="E5944" s="27"/>
      <c r="F5944" s="27"/>
      <c r="G5944" s="7"/>
    </row>
    <row r="5945" spans="5:7" x14ac:dyDescent="0.25">
      <c r="E5945" s="27"/>
      <c r="F5945" s="27"/>
      <c r="G5945" s="7"/>
    </row>
    <row r="5946" spans="5:7" x14ac:dyDescent="0.25">
      <c r="E5946" s="27"/>
      <c r="F5946" s="27"/>
      <c r="G5946" s="7"/>
    </row>
    <row r="5947" spans="5:7" x14ac:dyDescent="0.25">
      <c r="E5947" s="27"/>
      <c r="F5947" s="27"/>
      <c r="G5947" s="7"/>
    </row>
    <row r="5948" spans="5:7" x14ac:dyDescent="0.25">
      <c r="E5948" s="27"/>
      <c r="F5948" s="27"/>
      <c r="G5948" s="7"/>
    </row>
    <row r="5949" spans="5:7" x14ac:dyDescent="0.25">
      <c r="E5949" s="27"/>
      <c r="F5949" s="27"/>
      <c r="G5949" s="7"/>
    </row>
    <row r="5950" spans="5:7" x14ac:dyDescent="0.25">
      <c r="E5950" s="27"/>
      <c r="F5950" s="27"/>
      <c r="G5950" s="7"/>
    </row>
    <row r="5951" spans="5:7" x14ac:dyDescent="0.25">
      <c r="E5951" s="27"/>
      <c r="F5951" s="27"/>
      <c r="G5951" s="7"/>
    </row>
    <row r="5952" spans="5:7" x14ac:dyDescent="0.25">
      <c r="E5952" s="27"/>
      <c r="F5952" s="27"/>
      <c r="G5952" s="7"/>
    </row>
    <row r="5953" spans="5:7" x14ac:dyDescent="0.25">
      <c r="E5953" s="27"/>
      <c r="F5953" s="27"/>
      <c r="G5953" s="7"/>
    </row>
    <row r="5954" spans="5:7" x14ac:dyDescent="0.25">
      <c r="E5954" s="27"/>
      <c r="F5954" s="27"/>
      <c r="G5954" s="7"/>
    </row>
    <row r="5955" spans="5:7" x14ac:dyDescent="0.25">
      <c r="E5955" s="27"/>
      <c r="F5955" s="27"/>
      <c r="G5955" s="7"/>
    </row>
    <row r="5956" spans="5:7" x14ac:dyDescent="0.25">
      <c r="E5956" s="27"/>
      <c r="F5956" s="27"/>
      <c r="G5956" s="7"/>
    </row>
    <row r="5957" spans="5:7" x14ac:dyDescent="0.25">
      <c r="E5957" s="27"/>
      <c r="F5957" s="27"/>
      <c r="G5957" s="7"/>
    </row>
    <row r="5958" spans="5:7" x14ac:dyDescent="0.25">
      <c r="E5958" s="27"/>
      <c r="F5958" s="27"/>
      <c r="G5958" s="7"/>
    </row>
    <row r="5959" spans="5:7" x14ac:dyDescent="0.25">
      <c r="E5959" s="27"/>
      <c r="F5959" s="27"/>
      <c r="G5959" s="7"/>
    </row>
    <row r="5960" spans="5:7" x14ac:dyDescent="0.25">
      <c r="E5960" s="27"/>
      <c r="F5960" s="27"/>
      <c r="G5960" s="7"/>
    </row>
    <row r="5961" spans="5:7" x14ac:dyDescent="0.25">
      <c r="E5961" s="27"/>
      <c r="F5961" s="27"/>
      <c r="G5961" s="7"/>
    </row>
    <row r="5962" spans="5:7" x14ac:dyDescent="0.25">
      <c r="E5962" s="27"/>
      <c r="F5962" s="27"/>
      <c r="G5962" s="7"/>
    </row>
    <row r="5963" spans="5:7" x14ac:dyDescent="0.25">
      <c r="E5963" s="27"/>
      <c r="F5963" s="27"/>
      <c r="G5963" s="7"/>
    </row>
    <row r="5964" spans="5:7" x14ac:dyDescent="0.25">
      <c r="E5964" s="27"/>
      <c r="F5964" s="27"/>
      <c r="G5964" s="7"/>
    </row>
    <row r="5965" spans="5:7" x14ac:dyDescent="0.25">
      <c r="E5965" s="27"/>
      <c r="F5965" s="27"/>
      <c r="G5965" s="7"/>
    </row>
    <row r="5966" spans="5:7" x14ac:dyDescent="0.25">
      <c r="E5966" s="27"/>
      <c r="F5966" s="27"/>
      <c r="G5966" s="7"/>
    </row>
    <row r="5967" spans="5:7" x14ac:dyDescent="0.25">
      <c r="E5967" s="27"/>
      <c r="F5967" s="27"/>
      <c r="G5967" s="7"/>
    </row>
    <row r="5968" spans="5:7" x14ac:dyDescent="0.25">
      <c r="E5968" s="27"/>
      <c r="F5968" s="27"/>
      <c r="G5968" s="7"/>
    </row>
    <row r="5969" spans="5:7" x14ac:dyDescent="0.25">
      <c r="E5969" s="27"/>
      <c r="F5969" s="27"/>
      <c r="G5969" s="7"/>
    </row>
    <row r="5970" spans="5:7" x14ac:dyDescent="0.25">
      <c r="E5970" s="27"/>
      <c r="F5970" s="27"/>
      <c r="G5970" s="7"/>
    </row>
    <row r="5971" spans="5:7" x14ac:dyDescent="0.25">
      <c r="E5971" s="27"/>
      <c r="F5971" s="27"/>
      <c r="G5971" s="7"/>
    </row>
    <row r="5972" spans="5:7" x14ac:dyDescent="0.25">
      <c r="E5972" s="27"/>
      <c r="F5972" s="27"/>
      <c r="G5972" s="7"/>
    </row>
    <row r="5973" spans="5:7" x14ac:dyDescent="0.25">
      <c r="E5973" s="27"/>
      <c r="F5973" s="27"/>
      <c r="G5973" s="7"/>
    </row>
    <row r="5974" spans="5:7" x14ac:dyDescent="0.25">
      <c r="E5974" s="27"/>
      <c r="F5974" s="27"/>
      <c r="G5974" s="7"/>
    </row>
    <row r="5975" spans="5:7" x14ac:dyDescent="0.25">
      <c r="E5975" s="27"/>
      <c r="F5975" s="27"/>
      <c r="G5975" s="7"/>
    </row>
    <row r="5976" spans="5:7" x14ac:dyDescent="0.25">
      <c r="E5976" s="27"/>
      <c r="F5976" s="27"/>
      <c r="G5976" s="7"/>
    </row>
    <row r="5977" spans="5:7" x14ac:dyDescent="0.25">
      <c r="E5977" s="27"/>
      <c r="F5977" s="27"/>
      <c r="G5977" s="7"/>
    </row>
    <row r="5978" spans="5:7" x14ac:dyDescent="0.25">
      <c r="E5978" s="27"/>
      <c r="F5978" s="27"/>
      <c r="G5978" s="7"/>
    </row>
    <row r="5979" spans="5:7" x14ac:dyDescent="0.25">
      <c r="E5979" s="27"/>
      <c r="F5979" s="27"/>
      <c r="G5979" s="7"/>
    </row>
    <row r="5980" spans="5:7" x14ac:dyDescent="0.25">
      <c r="E5980" s="27"/>
      <c r="F5980" s="27"/>
      <c r="G5980" s="7"/>
    </row>
    <row r="5981" spans="5:7" x14ac:dyDescent="0.25">
      <c r="E5981" s="27"/>
      <c r="F5981" s="27"/>
      <c r="G5981" s="7"/>
    </row>
    <row r="5982" spans="5:7" x14ac:dyDescent="0.25">
      <c r="E5982" s="27"/>
      <c r="F5982" s="27"/>
      <c r="G5982" s="7"/>
    </row>
    <row r="5983" spans="5:7" x14ac:dyDescent="0.25">
      <c r="E5983" s="27"/>
      <c r="F5983" s="27"/>
      <c r="G5983" s="7"/>
    </row>
    <row r="5984" spans="5:7" x14ac:dyDescent="0.25">
      <c r="E5984" s="27"/>
      <c r="F5984" s="27"/>
      <c r="G5984" s="7"/>
    </row>
    <row r="5985" spans="5:7" x14ac:dyDescent="0.25">
      <c r="E5985" s="27"/>
      <c r="F5985" s="27"/>
      <c r="G5985" s="7"/>
    </row>
    <row r="5986" spans="5:7" x14ac:dyDescent="0.25">
      <c r="E5986" s="27"/>
      <c r="F5986" s="27"/>
      <c r="G5986" s="7"/>
    </row>
    <row r="5987" spans="5:7" x14ac:dyDescent="0.25">
      <c r="E5987" s="27"/>
      <c r="F5987" s="27"/>
      <c r="G5987" s="7"/>
    </row>
    <row r="5988" spans="5:7" x14ac:dyDescent="0.25">
      <c r="E5988" s="27"/>
      <c r="F5988" s="27"/>
      <c r="G5988" s="7"/>
    </row>
    <row r="5989" spans="5:7" x14ac:dyDescent="0.25">
      <c r="E5989" s="27"/>
      <c r="F5989" s="27"/>
      <c r="G5989" s="7"/>
    </row>
    <row r="5990" spans="5:7" x14ac:dyDescent="0.25">
      <c r="E5990" s="27"/>
      <c r="F5990" s="27"/>
      <c r="G5990" s="7"/>
    </row>
    <row r="5991" spans="5:7" x14ac:dyDescent="0.25">
      <c r="E5991" s="27"/>
      <c r="F5991" s="27"/>
      <c r="G5991" s="7"/>
    </row>
    <row r="5992" spans="5:7" x14ac:dyDescent="0.25">
      <c r="E5992" s="27"/>
      <c r="F5992" s="27"/>
      <c r="G5992" s="7"/>
    </row>
    <row r="5993" spans="5:7" x14ac:dyDescent="0.25">
      <c r="E5993" s="27"/>
      <c r="F5993" s="27"/>
      <c r="G5993" s="7"/>
    </row>
    <row r="5994" spans="5:7" x14ac:dyDescent="0.25">
      <c r="E5994" s="27"/>
      <c r="F5994" s="27"/>
      <c r="G5994" s="7"/>
    </row>
    <row r="5995" spans="5:7" x14ac:dyDescent="0.25">
      <c r="E5995" s="27"/>
      <c r="F5995" s="27"/>
      <c r="G5995" s="7"/>
    </row>
    <row r="5996" spans="5:7" x14ac:dyDescent="0.25">
      <c r="E5996" s="27"/>
      <c r="F5996" s="27"/>
      <c r="G5996" s="7"/>
    </row>
    <row r="5997" spans="5:7" x14ac:dyDescent="0.25">
      <c r="E5997" s="27"/>
      <c r="F5997" s="27"/>
      <c r="G5997" s="7"/>
    </row>
    <row r="5998" spans="5:7" x14ac:dyDescent="0.25">
      <c r="E5998" s="27"/>
      <c r="F5998" s="27"/>
      <c r="G5998" s="7"/>
    </row>
    <row r="5999" spans="5:7" x14ac:dyDescent="0.25">
      <c r="E5999" s="27"/>
      <c r="F5999" s="27"/>
      <c r="G5999" s="7"/>
    </row>
    <row r="6000" spans="5:7" x14ac:dyDescent="0.25">
      <c r="E6000" s="27"/>
      <c r="F6000" s="27"/>
      <c r="G6000" s="7"/>
    </row>
    <row r="6001" spans="5:7" x14ac:dyDescent="0.25">
      <c r="E6001" s="27"/>
      <c r="F6001" s="27"/>
      <c r="G6001" s="7"/>
    </row>
    <row r="6002" spans="5:7" x14ac:dyDescent="0.25">
      <c r="E6002" s="27"/>
      <c r="F6002" s="27"/>
      <c r="G6002" s="7"/>
    </row>
    <row r="6003" spans="5:7" x14ac:dyDescent="0.25">
      <c r="E6003" s="27"/>
      <c r="F6003" s="27"/>
      <c r="G6003" s="7"/>
    </row>
    <row r="6004" spans="5:7" x14ac:dyDescent="0.25">
      <c r="E6004" s="27"/>
      <c r="F6004" s="27"/>
      <c r="G6004" s="7"/>
    </row>
    <row r="6005" spans="5:7" x14ac:dyDescent="0.25">
      <c r="E6005" s="27"/>
      <c r="F6005" s="27"/>
      <c r="G6005" s="7"/>
    </row>
    <row r="6006" spans="5:7" x14ac:dyDescent="0.25">
      <c r="E6006" s="27"/>
      <c r="F6006" s="27"/>
      <c r="G6006" s="7"/>
    </row>
    <row r="6007" spans="5:7" x14ac:dyDescent="0.25">
      <c r="E6007" s="27"/>
      <c r="F6007" s="27"/>
      <c r="G6007" s="7"/>
    </row>
    <row r="6008" spans="5:7" x14ac:dyDescent="0.25">
      <c r="E6008" s="27"/>
      <c r="F6008" s="27"/>
      <c r="G6008" s="7"/>
    </row>
    <row r="6009" spans="5:7" x14ac:dyDescent="0.25">
      <c r="E6009" s="27"/>
      <c r="F6009" s="27"/>
      <c r="G6009" s="7"/>
    </row>
    <row r="6010" spans="5:7" x14ac:dyDescent="0.25">
      <c r="E6010" s="27"/>
      <c r="F6010" s="27"/>
      <c r="G6010" s="7"/>
    </row>
    <row r="6011" spans="5:7" x14ac:dyDescent="0.25">
      <c r="E6011" s="27"/>
      <c r="F6011" s="27"/>
      <c r="G6011" s="7"/>
    </row>
    <row r="6012" spans="5:7" x14ac:dyDescent="0.25">
      <c r="E6012" s="27"/>
      <c r="F6012" s="27"/>
      <c r="G6012" s="7"/>
    </row>
    <row r="6013" spans="5:7" x14ac:dyDescent="0.25">
      <c r="E6013" s="27"/>
      <c r="F6013" s="27"/>
      <c r="G6013" s="7"/>
    </row>
    <row r="6014" spans="5:7" x14ac:dyDescent="0.25">
      <c r="E6014" s="27"/>
      <c r="F6014" s="27"/>
      <c r="G6014" s="7"/>
    </row>
    <row r="6015" spans="5:7" x14ac:dyDescent="0.25">
      <c r="E6015" s="27"/>
      <c r="F6015" s="27"/>
      <c r="G6015" s="7"/>
    </row>
    <row r="6016" spans="5:7" x14ac:dyDescent="0.25">
      <c r="E6016" s="27"/>
      <c r="F6016" s="27"/>
      <c r="G6016" s="7"/>
    </row>
    <row r="6017" spans="5:7" x14ac:dyDescent="0.25">
      <c r="E6017" s="27"/>
      <c r="F6017" s="27"/>
      <c r="G6017" s="7"/>
    </row>
    <row r="6018" spans="5:7" x14ac:dyDescent="0.25">
      <c r="E6018" s="27"/>
      <c r="F6018" s="27"/>
      <c r="G6018" s="7"/>
    </row>
    <row r="6019" spans="5:7" x14ac:dyDescent="0.25">
      <c r="E6019" s="27"/>
      <c r="F6019" s="27"/>
      <c r="G6019" s="7"/>
    </row>
    <row r="6020" spans="5:7" x14ac:dyDescent="0.25">
      <c r="E6020" s="27"/>
      <c r="F6020" s="27"/>
      <c r="G6020" s="7"/>
    </row>
    <row r="6021" spans="5:7" x14ac:dyDescent="0.25">
      <c r="E6021" s="27"/>
      <c r="F6021" s="27"/>
      <c r="G6021" s="7"/>
    </row>
    <row r="6022" spans="5:7" x14ac:dyDescent="0.25">
      <c r="E6022" s="27"/>
      <c r="F6022" s="27"/>
      <c r="G6022" s="7"/>
    </row>
    <row r="6023" spans="5:7" x14ac:dyDescent="0.25">
      <c r="E6023" s="27"/>
      <c r="F6023" s="27"/>
      <c r="G6023" s="7"/>
    </row>
    <row r="6024" spans="5:7" x14ac:dyDescent="0.25">
      <c r="E6024" s="27"/>
      <c r="F6024" s="27"/>
      <c r="G6024" s="7"/>
    </row>
    <row r="6025" spans="5:7" x14ac:dyDescent="0.25">
      <c r="E6025" s="27"/>
      <c r="F6025" s="27"/>
      <c r="G6025" s="7"/>
    </row>
    <row r="6026" spans="5:7" x14ac:dyDescent="0.25">
      <c r="E6026" s="27"/>
      <c r="F6026" s="27"/>
      <c r="G6026" s="7"/>
    </row>
    <row r="6027" spans="5:7" x14ac:dyDescent="0.25">
      <c r="E6027" s="27"/>
      <c r="F6027" s="27"/>
      <c r="G6027" s="7"/>
    </row>
    <row r="6028" spans="5:7" x14ac:dyDescent="0.25">
      <c r="E6028" s="27"/>
      <c r="F6028" s="27"/>
      <c r="G6028" s="7"/>
    </row>
    <row r="6029" spans="5:7" x14ac:dyDescent="0.25">
      <c r="E6029" s="27"/>
      <c r="F6029" s="27"/>
      <c r="G6029" s="7"/>
    </row>
    <row r="6030" spans="5:7" x14ac:dyDescent="0.25">
      <c r="E6030" s="27"/>
      <c r="F6030" s="27"/>
      <c r="G6030" s="7"/>
    </row>
    <row r="6031" spans="5:7" x14ac:dyDescent="0.25">
      <c r="E6031" s="27"/>
      <c r="F6031" s="27"/>
      <c r="G6031" s="7"/>
    </row>
    <row r="6032" spans="5:7" x14ac:dyDescent="0.25">
      <c r="E6032" s="27"/>
      <c r="F6032" s="27"/>
      <c r="G6032" s="7"/>
    </row>
    <row r="6033" spans="5:7" x14ac:dyDescent="0.25">
      <c r="E6033" s="27"/>
      <c r="F6033" s="27"/>
      <c r="G6033" s="7"/>
    </row>
    <row r="6034" spans="5:7" x14ac:dyDescent="0.25">
      <c r="E6034" s="27"/>
      <c r="F6034" s="27"/>
      <c r="G6034" s="7"/>
    </row>
    <row r="6035" spans="5:7" x14ac:dyDescent="0.25">
      <c r="E6035" s="27"/>
      <c r="F6035" s="27"/>
      <c r="G6035" s="7"/>
    </row>
    <row r="6036" spans="5:7" x14ac:dyDescent="0.25">
      <c r="E6036" s="27"/>
      <c r="F6036" s="27"/>
      <c r="G6036" s="7"/>
    </row>
    <row r="6037" spans="5:7" x14ac:dyDescent="0.25">
      <c r="E6037" s="27"/>
      <c r="F6037" s="27"/>
      <c r="G6037" s="7"/>
    </row>
    <row r="6038" spans="5:7" x14ac:dyDescent="0.25">
      <c r="E6038" s="27"/>
      <c r="F6038" s="27"/>
      <c r="G6038" s="7"/>
    </row>
    <row r="6039" spans="5:7" x14ac:dyDescent="0.25">
      <c r="E6039" s="27"/>
      <c r="F6039" s="27"/>
      <c r="G6039" s="7"/>
    </row>
    <row r="6040" spans="5:7" x14ac:dyDescent="0.25">
      <c r="E6040" s="27"/>
      <c r="F6040" s="27"/>
      <c r="G6040" s="7"/>
    </row>
    <row r="6041" spans="5:7" x14ac:dyDescent="0.25">
      <c r="E6041" s="27"/>
      <c r="F6041" s="27"/>
      <c r="G6041" s="7"/>
    </row>
    <row r="6042" spans="5:7" x14ac:dyDescent="0.25">
      <c r="E6042" s="27"/>
      <c r="F6042" s="27"/>
      <c r="G6042" s="7"/>
    </row>
    <row r="6043" spans="5:7" x14ac:dyDescent="0.25">
      <c r="E6043" s="27"/>
      <c r="F6043" s="27"/>
      <c r="G6043" s="7"/>
    </row>
    <row r="6044" spans="5:7" x14ac:dyDescent="0.25">
      <c r="E6044" s="27"/>
      <c r="F6044" s="27"/>
      <c r="G6044" s="7"/>
    </row>
    <row r="6045" spans="5:7" x14ac:dyDescent="0.25">
      <c r="E6045" s="27"/>
      <c r="F6045" s="27"/>
      <c r="G6045" s="7"/>
    </row>
    <row r="6046" spans="5:7" x14ac:dyDescent="0.25">
      <c r="E6046" s="27"/>
      <c r="F6046" s="27"/>
      <c r="G6046" s="7"/>
    </row>
    <row r="6047" spans="5:7" x14ac:dyDescent="0.25">
      <c r="E6047" s="27"/>
      <c r="F6047" s="27"/>
      <c r="G6047" s="7"/>
    </row>
    <row r="6048" spans="5:7" x14ac:dyDescent="0.25">
      <c r="E6048" s="27"/>
      <c r="F6048" s="27"/>
      <c r="G6048" s="7"/>
    </row>
    <row r="6049" spans="5:7" x14ac:dyDescent="0.25">
      <c r="E6049" s="27"/>
      <c r="F6049" s="27"/>
      <c r="G6049" s="7"/>
    </row>
    <row r="6050" spans="5:7" x14ac:dyDescent="0.25">
      <c r="E6050" s="27"/>
      <c r="F6050" s="27"/>
      <c r="G6050" s="7"/>
    </row>
    <row r="6051" spans="5:7" x14ac:dyDescent="0.25">
      <c r="E6051" s="27"/>
      <c r="F6051" s="27"/>
      <c r="G6051" s="7"/>
    </row>
    <row r="6052" spans="5:7" x14ac:dyDescent="0.25">
      <c r="E6052" s="27"/>
      <c r="F6052" s="27"/>
      <c r="G6052" s="7"/>
    </row>
    <row r="6053" spans="5:7" x14ac:dyDescent="0.25">
      <c r="E6053" s="27"/>
      <c r="F6053" s="27"/>
      <c r="G6053" s="7"/>
    </row>
    <row r="6054" spans="5:7" x14ac:dyDescent="0.25">
      <c r="E6054" s="27"/>
      <c r="F6054" s="27"/>
      <c r="G6054" s="7"/>
    </row>
    <row r="6055" spans="5:7" x14ac:dyDescent="0.25">
      <c r="E6055" s="27"/>
      <c r="F6055" s="27"/>
      <c r="G6055" s="7"/>
    </row>
    <row r="6056" spans="5:7" x14ac:dyDescent="0.25">
      <c r="E6056" s="27"/>
      <c r="F6056" s="27"/>
      <c r="G6056" s="7"/>
    </row>
    <row r="6057" spans="5:7" x14ac:dyDescent="0.25">
      <c r="E6057" s="27"/>
      <c r="F6057" s="27"/>
      <c r="G6057" s="7"/>
    </row>
    <row r="6058" spans="5:7" x14ac:dyDescent="0.25">
      <c r="E6058" s="27"/>
      <c r="F6058" s="27"/>
      <c r="G6058" s="7"/>
    </row>
    <row r="6059" spans="5:7" x14ac:dyDescent="0.25">
      <c r="E6059" s="27"/>
      <c r="F6059" s="27"/>
      <c r="G6059" s="7"/>
    </row>
    <row r="6060" spans="5:7" x14ac:dyDescent="0.25">
      <c r="E6060" s="27"/>
      <c r="F6060" s="27"/>
      <c r="G6060" s="7"/>
    </row>
    <row r="6061" spans="5:7" x14ac:dyDescent="0.25">
      <c r="E6061" s="27"/>
      <c r="F6061" s="27"/>
      <c r="G6061" s="7"/>
    </row>
    <row r="6062" spans="5:7" x14ac:dyDescent="0.25">
      <c r="E6062" s="27"/>
      <c r="F6062" s="27"/>
      <c r="G6062" s="7"/>
    </row>
    <row r="6063" spans="5:7" x14ac:dyDescent="0.25">
      <c r="E6063" s="27"/>
      <c r="F6063" s="27"/>
      <c r="G6063" s="7"/>
    </row>
    <row r="6064" spans="5:7" x14ac:dyDescent="0.25">
      <c r="E6064" s="27"/>
      <c r="F6064" s="27"/>
      <c r="G6064" s="7"/>
    </row>
    <row r="6065" spans="5:7" x14ac:dyDescent="0.25">
      <c r="E6065" s="27"/>
      <c r="F6065" s="27"/>
      <c r="G6065" s="7"/>
    </row>
    <row r="6066" spans="5:7" x14ac:dyDescent="0.25">
      <c r="E6066" s="27"/>
      <c r="F6066" s="27"/>
      <c r="G6066" s="7"/>
    </row>
    <row r="6067" spans="5:7" x14ac:dyDescent="0.25">
      <c r="E6067" s="27"/>
      <c r="F6067" s="27"/>
      <c r="G6067" s="7"/>
    </row>
    <row r="6068" spans="5:7" x14ac:dyDescent="0.25">
      <c r="E6068" s="27"/>
      <c r="F6068" s="27"/>
      <c r="G6068" s="7"/>
    </row>
    <row r="6069" spans="5:7" x14ac:dyDescent="0.25">
      <c r="E6069" s="27"/>
      <c r="F6069" s="27"/>
      <c r="G6069" s="7"/>
    </row>
    <row r="6070" spans="5:7" x14ac:dyDescent="0.25">
      <c r="E6070" s="27"/>
      <c r="F6070" s="27"/>
      <c r="G6070" s="7"/>
    </row>
    <row r="6071" spans="5:7" x14ac:dyDescent="0.25">
      <c r="E6071" s="27"/>
      <c r="F6071" s="27"/>
      <c r="G6071" s="7"/>
    </row>
    <row r="6072" spans="5:7" x14ac:dyDescent="0.25">
      <c r="E6072" s="27"/>
      <c r="F6072" s="27"/>
      <c r="G6072" s="7"/>
    </row>
    <row r="6073" spans="5:7" x14ac:dyDescent="0.25">
      <c r="E6073" s="27"/>
      <c r="F6073" s="27"/>
      <c r="G6073" s="7"/>
    </row>
    <row r="6074" spans="5:7" x14ac:dyDescent="0.25">
      <c r="E6074" s="27"/>
      <c r="F6074" s="27"/>
      <c r="G6074" s="7"/>
    </row>
    <row r="6075" spans="5:7" x14ac:dyDescent="0.25">
      <c r="E6075" s="27"/>
      <c r="F6075" s="27"/>
      <c r="G6075" s="7"/>
    </row>
    <row r="6076" spans="5:7" x14ac:dyDescent="0.25">
      <c r="E6076" s="27"/>
      <c r="F6076" s="27"/>
      <c r="G6076" s="7"/>
    </row>
    <row r="6077" spans="5:7" x14ac:dyDescent="0.25">
      <c r="E6077" s="27"/>
      <c r="F6077" s="27"/>
      <c r="G6077" s="7"/>
    </row>
    <row r="6078" spans="5:7" x14ac:dyDescent="0.25">
      <c r="E6078" s="27"/>
      <c r="F6078" s="27"/>
      <c r="G6078" s="7"/>
    </row>
    <row r="6079" spans="5:7" x14ac:dyDescent="0.25">
      <c r="E6079" s="27"/>
      <c r="F6079" s="27"/>
      <c r="G6079" s="7"/>
    </row>
    <row r="6080" spans="5:7" x14ac:dyDescent="0.25">
      <c r="E6080" s="27"/>
      <c r="F6080" s="27"/>
      <c r="G6080" s="7"/>
    </row>
    <row r="6081" spans="5:7" x14ac:dyDescent="0.25">
      <c r="E6081" s="27"/>
      <c r="F6081" s="27"/>
      <c r="G6081" s="7"/>
    </row>
    <row r="6082" spans="5:7" x14ac:dyDescent="0.25">
      <c r="E6082" s="27"/>
      <c r="F6082" s="27"/>
      <c r="G6082" s="7"/>
    </row>
    <row r="6083" spans="5:7" x14ac:dyDescent="0.25">
      <c r="E6083" s="27"/>
      <c r="F6083" s="27"/>
      <c r="G6083" s="7"/>
    </row>
    <row r="6084" spans="5:7" x14ac:dyDescent="0.25">
      <c r="E6084" s="27"/>
      <c r="F6084" s="27"/>
      <c r="G6084" s="7"/>
    </row>
    <row r="6085" spans="5:7" x14ac:dyDescent="0.25">
      <c r="E6085" s="27"/>
      <c r="F6085" s="27"/>
      <c r="G6085" s="7"/>
    </row>
    <row r="6086" spans="5:7" x14ac:dyDescent="0.25">
      <c r="E6086" s="27"/>
      <c r="F6086" s="27"/>
      <c r="G6086" s="7"/>
    </row>
    <row r="6087" spans="5:7" x14ac:dyDescent="0.25">
      <c r="E6087" s="27"/>
      <c r="F6087" s="27"/>
      <c r="G6087" s="7"/>
    </row>
    <row r="6088" spans="5:7" x14ac:dyDescent="0.25">
      <c r="E6088" s="27"/>
      <c r="F6088" s="27"/>
      <c r="G6088" s="7"/>
    </row>
    <row r="6089" spans="5:7" x14ac:dyDescent="0.25">
      <c r="E6089" s="27"/>
      <c r="F6089" s="27"/>
      <c r="G6089" s="7"/>
    </row>
    <row r="6090" spans="5:7" x14ac:dyDescent="0.25">
      <c r="E6090" s="27"/>
      <c r="F6090" s="27"/>
      <c r="G6090" s="7"/>
    </row>
    <row r="6091" spans="5:7" x14ac:dyDescent="0.25">
      <c r="E6091" s="27"/>
      <c r="F6091" s="27"/>
      <c r="G6091" s="7"/>
    </row>
    <row r="6092" spans="5:7" x14ac:dyDescent="0.25">
      <c r="E6092" s="27"/>
      <c r="F6092" s="27"/>
      <c r="G6092" s="7"/>
    </row>
    <row r="6093" spans="5:7" x14ac:dyDescent="0.25">
      <c r="E6093" s="27"/>
      <c r="F6093" s="27"/>
      <c r="G6093" s="7"/>
    </row>
    <row r="6094" spans="5:7" x14ac:dyDescent="0.25">
      <c r="E6094" s="27"/>
      <c r="F6094" s="27"/>
      <c r="G6094" s="7"/>
    </row>
    <row r="6095" spans="5:7" x14ac:dyDescent="0.25">
      <c r="E6095" s="27"/>
      <c r="F6095" s="27"/>
      <c r="G6095" s="7"/>
    </row>
    <row r="6096" spans="5:7" x14ac:dyDescent="0.25">
      <c r="E6096" s="27"/>
      <c r="F6096" s="27"/>
      <c r="G6096" s="7"/>
    </row>
    <row r="6097" spans="5:7" x14ac:dyDescent="0.25">
      <c r="E6097" s="27"/>
      <c r="F6097" s="27"/>
      <c r="G6097" s="7"/>
    </row>
    <row r="6098" spans="5:7" x14ac:dyDescent="0.25">
      <c r="E6098" s="27"/>
      <c r="F6098" s="27"/>
      <c r="G6098" s="7"/>
    </row>
    <row r="6099" spans="5:7" x14ac:dyDescent="0.25">
      <c r="E6099" s="27"/>
      <c r="F6099" s="27"/>
      <c r="G6099" s="7"/>
    </row>
    <row r="6100" spans="5:7" x14ac:dyDescent="0.25">
      <c r="E6100" s="27"/>
      <c r="F6100" s="27"/>
      <c r="G6100" s="7"/>
    </row>
    <row r="6101" spans="5:7" x14ac:dyDescent="0.25">
      <c r="E6101" s="27"/>
      <c r="F6101" s="27"/>
      <c r="G6101" s="7"/>
    </row>
    <row r="6102" spans="5:7" x14ac:dyDescent="0.25">
      <c r="E6102" s="27"/>
      <c r="F6102" s="27"/>
      <c r="G6102" s="7"/>
    </row>
    <row r="6103" spans="5:7" x14ac:dyDescent="0.25">
      <c r="E6103" s="27"/>
      <c r="F6103" s="27"/>
      <c r="G6103" s="7"/>
    </row>
    <row r="6104" spans="5:7" x14ac:dyDescent="0.25">
      <c r="E6104" s="27"/>
      <c r="F6104" s="27"/>
      <c r="G6104" s="7"/>
    </row>
    <row r="6105" spans="5:7" x14ac:dyDescent="0.25">
      <c r="E6105" s="27"/>
      <c r="F6105" s="27"/>
      <c r="G6105" s="7"/>
    </row>
    <row r="6106" spans="5:7" x14ac:dyDescent="0.25">
      <c r="E6106" s="27"/>
      <c r="F6106" s="27"/>
      <c r="G6106" s="7"/>
    </row>
    <row r="6107" spans="5:7" x14ac:dyDescent="0.25">
      <c r="E6107" s="27"/>
      <c r="F6107" s="27"/>
      <c r="G6107" s="7"/>
    </row>
    <row r="6108" spans="5:7" x14ac:dyDescent="0.25">
      <c r="E6108" s="27"/>
      <c r="F6108" s="27"/>
      <c r="G6108" s="7"/>
    </row>
    <row r="6109" spans="5:7" x14ac:dyDescent="0.25">
      <c r="E6109" s="27"/>
      <c r="F6109" s="27"/>
      <c r="G6109" s="7"/>
    </row>
    <row r="6110" spans="5:7" x14ac:dyDescent="0.25">
      <c r="E6110" s="27"/>
      <c r="F6110" s="27"/>
      <c r="G6110" s="7"/>
    </row>
    <row r="6111" spans="5:7" x14ac:dyDescent="0.25">
      <c r="E6111" s="27"/>
      <c r="F6111" s="27"/>
      <c r="G6111" s="7"/>
    </row>
    <row r="6112" spans="5:7" x14ac:dyDescent="0.25">
      <c r="E6112" s="27"/>
      <c r="F6112" s="27"/>
      <c r="G6112" s="7"/>
    </row>
    <row r="6113" spans="5:7" x14ac:dyDescent="0.25">
      <c r="E6113" s="27"/>
      <c r="F6113" s="27"/>
      <c r="G6113" s="7"/>
    </row>
    <row r="6114" spans="5:7" x14ac:dyDescent="0.25">
      <c r="E6114" s="27"/>
      <c r="F6114" s="27"/>
      <c r="G6114" s="7"/>
    </row>
    <row r="6115" spans="5:7" x14ac:dyDescent="0.25">
      <c r="E6115" s="27"/>
      <c r="F6115" s="27"/>
      <c r="G6115" s="7"/>
    </row>
    <row r="6116" spans="5:7" x14ac:dyDescent="0.25">
      <c r="E6116" s="27"/>
      <c r="F6116" s="27"/>
      <c r="G6116" s="7"/>
    </row>
    <row r="6117" spans="5:7" x14ac:dyDescent="0.25">
      <c r="E6117" s="27"/>
      <c r="F6117" s="27"/>
      <c r="G6117" s="7"/>
    </row>
    <row r="6118" spans="5:7" x14ac:dyDescent="0.25">
      <c r="E6118" s="27"/>
      <c r="F6118" s="27"/>
      <c r="G6118" s="7"/>
    </row>
    <row r="6119" spans="5:7" x14ac:dyDescent="0.25">
      <c r="E6119" s="27"/>
      <c r="F6119" s="27"/>
      <c r="G6119" s="7"/>
    </row>
    <row r="6120" spans="5:7" x14ac:dyDescent="0.25">
      <c r="E6120" s="27"/>
      <c r="F6120" s="27"/>
      <c r="G6120" s="7"/>
    </row>
    <row r="6121" spans="5:7" x14ac:dyDescent="0.25">
      <c r="E6121" s="27"/>
      <c r="F6121" s="27"/>
      <c r="G6121" s="7"/>
    </row>
    <row r="6122" spans="5:7" x14ac:dyDescent="0.25">
      <c r="E6122" s="27"/>
      <c r="F6122" s="27"/>
      <c r="G6122" s="7"/>
    </row>
    <row r="6123" spans="5:7" x14ac:dyDescent="0.25">
      <c r="E6123" s="27"/>
      <c r="F6123" s="27"/>
      <c r="G6123" s="7"/>
    </row>
    <row r="6124" spans="5:7" x14ac:dyDescent="0.25">
      <c r="E6124" s="27"/>
      <c r="F6124" s="27"/>
      <c r="G6124" s="7"/>
    </row>
    <row r="6125" spans="5:7" x14ac:dyDescent="0.25">
      <c r="E6125" s="27"/>
      <c r="F6125" s="27"/>
      <c r="G6125" s="7"/>
    </row>
    <row r="6126" spans="5:7" x14ac:dyDescent="0.25">
      <c r="E6126" s="27"/>
      <c r="F6126" s="27"/>
      <c r="G6126" s="7"/>
    </row>
    <row r="6127" spans="5:7" x14ac:dyDescent="0.25">
      <c r="E6127" s="27"/>
      <c r="F6127" s="27"/>
      <c r="G6127" s="7"/>
    </row>
    <row r="6128" spans="5:7" x14ac:dyDescent="0.25">
      <c r="E6128" s="27"/>
      <c r="F6128" s="27"/>
      <c r="G6128" s="7"/>
    </row>
    <row r="6129" spans="5:7" x14ac:dyDescent="0.25">
      <c r="E6129" s="27"/>
      <c r="F6129" s="27"/>
      <c r="G6129" s="7"/>
    </row>
    <row r="6130" spans="5:7" x14ac:dyDescent="0.25">
      <c r="E6130" s="27"/>
      <c r="F6130" s="27"/>
      <c r="G6130" s="7"/>
    </row>
    <row r="6131" spans="5:7" x14ac:dyDescent="0.25">
      <c r="E6131" s="27"/>
      <c r="F6131" s="27"/>
      <c r="G6131" s="7"/>
    </row>
    <row r="6132" spans="5:7" x14ac:dyDescent="0.25">
      <c r="E6132" s="27"/>
      <c r="F6132" s="27"/>
      <c r="G6132" s="7"/>
    </row>
    <row r="6133" spans="5:7" x14ac:dyDescent="0.25">
      <c r="E6133" s="27"/>
      <c r="F6133" s="27"/>
      <c r="G6133" s="7"/>
    </row>
    <row r="6134" spans="5:7" x14ac:dyDescent="0.25">
      <c r="E6134" s="27"/>
      <c r="F6134" s="27"/>
      <c r="G6134" s="7"/>
    </row>
    <row r="6135" spans="5:7" x14ac:dyDescent="0.25">
      <c r="E6135" s="27"/>
      <c r="F6135" s="27"/>
      <c r="G6135" s="7"/>
    </row>
    <row r="6136" spans="5:7" x14ac:dyDescent="0.25">
      <c r="E6136" s="27"/>
      <c r="F6136" s="27"/>
      <c r="G6136" s="7"/>
    </row>
    <row r="6137" spans="5:7" x14ac:dyDescent="0.25">
      <c r="E6137" s="27"/>
      <c r="F6137" s="27"/>
      <c r="G6137" s="7"/>
    </row>
    <row r="6138" spans="5:7" x14ac:dyDescent="0.25">
      <c r="E6138" s="27"/>
      <c r="F6138" s="27"/>
      <c r="G6138" s="7"/>
    </row>
    <row r="6139" spans="5:7" x14ac:dyDescent="0.25">
      <c r="E6139" s="27"/>
      <c r="F6139" s="27"/>
      <c r="G6139" s="7"/>
    </row>
    <row r="6140" spans="5:7" x14ac:dyDescent="0.25">
      <c r="E6140" s="27"/>
      <c r="F6140" s="27"/>
      <c r="G6140" s="7"/>
    </row>
    <row r="6141" spans="5:7" x14ac:dyDescent="0.25">
      <c r="E6141" s="27"/>
      <c r="F6141" s="27"/>
      <c r="G6141" s="7"/>
    </row>
    <row r="6142" spans="5:7" x14ac:dyDescent="0.25">
      <c r="E6142" s="27"/>
      <c r="F6142" s="27"/>
      <c r="G6142" s="7"/>
    </row>
    <row r="6143" spans="5:7" x14ac:dyDescent="0.25">
      <c r="E6143" s="27"/>
      <c r="F6143" s="27"/>
      <c r="G6143" s="7"/>
    </row>
    <row r="6144" spans="5:7" x14ac:dyDescent="0.25">
      <c r="E6144" s="27"/>
      <c r="F6144" s="27"/>
      <c r="G6144" s="7"/>
    </row>
    <row r="6145" spans="5:7" x14ac:dyDescent="0.25">
      <c r="E6145" s="27"/>
      <c r="F6145" s="27"/>
      <c r="G6145" s="7"/>
    </row>
    <row r="6146" spans="5:7" x14ac:dyDescent="0.25">
      <c r="E6146" s="27"/>
      <c r="F6146" s="27"/>
      <c r="G6146" s="7"/>
    </row>
    <row r="6147" spans="5:7" x14ac:dyDescent="0.25">
      <c r="E6147" s="27"/>
      <c r="F6147" s="27"/>
      <c r="G6147" s="7"/>
    </row>
    <row r="6148" spans="5:7" x14ac:dyDescent="0.25">
      <c r="E6148" s="27"/>
      <c r="F6148" s="27"/>
      <c r="G6148" s="7"/>
    </row>
    <row r="6149" spans="5:7" x14ac:dyDescent="0.25">
      <c r="E6149" s="27"/>
      <c r="F6149" s="27"/>
      <c r="G6149" s="7"/>
    </row>
    <row r="6150" spans="5:7" x14ac:dyDescent="0.25">
      <c r="E6150" s="27"/>
      <c r="F6150" s="27"/>
      <c r="G6150" s="7"/>
    </row>
    <row r="6151" spans="5:7" x14ac:dyDescent="0.25">
      <c r="E6151" s="27"/>
      <c r="F6151" s="27"/>
      <c r="G6151" s="7"/>
    </row>
    <row r="6152" spans="5:7" x14ac:dyDescent="0.25">
      <c r="E6152" s="27"/>
      <c r="F6152" s="27"/>
      <c r="G6152" s="7"/>
    </row>
    <row r="6153" spans="5:7" x14ac:dyDescent="0.25">
      <c r="E6153" s="27"/>
      <c r="F6153" s="27"/>
      <c r="G6153" s="7"/>
    </row>
    <row r="6154" spans="5:7" x14ac:dyDescent="0.25">
      <c r="E6154" s="27"/>
      <c r="F6154" s="27"/>
      <c r="G6154" s="7"/>
    </row>
    <row r="6155" spans="5:7" x14ac:dyDescent="0.25">
      <c r="E6155" s="27"/>
      <c r="F6155" s="27"/>
      <c r="G6155" s="7"/>
    </row>
    <row r="6156" spans="5:7" x14ac:dyDescent="0.25">
      <c r="E6156" s="27"/>
      <c r="F6156" s="27"/>
      <c r="G6156" s="7"/>
    </row>
    <row r="6157" spans="5:7" x14ac:dyDescent="0.25">
      <c r="E6157" s="27"/>
      <c r="F6157" s="27"/>
      <c r="G6157" s="7"/>
    </row>
    <row r="6158" spans="5:7" x14ac:dyDescent="0.25">
      <c r="E6158" s="27"/>
      <c r="F6158" s="27"/>
      <c r="G6158" s="7"/>
    </row>
    <row r="6159" spans="5:7" x14ac:dyDescent="0.25">
      <c r="E6159" s="27"/>
      <c r="F6159" s="27"/>
      <c r="G6159" s="7"/>
    </row>
    <row r="6160" spans="5:7" x14ac:dyDescent="0.25">
      <c r="E6160" s="27"/>
      <c r="F6160" s="27"/>
      <c r="G6160" s="7"/>
    </row>
    <row r="6161" spans="5:7" x14ac:dyDescent="0.25">
      <c r="E6161" s="27"/>
      <c r="F6161" s="27"/>
      <c r="G6161" s="7"/>
    </row>
    <row r="6162" spans="5:7" x14ac:dyDescent="0.25">
      <c r="E6162" s="27"/>
      <c r="F6162" s="27"/>
      <c r="G6162" s="7"/>
    </row>
    <row r="6163" spans="5:7" x14ac:dyDescent="0.25">
      <c r="E6163" s="27"/>
      <c r="F6163" s="27"/>
      <c r="G6163" s="7"/>
    </row>
    <row r="6164" spans="5:7" x14ac:dyDescent="0.25">
      <c r="E6164" s="27"/>
      <c r="F6164" s="27"/>
      <c r="G6164" s="7"/>
    </row>
    <row r="6165" spans="5:7" x14ac:dyDescent="0.25">
      <c r="E6165" s="27"/>
      <c r="F6165" s="27"/>
      <c r="G6165" s="7"/>
    </row>
    <row r="6166" spans="5:7" x14ac:dyDescent="0.25">
      <c r="E6166" s="27"/>
      <c r="F6166" s="27"/>
      <c r="G6166" s="7"/>
    </row>
    <row r="6167" spans="5:7" x14ac:dyDescent="0.25">
      <c r="E6167" s="27"/>
      <c r="F6167" s="27"/>
      <c r="G6167" s="7"/>
    </row>
    <row r="6168" spans="5:7" x14ac:dyDescent="0.25">
      <c r="E6168" s="27"/>
      <c r="F6168" s="27"/>
      <c r="G6168" s="7"/>
    </row>
    <row r="6169" spans="5:7" x14ac:dyDescent="0.25">
      <c r="E6169" s="27"/>
      <c r="F6169" s="27"/>
      <c r="G6169" s="7"/>
    </row>
    <row r="6170" spans="5:7" x14ac:dyDescent="0.25">
      <c r="E6170" s="27"/>
      <c r="F6170" s="27"/>
      <c r="G6170" s="7"/>
    </row>
    <row r="6171" spans="5:7" x14ac:dyDescent="0.25">
      <c r="E6171" s="27"/>
      <c r="F6171" s="27"/>
      <c r="G6171" s="7"/>
    </row>
    <row r="6172" spans="5:7" x14ac:dyDescent="0.25">
      <c r="E6172" s="27"/>
      <c r="F6172" s="27"/>
      <c r="G6172" s="7"/>
    </row>
    <row r="6173" spans="5:7" x14ac:dyDescent="0.25">
      <c r="E6173" s="27"/>
      <c r="F6173" s="27"/>
      <c r="G6173" s="7"/>
    </row>
    <row r="6174" spans="5:7" x14ac:dyDescent="0.25">
      <c r="E6174" s="27"/>
      <c r="F6174" s="27"/>
      <c r="G6174" s="7"/>
    </row>
    <row r="6175" spans="5:7" x14ac:dyDescent="0.25">
      <c r="E6175" s="27"/>
      <c r="F6175" s="27"/>
      <c r="G6175" s="7"/>
    </row>
    <row r="6176" spans="5:7" x14ac:dyDescent="0.25">
      <c r="E6176" s="27"/>
      <c r="F6176" s="27"/>
      <c r="G6176" s="7"/>
    </row>
    <row r="6177" spans="5:7" x14ac:dyDescent="0.25">
      <c r="E6177" s="27"/>
      <c r="F6177" s="27"/>
      <c r="G6177" s="7"/>
    </row>
    <row r="6178" spans="5:7" x14ac:dyDescent="0.25">
      <c r="E6178" s="27"/>
      <c r="F6178" s="27"/>
      <c r="G6178" s="7"/>
    </row>
    <row r="6179" spans="5:7" x14ac:dyDescent="0.25">
      <c r="E6179" s="27"/>
      <c r="F6179" s="27"/>
      <c r="G6179" s="7"/>
    </row>
    <row r="6180" spans="5:7" x14ac:dyDescent="0.25">
      <c r="E6180" s="27"/>
      <c r="F6180" s="27"/>
      <c r="G6180" s="7"/>
    </row>
    <row r="6181" spans="5:7" x14ac:dyDescent="0.25">
      <c r="E6181" s="27"/>
      <c r="F6181" s="27"/>
      <c r="G6181" s="7"/>
    </row>
    <row r="6182" spans="5:7" x14ac:dyDescent="0.25">
      <c r="E6182" s="27"/>
      <c r="F6182" s="27"/>
      <c r="G6182" s="7"/>
    </row>
    <row r="6183" spans="5:7" x14ac:dyDescent="0.25">
      <c r="E6183" s="27"/>
      <c r="F6183" s="27"/>
      <c r="G6183" s="7"/>
    </row>
    <row r="6184" spans="5:7" x14ac:dyDescent="0.25">
      <c r="E6184" s="27"/>
      <c r="F6184" s="27"/>
      <c r="G6184" s="7"/>
    </row>
    <row r="6185" spans="5:7" x14ac:dyDescent="0.25">
      <c r="E6185" s="27"/>
      <c r="F6185" s="27"/>
      <c r="G6185" s="7"/>
    </row>
    <row r="6186" spans="5:7" x14ac:dyDescent="0.25">
      <c r="E6186" s="27"/>
      <c r="F6186" s="27"/>
      <c r="G6186" s="7"/>
    </row>
    <row r="6187" spans="5:7" x14ac:dyDescent="0.25">
      <c r="E6187" s="27"/>
      <c r="F6187" s="27"/>
      <c r="G6187" s="7"/>
    </row>
    <row r="6188" spans="5:7" x14ac:dyDescent="0.25">
      <c r="E6188" s="27"/>
      <c r="F6188" s="27"/>
      <c r="G6188" s="7"/>
    </row>
    <row r="6189" spans="5:7" x14ac:dyDescent="0.25">
      <c r="E6189" s="27"/>
      <c r="F6189" s="27"/>
      <c r="G6189" s="7"/>
    </row>
    <row r="6190" spans="5:7" x14ac:dyDescent="0.25">
      <c r="E6190" s="27"/>
      <c r="F6190" s="27"/>
      <c r="G6190" s="7"/>
    </row>
    <row r="6191" spans="5:7" x14ac:dyDescent="0.25">
      <c r="E6191" s="27"/>
      <c r="F6191" s="27"/>
      <c r="G6191" s="7"/>
    </row>
    <row r="6192" spans="5:7" x14ac:dyDescent="0.25">
      <c r="E6192" s="27"/>
      <c r="F6192" s="27"/>
      <c r="G6192" s="7"/>
    </row>
    <row r="6193" spans="5:7" x14ac:dyDescent="0.25">
      <c r="E6193" s="27"/>
      <c r="F6193" s="27"/>
      <c r="G6193" s="7"/>
    </row>
    <row r="6194" spans="5:7" x14ac:dyDescent="0.25">
      <c r="E6194" s="27"/>
      <c r="F6194" s="27"/>
      <c r="G6194" s="7"/>
    </row>
    <row r="6195" spans="5:7" x14ac:dyDescent="0.25">
      <c r="E6195" s="27"/>
      <c r="F6195" s="27"/>
      <c r="G6195" s="7"/>
    </row>
    <row r="6196" spans="5:7" x14ac:dyDescent="0.25">
      <c r="E6196" s="27"/>
      <c r="F6196" s="27"/>
      <c r="G6196" s="7"/>
    </row>
    <row r="6197" spans="5:7" x14ac:dyDescent="0.25">
      <c r="E6197" s="27"/>
      <c r="F6197" s="27"/>
      <c r="G6197" s="7"/>
    </row>
    <row r="6198" spans="5:7" x14ac:dyDescent="0.25">
      <c r="E6198" s="27"/>
      <c r="F6198" s="27"/>
      <c r="G6198" s="7"/>
    </row>
    <row r="6199" spans="5:7" x14ac:dyDescent="0.25">
      <c r="E6199" s="27"/>
      <c r="F6199" s="27"/>
      <c r="G6199" s="7"/>
    </row>
    <row r="6200" spans="5:7" x14ac:dyDescent="0.25">
      <c r="E6200" s="27"/>
      <c r="F6200" s="27"/>
      <c r="G6200" s="7"/>
    </row>
    <row r="6201" spans="5:7" x14ac:dyDescent="0.25">
      <c r="E6201" s="27"/>
      <c r="F6201" s="27"/>
      <c r="G6201" s="7"/>
    </row>
    <row r="6202" spans="5:7" x14ac:dyDescent="0.25">
      <c r="E6202" s="27"/>
      <c r="F6202" s="27"/>
      <c r="G6202" s="7"/>
    </row>
    <row r="6203" spans="5:7" x14ac:dyDescent="0.25">
      <c r="E6203" s="27"/>
      <c r="F6203" s="27"/>
      <c r="G6203" s="7"/>
    </row>
    <row r="6204" spans="5:7" x14ac:dyDescent="0.25">
      <c r="E6204" s="27"/>
      <c r="F6204" s="27"/>
      <c r="G6204" s="7"/>
    </row>
    <row r="6205" spans="5:7" x14ac:dyDescent="0.25">
      <c r="E6205" s="27"/>
      <c r="F6205" s="27"/>
      <c r="G6205" s="7"/>
    </row>
    <row r="6206" spans="5:7" x14ac:dyDescent="0.25">
      <c r="E6206" s="27"/>
      <c r="F6206" s="27"/>
      <c r="G6206" s="7"/>
    </row>
    <row r="6207" spans="5:7" x14ac:dyDescent="0.25">
      <c r="E6207" s="27"/>
      <c r="F6207" s="27"/>
      <c r="G6207" s="7"/>
    </row>
    <row r="6208" spans="5:7" x14ac:dyDescent="0.25">
      <c r="E6208" s="27"/>
      <c r="F6208" s="27"/>
      <c r="G6208" s="7"/>
    </row>
    <row r="6209" spans="5:7" x14ac:dyDescent="0.25">
      <c r="E6209" s="27"/>
      <c r="F6209" s="27"/>
      <c r="G6209" s="7"/>
    </row>
    <row r="6210" spans="5:7" x14ac:dyDescent="0.25">
      <c r="E6210" s="27"/>
      <c r="F6210" s="27"/>
      <c r="G6210" s="7"/>
    </row>
    <row r="6211" spans="5:7" x14ac:dyDescent="0.25">
      <c r="E6211" s="27"/>
      <c r="F6211" s="27"/>
      <c r="G6211" s="7"/>
    </row>
    <row r="6212" spans="5:7" x14ac:dyDescent="0.25">
      <c r="E6212" s="27"/>
      <c r="F6212" s="27"/>
      <c r="G6212" s="7"/>
    </row>
    <row r="6213" spans="5:7" x14ac:dyDescent="0.25">
      <c r="E6213" s="27"/>
      <c r="F6213" s="27"/>
      <c r="G6213" s="7"/>
    </row>
    <row r="6214" spans="5:7" x14ac:dyDescent="0.25">
      <c r="E6214" s="27"/>
      <c r="F6214" s="27"/>
      <c r="G6214" s="7"/>
    </row>
    <row r="6215" spans="5:7" x14ac:dyDescent="0.25">
      <c r="E6215" s="27"/>
      <c r="F6215" s="27"/>
      <c r="G6215" s="7"/>
    </row>
    <row r="6216" spans="5:7" x14ac:dyDescent="0.25">
      <c r="E6216" s="27"/>
      <c r="F6216" s="27"/>
      <c r="G6216" s="7"/>
    </row>
    <row r="6217" spans="5:7" x14ac:dyDescent="0.25">
      <c r="E6217" s="27"/>
      <c r="F6217" s="27"/>
      <c r="G6217" s="7"/>
    </row>
    <row r="6218" spans="5:7" x14ac:dyDescent="0.25">
      <c r="E6218" s="27"/>
      <c r="F6218" s="27"/>
      <c r="G6218" s="7"/>
    </row>
    <row r="6219" spans="5:7" x14ac:dyDescent="0.25">
      <c r="E6219" s="27"/>
      <c r="F6219" s="27"/>
      <c r="G6219" s="7"/>
    </row>
    <row r="6220" spans="5:7" x14ac:dyDescent="0.25">
      <c r="E6220" s="27"/>
      <c r="F6220" s="27"/>
      <c r="G6220" s="7"/>
    </row>
    <row r="6221" spans="5:7" x14ac:dyDescent="0.25">
      <c r="E6221" s="27"/>
      <c r="F6221" s="27"/>
      <c r="G6221" s="7"/>
    </row>
    <row r="6222" spans="5:7" x14ac:dyDescent="0.25">
      <c r="E6222" s="27"/>
      <c r="F6222" s="27"/>
      <c r="G6222" s="7"/>
    </row>
    <row r="6223" spans="5:7" x14ac:dyDescent="0.25">
      <c r="E6223" s="27"/>
      <c r="F6223" s="27"/>
      <c r="G6223" s="7"/>
    </row>
    <row r="6224" spans="5:7" x14ac:dyDescent="0.25">
      <c r="E6224" s="27"/>
      <c r="F6224" s="27"/>
      <c r="G6224" s="7"/>
    </row>
    <row r="6225" spans="5:7" x14ac:dyDescent="0.25">
      <c r="E6225" s="27"/>
      <c r="F6225" s="27"/>
      <c r="G6225" s="7"/>
    </row>
    <row r="6226" spans="5:7" x14ac:dyDescent="0.25">
      <c r="E6226" s="27"/>
      <c r="F6226" s="27"/>
      <c r="G6226" s="7"/>
    </row>
    <row r="6227" spans="5:7" x14ac:dyDescent="0.25">
      <c r="E6227" s="27"/>
      <c r="F6227" s="27"/>
      <c r="G6227" s="7"/>
    </row>
    <row r="6228" spans="5:7" x14ac:dyDescent="0.25">
      <c r="E6228" s="27"/>
      <c r="F6228" s="27"/>
      <c r="G6228" s="7"/>
    </row>
    <row r="6229" spans="5:7" x14ac:dyDescent="0.25">
      <c r="E6229" s="27"/>
      <c r="F6229" s="27"/>
      <c r="G6229" s="7"/>
    </row>
    <row r="6230" spans="5:7" x14ac:dyDescent="0.25">
      <c r="E6230" s="27"/>
      <c r="F6230" s="27"/>
      <c r="G6230" s="7"/>
    </row>
    <row r="6231" spans="5:7" x14ac:dyDescent="0.25">
      <c r="E6231" s="27"/>
      <c r="F6231" s="27"/>
      <c r="G6231" s="7"/>
    </row>
    <row r="6232" spans="5:7" x14ac:dyDescent="0.25">
      <c r="E6232" s="27"/>
      <c r="F6232" s="27"/>
      <c r="G6232" s="7"/>
    </row>
    <row r="6233" spans="5:7" x14ac:dyDescent="0.25">
      <c r="E6233" s="27"/>
      <c r="F6233" s="27"/>
      <c r="G6233" s="7"/>
    </row>
    <row r="6234" spans="5:7" x14ac:dyDescent="0.25">
      <c r="E6234" s="27"/>
      <c r="F6234" s="27"/>
      <c r="G6234" s="7"/>
    </row>
    <row r="6235" spans="5:7" x14ac:dyDescent="0.25">
      <c r="E6235" s="27"/>
      <c r="F6235" s="27"/>
      <c r="G6235" s="7"/>
    </row>
    <row r="6236" spans="5:7" x14ac:dyDescent="0.25">
      <c r="E6236" s="27"/>
      <c r="F6236" s="27"/>
      <c r="G6236" s="7"/>
    </row>
    <row r="6237" spans="5:7" x14ac:dyDescent="0.25">
      <c r="E6237" s="27"/>
      <c r="F6237" s="27"/>
      <c r="G6237" s="7"/>
    </row>
    <row r="6238" spans="5:7" x14ac:dyDescent="0.25">
      <c r="E6238" s="27"/>
      <c r="F6238" s="27"/>
      <c r="G6238" s="7"/>
    </row>
    <row r="6239" spans="5:7" x14ac:dyDescent="0.25">
      <c r="E6239" s="27"/>
      <c r="F6239" s="27"/>
      <c r="G6239" s="7"/>
    </row>
    <row r="6240" spans="5:7" x14ac:dyDescent="0.25">
      <c r="E6240" s="27"/>
      <c r="F6240" s="27"/>
      <c r="G6240" s="7"/>
    </row>
    <row r="6241" spans="5:7" x14ac:dyDescent="0.25">
      <c r="E6241" s="27"/>
      <c r="F6241" s="27"/>
      <c r="G6241" s="7"/>
    </row>
    <row r="6242" spans="5:7" x14ac:dyDescent="0.25">
      <c r="E6242" s="27"/>
      <c r="F6242" s="27"/>
      <c r="G6242" s="7"/>
    </row>
    <row r="6243" spans="5:7" x14ac:dyDescent="0.25">
      <c r="E6243" s="27"/>
      <c r="F6243" s="27"/>
      <c r="G6243" s="7"/>
    </row>
    <row r="6244" spans="5:7" x14ac:dyDescent="0.25">
      <c r="E6244" s="27"/>
      <c r="F6244" s="27"/>
      <c r="G6244" s="7"/>
    </row>
    <row r="6245" spans="5:7" x14ac:dyDescent="0.25">
      <c r="E6245" s="27"/>
      <c r="F6245" s="27"/>
      <c r="G6245" s="7"/>
    </row>
    <row r="6246" spans="5:7" x14ac:dyDescent="0.25">
      <c r="E6246" s="27"/>
      <c r="F6246" s="27"/>
      <c r="G6246" s="7"/>
    </row>
    <row r="6247" spans="5:7" x14ac:dyDescent="0.25">
      <c r="E6247" s="27"/>
      <c r="F6247" s="27"/>
      <c r="G6247" s="7"/>
    </row>
    <row r="6248" spans="5:7" x14ac:dyDescent="0.25">
      <c r="E6248" s="27"/>
      <c r="F6248" s="27"/>
      <c r="G6248" s="7"/>
    </row>
    <row r="6249" spans="5:7" x14ac:dyDescent="0.25">
      <c r="E6249" s="27"/>
      <c r="F6249" s="27"/>
      <c r="G6249" s="7"/>
    </row>
    <row r="6250" spans="5:7" x14ac:dyDescent="0.25">
      <c r="E6250" s="27"/>
      <c r="F6250" s="27"/>
      <c r="G6250" s="7"/>
    </row>
    <row r="6251" spans="5:7" x14ac:dyDescent="0.25">
      <c r="E6251" s="27"/>
      <c r="F6251" s="27"/>
      <c r="G6251" s="7"/>
    </row>
    <row r="6252" spans="5:7" x14ac:dyDescent="0.25">
      <c r="E6252" s="27"/>
      <c r="F6252" s="27"/>
      <c r="G6252" s="7"/>
    </row>
    <row r="6253" spans="5:7" x14ac:dyDescent="0.25">
      <c r="E6253" s="27"/>
      <c r="F6253" s="27"/>
      <c r="G6253" s="7"/>
    </row>
    <row r="6254" spans="5:7" x14ac:dyDescent="0.25">
      <c r="E6254" s="27"/>
      <c r="F6254" s="27"/>
      <c r="G6254" s="7"/>
    </row>
    <row r="6255" spans="5:7" x14ac:dyDescent="0.25">
      <c r="E6255" s="27"/>
      <c r="F6255" s="27"/>
      <c r="G6255" s="7"/>
    </row>
    <row r="6256" spans="5:7" x14ac:dyDescent="0.25">
      <c r="E6256" s="27"/>
      <c r="F6256" s="27"/>
      <c r="G6256" s="7"/>
    </row>
    <row r="6257" spans="5:7" x14ac:dyDescent="0.25">
      <c r="E6257" s="27"/>
      <c r="F6257" s="27"/>
      <c r="G6257" s="7"/>
    </row>
    <row r="6258" spans="5:7" x14ac:dyDescent="0.25">
      <c r="E6258" s="27"/>
      <c r="F6258" s="27"/>
      <c r="G6258" s="7"/>
    </row>
    <row r="6259" spans="5:7" x14ac:dyDescent="0.25">
      <c r="E6259" s="27"/>
      <c r="F6259" s="27"/>
      <c r="G6259" s="7"/>
    </row>
    <row r="6260" spans="5:7" x14ac:dyDescent="0.25">
      <c r="E6260" s="27"/>
      <c r="F6260" s="27"/>
      <c r="G6260" s="7"/>
    </row>
    <row r="6261" spans="5:7" x14ac:dyDescent="0.25">
      <c r="E6261" s="27"/>
      <c r="F6261" s="27"/>
      <c r="G6261" s="7"/>
    </row>
    <row r="6262" spans="5:7" x14ac:dyDescent="0.25">
      <c r="E6262" s="27"/>
      <c r="F6262" s="27"/>
      <c r="G6262" s="7"/>
    </row>
    <row r="6263" spans="5:7" x14ac:dyDescent="0.25">
      <c r="E6263" s="27"/>
      <c r="F6263" s="27"/>
      <c r="G6263" s="7"/>
    </row>
    <row r="6264" spans="5:7" x14ac:dyDescent="0.25">
      <c r="E6264" s="27"/>
      <c r="F6264" s="27"/>
      <c r="G6264" s="7"/>
    </row>
    <row r="6265" spans="5:7" x14ac:dyDescent="0.25">
      <c r="E6265" s="27"/>
      <c r="F6265" s="27"/>
      <c r="G6265" s="7"/>
    </row>
    <row r="6266" spans="5:7" x14ac:dyDescent="0.25">
      <c r="E6266" s="27"/>
      <c r="F6266" s="27"/>
      <c r="G6266" s="7"/>
    </row>
    <row r="6267" spans="5:7" x14ac:dyDescent="0.25">
      <c r="E6267" s="27"/>
      <c r="F6267" s="27"/>
      <c r="G6267" s="7"/>
    </row>
    <row r="6268" spans="5:7" x14ac:dyDescent="0.25">
      <c r="E6268" s="27"/>
      <c r="F6268" s="27"/>
      <c r="G6268" s="7"/>
    </row>
    <row r="6269" spans="5:7" x14ac:dyDescent="0.25">
      <c r="E6269" s="27"/>
      <c r="F6269" s="27"/>
      <c r="G6269" s="7"/>
    </row>
    <row r="6270" spans="5:7" x14ac:dyDescent="0.25">
      <c r="E6270" s="27"/>
      <c r="F6270" s="27"/>
      <c r="G6270" s="7"/>
    </row>
    <row r="6271" spans="5:7" x14ac:dyDescent="0.25">
      <c r="E6271" s="27"/>
      <c r="F6271" s="27"/>
      <c r="G6271" s="7"/>
    </row>
    <row r="6272" spans="5:7" x14ac:dyDescent="0.25">
      <c r="E6272" s="27"/>
      <c r="F6272" s="27"/>
      <c r="G6272" s="7"/>
    </row>
    <row r="6273" spans="5:7" x14ac:dyDescent="0.25">
      <c r="E6273" s="27"/>
      <c r="F6273" s="27"/>
      <c r="G6273" s="7"/>
    </row>
    <row r="6274" spans="5:7" x14ac:dyDescent="0.25">
      <c r="E6274" s="27"/>
      <c r="F6274" s="27"/>
      <c r="G6274" s="7"/>
    </row>
    <row r="6275" spans="5:7" x14ac:dyDescent="0.25">
      <c r="E6275" s="27"/>
      <c r="F6275" s="27"/>
      <c r="G6275" s="7"/>
    </row>
    <row r="6276" spans="5:7" x14ac:dyDescent="0.25">
      <c r="E6276" s="27"/>
      <c r="F6276" s="27"/>
      <c r="G6276" s="7"/>
    </row>
    <row r="6277" spans="5:7" x14ac:dyDescent="0.25">
      <c r="E6277" s="27"/>
      <c r="F6277" s="27"/>
      <c r="G6277" s="7"/>
    </row>
    <row r="6278" spans="5:7" x14ac:dyDescent="0.25">
      <c r="E6278" s="27"/>
      <c r="F6278" s="27"/>
      <c r="G6278" s="7"/>
    </row>
    <row r="6279" spans="5:7" x14ac:dyDescent="0.25">
      <c r="E6279" s="27"/>
      <c r="F6279" s="27"/>
      <c r="G6279" s="7"/>
    </row>
    <row r="6280" spans="5:7" x14ac:dyDescent="0.25">
      <c r="E6280" s="27"/>
      <c r="F6280" s="27"/>
      <c r="G6280" s="7"/>
    </row>
    <row r="6281" spans="5:7" x14ac:dyDescent="0.25">
      <c r="E6281" s="27"/>
      <c r="F6281" s="27"/>
      <c r="G6281" s="7"/>
    </row>
    <row r="6282" spans="5:7" x14ac:dyDescent="0.25">
      <c r="E6282" s="27"/>
      <c r="F6282" s="27"/>
      <c r="G6282" s="7"/>
    </row>
    <row r="6283" spans="5:7" x14ac:dyDescent="0.25">
      <c r="E6283" s="27"/>
      <c r="F6283" s="27"/>
      <c r="G6283" s="7"/>
    </row>
    <row r="6284" spans="5:7" x14ac:dyDescent="0.25">
      <c r="E6284" s="27"/>
      <c r="F6284" s="27"/>
      <c r="G6284" s="7"/>
    </row>
    <row r="6285" spans="5:7" x14ac:dyDescent="0.25">
      <c r="E6285" s="27"/>
      <c r="F6285" s="27"/>
      <c r="G6285" s="7"/>
    </row>
    <row r="6286" spans="5:7" x14ac:dyDescent="0.25">
      <c r="E6286" s="27"/>
      <c r="F6286" s="27"/>
      <c r="G6286" s="7"/>
    </row>
    <row r="6287" spans="5:7" x14ac:dyDescent="0.25">
      <c r="E6287" s="27"/>
      <c r="F6287" s="27"/>
      <c r="G6287" s="7"/>
    </row>
    <row r="6288" spans="5:7" x14ac:dyDescent="0.25">
      <c r="E6288" s="27"/>
      <c r="F6288" s="27"/>
      <c r="G6288" s="7"/>
    </row>
    <row r="6289" spans="5:7" x14ac:dyDescent="0.25">
      <c r="E6289" s="27"/>
      <c r="F6289" s="27"/>
      <c r="G6289" s="7"/>
    </row>
    <row r="6290" spans="5:7" x14ac:dyDescent="0.25">
      <c r="E6290" s="27"/>
      <c r="F6290" s="27"/>
      <c r="G6290" s="7"/>
    </row>
    <row r="6291" spans="5:7" x14ac:dyDescent="0.25">
      <c r="E6291" s="27"/>
      <c r="F6291" s="27"/>
      <c r="G6291" s="7"/>
    </row>
    <row r="6292" spans="5:7" x14ac:dyDescent="0.25">
      <c r="E6292" s="27"/>
      <c r="F6292" s="27"/>
      <c r="G6292" s="7"/>
    </row>
    <row r="6293" spans="5:7" x14ac:dyDescent="0.25">
      <c r="E6293" s="27"/>
      <c r="F6293" s="27"/>
      <c r="G6293" s="7"/>
    </row>
    <row r="6294" spans="5:7" x14ac:dyDescent="0.25">
      <c r="E6294" s="27"/>
      <c r="F6294" s="27"/>
      <c r="G6294" s="7"/>
    </row>
    <row r="6295" spans="5:7" x14ac:dyDescent="0.25">
      <c r="E6295" s="27"/>
      <c r="F6295" s="27"/>
      <c r="G6295" s="7"/>
    </row>
    <row r="6296" spans="5:7" x14ac:dyDescent="0.25">
      <c r="E6296" s="27"/>
      <c r="F6296" s="27"/>
      <c r="G6296" s="7"/>
    </row>
    <row r="6297" spans="5:7" x14ac:dyDescent="0.25">
      <c r="E6297" s="27"/>
      <c r="F6297" s="27"/>
      <c r="G6297" s="7"/>
    </row>
    <row r="6298" spans="5:7" x14ac:dyDescent="0.25">
      <c r="E6298" s="27"/>
      <c r="F6298" s="27"/>
      <c r="G6298" s="7"/>
    </row>
    <row r="6299" spans="5:7" x14ac:dyDescent="0.25">
      <c r="E6299" s="27"/>
      <c r="F6299" s="27"/>
      <c r="G6299" s="7"/>
    </row>
    <row r="6300" spans="5:7" x14ac:dyDescent="0.25">
      <c r="E6300" s="27"/>
      <c r="F6300" s="27"/>
      <c r="G6300" s="7"/>
    </row>
    <row r="6301" spans="5:7" x14ac:dyDescent="0.25">
      <c r="E6301" s="27"/>
      <c r="F6301" s="27"/>
      <c r="G6301" s="7"/>
    </row>
    <row r="6302" spans="5:7" x14ac:dyDescent="0.25">
      <c r="E6302" s="27"/>
      <c r="F6302" s="27"/>
      <c r="G6302" s="7"/>
    </row>
    <row r="6303" spans="5:7" x14ac:dyDescent="0.25">
      <c r="E6303" s="27"/>
      <c r="F6303" s="27"/>
      <c r="G6303" s="7"/>
    </row>
    <row r="6304" spans="5:7" x14ac:dyDescent="0.25">
      <c r="E6304" s="27"/>
      <c r="F6304" s="27"/>
      <c r="G6304" s="7"/>
    </row>
    <row r="6305" spans="5:7" x14ac:dyDescent="0.25">
      <c r="E6305" s="27"/>
      <c r="F6305" s="27"/>
      <c r="G6305" s="7"/>
    </row>
    <row r="6306" spans="5:7" x14ac:dyDescent="0.25">
      <c r="E6306" s="27"/>
      <c r="F6306" s="27"/>
      <c r="G6306" s="7"/>
    </row>
    <row r="6307" spans="5:7" x14ac:dyDescent="0.25">
      <c r="E6307" s="27"/>
      <c r="F6307" s="27"/>
      <c r="G6307" s="7"/>
    </row>
    <row r="6308" spans="5:7" x14ac:dyDescent="0.25">
      <c r="E6308" s="27"/>
      <c r="F6308" s="27"/>
      <c r="G6308" s="7"/>
    </row>
    <row r="6309" spans="5:7" x14ac:dyDescent="0.25">
      <c r="E6309" s="27"/>
      <c r="F6309" s="27"/>
      <c r="G6309" s="7"/>
    </row>
    <row r="6310" spans="5:7" x14ac:dyDescent="0.25">
      <c r="E6310" s="27"/>
      <c r="F6310" s="27"/>
      <c r="G6310" s="7"/>
    </row>
    <row r="6311" spans="5:7" x14ac:dyDescent="0.25">
      <c r="E6311" s="27"/>
      <c r="F6311" s="27"/>
      <c r="G6311" s="7"/>
    </row>
    <row r="6312" spans="5:7" x14ac:dyDescent="0.25">
      <c r="E6312" s="27"/>
      <c r="F6312" s="27"/>
      <c r="G6312" s="7"/>
    </row>
    <row r="6313" spans="5:7" x14ac:dyDescent="0.25">
      <c r="E6313" s="27"/>
      <c r="F6313" s="27"/>
      <c r="G6313" s="7"/>
    </row>
    <row r="6314" spans="5:7" x14ac:dyDescent="0.25">
      <c r="E6314" s="27"/>
      <c r="F6314" s="27"/>
      <c r="G6314" s="7"/>
    </row>
    <row r="6315" spans="5:7" x14ac:dyDescent="0.25">
      <c r="E6315" s="27"/>
      <c r="F6315" s="27"/>
      <c r="G6315" s="7"/>
    </row>
    <row r="6316" spans="5:7" x14ac:dyDescent="0.25">
      <c r="E6316" s="27"/>
      <c r="F6316" s="27"/>
      <c r="G6316" s="7"/>
    </row>
    <row r="6317" spans="5:7" x14ac:dyDescent="0.25">
      <c r="E6317" s="27"/>
      <c r="F6317" s="27"/>
      <c r="G6317" s="7"/>
    </row>
    <row r="6318" spans="5:7" x14ac:dyDescent="0.25">
      <c r="E6318" s="27"/>
      <c r="F6318" s="27"/>
      <c r="G6318" s="7"/>
    </row>
    <row r="6319" spans="5:7" x14ac:dyDescent="0.25">
      <c r="E6319" s="27"/>
      <c r="F6319" s="27"/>
      <c r="G6319" s="7"/>
    </row>
    <row r="6320" spans="5:7" x14ac:dyDescent="0.25">
      <c r="E6320" s="27"/>
      <c r="F6320" s="27"/>
      <c r="G6320" s="7"/>
    </row>
    <row r="6321" spans="5:7" x14ac:dyDescent="0.25">
      <c r="E6321" s="27"/>
      <c r="F6321" s="27"/>
      <c r="G6321" s="7"/>
    </row>
    <row r="6322" spans="5:7" x14ac:dyDescent="0.25">
      <c r="E6322" s="27"/>
      <c r="F6322" s="27"/>
      <c r="G6322" s="7"/>
    </row>
    <row r="6323" spans="5:7" x14ac:dyDescent="0.25">
      <c r="E6323" s="27"/>
      <c r="F6323" s="27"/>
      <c r="G6323" s="7"/>
    </row>
    <row r="6324" spans="5:7" x14ac:dyDescent="0.25">
      <c r="E6324" s="27"/>
      <c r="F6324" s="27"/>
      <c r="G6324" s="7"/>
    </row>
    <row r="6325" spans="5:7" x14ac:dyDescent="0.25">
      <c r="E6325" s="27"/>
      <c r="F6325" s="27"/>
      <c r="G6325" s="7"/>
    </row>
    <row r="6326" spans="5:7" x14ac:dyDescent="0.25">
      <c r="E6326" s="27"/>
      <c r="F6326" s="27"/>
      <c r="G6326" s="7"/>
    </row>
    <row r="6327" spans="5:7" x14ac:dyDescent="0.25">
      <c r="E6327" s="27"/>
      <c r="F6327" s="27"/>
      <c r="G6327" s="7"/>
    </row>
    <row r="6328" spans="5:7" x14ac:dyDescent="0.25">
      <c r="E6328" s="27"/>
      <c r="F6328" s="27"/>
      <c r="G6328" s="7"/>
    </row>
    <row r="6329" spans="5:7" x14ac:dyDescent="0.25">
      <c r="E6329" s="27"/>
      <c r="F6329" s="27"/>
      <c r="G6329" s="7"/>
    </row>
    <row r="6330" spans="5:7" x14ac:dyDescent="0.25">
      <c r="E6330" s="27"/>
      <c r="F6330" s="27"/>
      <c r="G6330" s="7"/>
    </row>
    <row r="6331" spans="5:7" x14ac:dyDescent="0.25">
      <c r="E6331" s="27"/>
      <c r="F6331" s="27"/>
      <c r="G6331" s="7"/>
    </row>
    <row r="6332" spans="5:7" x14ac:dyDescent="0.25">
      <c r="E6332" s="27"/>
      <c r="F6332" s="27"/>
      <c r="G6332" s="7"/>
    </row>
    <row r="6333" spans="5:7" x14ac:dyDescent="0.25">
      <c r="E6333" s="27"/>
      <c r="F6333" s="27"/>
      <c r="G6333" s="7"/>
    </row>
    <row r="6334" spans="5:7" x14ac:dyDescent="0.25">
      <c r="E6334" s="27"/>
      <c r="F6334" s="27"/>
      <c r="G6334" s="7"/>
    </row>
    <row r="6335" spans="5:7" x14ac:dyDescent="0.25">
      <c r="E6335" s="27"/>
      <c r="F6335" s="27"/>
      <c r="G6335" s="7"/>
    </row>
    <row r="6336" spans="5:7" x14ac:dyDescent="0.25">
      <c r="E6336" s="27"/>
      <c r="F6336" s="27"/>
      <c r="G6336" s="7"/>
    </row>
    <row r="6337" spans="5:7" x14ac:dyDescent="0.25">
      <c r="E6337" s="27"/>
      <c r="F6337" s="27"/>
      <c r="G6337" s="7"/>
    </row>
    <row r="6338" spans="5:7" x14ac:dyDescent="0.25">
      <c r="E6338" s="27"/>
      <c r="F6338" s="27"/>
      <c r="G6338" s="7"/>
    </row>
    <row r="6339" spans="5:7" x14ac:dyDescent="0.25">
      <c r="E6339" s="27"/>
      <c r="F6339" s="27"/>
      <c r="G6339" s="7"/>
    </row>
    <row r="6340" spans="5:7" x14ac:dyDescent="0.25">
      <c r="E6340" s="27"/>
      <c r="F6340" s="27"/>
      <c r="G6340" s="7"/>
    </row>
    <row r="6341" spans="5:7" x14ac:dyDescent="0.25">
      <c r="E6341" s="27"/>
      <c r="F6341" s="27"/>
      <c r="G6341" s="7"/>
    </row>
    <row r="6342" spans="5:7" x14ac:dyDescent="0.25">
      <c r="E6342" s="27"/>
      <c r="F6342" s="27"/>
      <c r="G6342" s="7"/>
    </row>
    <row r="6343" spans="5:7" x14ac:dyDescent="0.25">
      <c r="E6343" s="27"/>
      <c r="F6343" s="27"/>
      <c r="G6343" s="7"/>
    </row>
    <row r="6344" spans="5:7" x14ac:dyDescent="0.25">
      <c r="E6344" s="27"/>
      <c r="F6344" s="27"/>
      <c r="G6344" s="7"/>
    </row>
    <row r="6345" spans="5:7" x14ac:dyDescent="0.25">
      <c r="E6345" s="27"/>
      <c r="F6345" s="27"/>
      <c r="G6345" s="7"/>
    </row>
    <row r="6346" spans="5:7" x14ac:dyDescent="0.25">
      <c r="E6346" s="27"/>
      <c r="F6346" s="27"/>
      <c r="G6346" s="7"/>
    </row>
    <row r="6347" spans="5:7" x14ac:dyDescent="0.25">
      <c r="E6347" s="27"/>
      <c r="F6347" s="27"/>
      <c r="G6347" s="7"/>
    </row>
    <row r="6348" spans="5:7" x14ac:dyDescent="0.25">
      <c r="E6348" s="27"/>
      <c r="F6348" s="27"/>
      <c r="G6348" s="7"/>
    </row>
    <row r="6349" spans="5:7" x14ac:dyDescent="0.25">
      <c r="E6349" s="27"/>
      <c r="F6349" s="27"/>
      <c r="G6349" s="7"/>
    </row>
    <row r="6350" spans="5:7" x14ac:dyDescent="0.25">
      <c r="E6350" s="27"/>
      <c r="F6350" s="27"/>
      <c r="G6350" s="7"/>
    </row>
    <row r="6351" spans="5:7" x14ac:dyDescent="0.25">
      <c r="E6351" s="27"/>
      <c r="F6351" s="27"/>
      <c r="G6351" s="7"/>
    </row>
    <row r="6352" spans="5:7" x14ac:dyDescent="0.25">
      <c r="E6352" s="27"/>
      <c r="F6352" s="27"/>
      <c r="G6352" s="7"/>
    </row>
    <row r="6353" spans="5:7" x14ac:dyDescent="0.25">
      <c r="E6353" s="27"/>
      <c r="F6353" s="27"/>
      <c r="G6353" s="7"/>
    </row>
    <row r="6354" spans="5:7" x14ac:dyDescent="0.25">
      <c r="E6354" s="27"/>
      <c r="F6354" s="27"/>
      <c r="G6354" s="7"/>
    </row>
    <row r="6355" spans="5:7" x14ac:dyDescent="0.25">
      <c r="E6355" s="27"/>
      <c r="F6355" s="27"/>
      <c r="G6355" s="7"/>
    </row>
    <row r="6356" spans="5:7" x14ac:dyDescent="0.25">
      <c r="E6356" s="27"/>
      <c r="F6356" s="27"/>
      <c r="G6356" s="7"/>
    </row>
    <row r="6357" spans="5:7" x14ac:dyDescent="0.25">
      <c r="E6357" s="27"/>
      <c r="F6357" s="27"/>
      <c r="G6357" s="7"/>
    </row>
    <row r="6358" spans="5:7" x14ac:dyDescent="0.25">
      <c r="E6358" s="27"/>
      <c r="F6358" s="27"/>
      <c r="G6358" s="7"/>
    </row>
    <row r="6359" spans="5:7" x14ac:dyDescent="0.25">
      <c r="E6359" s="27"/>
      <c r="F6359" s="27"/>
      <c r="G6359" s="7"/>
    </row>
    <row r="6360" spans="5:7" x14ac:dyDescent="0.25">
      <c r="E6360" s="27"/>
      <c r="F6360" s="27"/>
      <c r="G6360" s="7"/>
    </row>
    <row r="6361" spans="5:7" x14ac:dyDescent="0.25">
      <c r="E6361" s="27"/>
      <c r="F6361" s="27"/>
      <c r="G6361" s="7"/>
    </row>
    <row r="6362" spans="5:7" x14ac:dyDescent="0.25">
      <c r="E6362" s="27"/>
      <c r="F6362" s="27"/>
      <c r="G6362" s="7"/>
    </row>
    <row r="6363" spans="5:7" x14ac:dyDescent="0.25">
      <c r="E6363" s="27"/>
      <c r="F6363" s="27"/>
      <c r="G6363" s="7"/>
    </row>
    <row r="6364" spans="5:7" x14ac:dyDescent="0.25">
      <c r="E6364" s="27"/>
      <c r="F6364" s="27"/>
      <c r="G6364" s="7"/>
    </row>
    <row r="6365" spans="5:7" x14ac:dyDescent="0.25">
      <c r="E6365" s="27"/>
      <c r="F6365" s="27"/>
      <c r="G6365" s="7"/>
    </row>
    <row r="6366" spans="5:7" x14ac:dyDescent="0.25">
      <c r="E6366" s="27"/>
      <c r="F6366" s="27"/>
      <c r="G6366" s="7"/>
    </row>
    <row r="6367" spans="5:7" x14ac:dyDescent="0.25">
      <c r="E6367" s="27"/>
      <c r="F6367" s="27"/>
      <c r="G6367" s="7"/>
    </row>
    <row r="6368" spans="5:7" x14ac:dyDescent="0.25">
      <c r="E6368" s="27"/>
      <c r="F6368" s="27"/>
      <c r="G6368" s="7"/>
    </row>
    <row r="6369" spans="5:7" x14ac:dyDescent="0.25">
      <c r="E6369" s="27"/>
      <c r="F6369" s="27"/>
      <c r="G6369" s="7"/>
    </row>
    <row r="6370" spans="5:7" x14ac:dyDescent="0.25">
      <c r="E6370" s="27"/>
      <c r="F6370" s="27"/>
      <c r="G6370" s="7"/>
    </row>
    <row r="6371" spans="5:7" x14ac:dyDescent="0.25">
      <c r="E6371" s="27"/>
      <c r="F6371" s="27"/>
      <c r="G6371" s="7"/>
    </row>
    <row r="6372" spans="5:7" x14ac:dyDescent="0.25">
      <c r="E6372" s="27"/>
      <c r="F6372" s="27"/>
      <c r="G6372" s="7"/>
    </row>
    <row r="6373" spans="5:7" x14ac:dyDescent="0.25">
      <c r="E6373" s="27"/>
      <c r="F6373" s="27"/>
      <c r="G6373" s="7"/>
    </row>
    <row r="6374" spans="5:7" x14ac:dyDescent="0.25">
      <c r="E6374" s="27"/>
      <c r="F6374" s="27"/>
      <c r="G6374" s="7"/>
    </row>
    <row r="6375" spans="5:7" x14ac:dyDescent="0.25">
      <c r="E6375" s="27"/>
      <c r="F6375" s="27"/>
      <c r="G6375" s="7"/>
    </row>
    <row r="6376" spans="5:7" x14ac:dyDescent="0.25">
      <c r="E6376" s="27"/>
      <c r="F6376" s="27"/>
      <c r="G6376" s="7"/>
    </row>
    <row r="6377" spans="5:7" x14ac:dyDescent="0.25">
      <c r="E6377" s="27"/>
      <c r="F6377" s="27"/>
      <c r="G6377" s="7"/>
    </row>
    <row r="6378" spans="5:7" x14ac:dyDescent="0.25">
      <c r="E6378" s="27"/>
      <c r="F6378" s="27"/>
      <c r="G6378" s="7"/>
    </row>
    <row r="6379" spans="5:7" x14ac:dyDescent="0.25">
      <c r="E6379" s="27"/>
      <c r="F6379" s="27"/>
      <c r="G6379" s="7"/>
    </row>
    <row r="6380" spans="5:7" x14ac:dyDescent="0.25">
      <c r="E6380" s="27"/>
      <c r="F6380" s="27"/>
      <c r="G6380" s="7"/>
    </row>
    <row r="6381" spans="5:7" x14ac:dyDescent="0.25">
      <c r="E6381" s="27"/>
      <c r="F6381" s="27"/>
      <c r="G6381" s="7"/>
    </row>
    <row r="6382" spans="5:7" x14ac:dyDescent="0.25">
      <c r="E6382" s="27"/>
      <c r="F6382" s="27"/>
      <c r="G6382" s="7"/>
    </row>
    <row r="6383" spans="5:7" x14ac:dyDescent="0.25">
      <c r="E6383" s="27"/>
      <c r="F6383" s="27"/>
      <c r="G6383" s="7"/>
    </row>
    <row r="6384" spans="5:7" x14ac:dyDescent="0.25">
      <c r="E6384" s="27"/>
      <c r="F6384" s="27"/>
      <c r="G6384" s="7"/>
    </row>
    <row r="6385" spans="5:7" x14ac:dyDescent="0.25">
      <c r="E6385" s="27"/>
      <c r="F6385" s="27"/>
      <c r="G6385" s="7"/>
    </row>
    <row r="6386" spans="5:7" x14ac:dyDescent="0.25">
      <c r="E6386" s="27"/>
      <c r="F6386" s="27"/>
      <c r="G6386" s="7"/>
    </row>
    <row r="6387" spans="5:7" x14ac:dyDescent="0.25">
      <c r="E6387" s="27"/>
      <c r="F6387" s="27"/>
      <c r="G6387" s="7"/>
    </row>
    <row r="6388" spans="5:7" x14ac:dyDescent="0.25">
      <c r="E6388" s="27"/>
      <c r="F6388" s="27"/>
      <c r="G6388" s="7"/>
    </row>
    <row r="6389" spans="5:7" x14ac:dyDescent="0.25">
      <c r="E6389" s="27"/>
      <c r="F6389" s="27"/>
      <c r="G6389" s="7"/>
    </row>
    <row r="6390" spans="5:7" x14ac:dyDescent="0.25">
      <c r="E6390" s="27"/>
      <c r="F6390" s="27"/>
      <c r="G6390" s="7"/>
    </row>
    <row r="6391" spans="5:7" x14ac:dyDescent="0.25">
      <c r="E6391" s="27"/>
      <c r="F6391" s="27"/>
      <c r="G6391" s="7"/>
    </row>
    <row r="6392" spans="5:7" x14ac:dyDescent="0.25">
      <c r="E6392" s="27"/>
      <c r="F6392" s="27"/>
      <c r="G6392" s="7"/>
    </row>
    <row r="6393" spans="5:7" x14ac:dyDescent="0.25">
      <c r="E6393" s="27"/>
      <c r="F6393" s="27"/>
      <c r="G6393" s="7"/>
    </row>
    <row r="6394" spans="5:7" x14ac:dyDescent="0.25">
      <c r="E6394" s="27"/>
      <c r="F6394" s="27"/>
      <c r="G6394" s="7"/>
    </row>
    <row r="6395" spans="5:7" x14ac:dyDescent="0.25">
      <c r="E6395" s="27"/>
      <c r="F6395" s="27"/>
      <c r="G6395" s="7"/>
    </row>
    <row r="6396" spans="5:7" x14ac:dyDescent="0.25">
      <c r="E6396" s="27"/>
      <c r="F6396" s="27"/>
      <c r="G6396" s="7"/>
    </row>
    <row r="6397" spans="5:7" x14ac:dyDescent="0.25">
      <c r="E6397" s="27"/>
      <c r="F6397" s="27"/>
      <c r="G6397" s="7"/>
    </row>
    <row r="6398" spans="5:7" x14ac:dyDescent="0.25">
      <c r="E6398" s="27"/>
      <c r="F6398" s="27"/>
      <c r="G6398" s="7"/>
    </row>
    <row r="6399" spans="5:7" x14ac:dyDescent="0.25">
      <c r="E6399" s="27"/>
      <c r="F6399" s="27"/>
      <c r="G6399" s="7"/>
    </row>
    <row r="6400" spans="5:7" x14ac:dyDescent="0.25">
      <c r="E6400" s="27"/>
      <c r="F6400" s="27"/>
      <c r="G6400" s="7"/>
    </row>
    <row r="6401" spans="5:7" x14ac:dyDescent="0.25">
      <c r="E6401" s="27"/>
      <c r="F6401" s="27"/>
      <c r="G6401" s="7"/>
    </row>
    <row r="6402" spans="5:7" x14ac:dyDescent="0.25">
      <c r="E6402" s="27"/>
      <c r="F6402" s="27"/>
      <c r="G6402" s="7"/>
    </row>
    <row r="6403" spans="5:7" x14ac:dyDescent="0.25">
      <c r="E6403" s="27"/>
      <c r="F6403" s="27"/>
      <c r="G6403" s="7"/>
    </row>
    <row r="6404" spans="5:7" x14ac:dyDescent="0.25">
      <c r="E6404" s="27"/>
      <c r="F6404" s="27"/>
      <c r="G6404" s="7"/>
    </row>
    <row r="6405" spans="5:7" x14ac:dyDescent="0.25">
      <c r="E6405" s="27"/>
      <c r="F6405" s="27"/>
      <c r="G6405" s="7"/>
    </row>
    <row r="6406" spans="5:7" x14ac:dyDescent="0.25">
      <c r="E6406" s="27"/>
      <c r="F6406" s="27"/>
      <c r="G6406" s="7"/>
    </row>
    <row r="6407" spans="5:7" x14ac:dyDescent="0.25">
      <c r="E6407" s="27"/>
      <c r="F6407" s="27"/>
      <c r="G6407" s="7"/>
    </row>
    <row r="6408" spans="5:7" x14ac:dyDescent="0.25">
      <c r="E6408" s="27"/>
      <c r="F6408" s="27"/>
      <c r="G6408" s="7"/>
    </row>
    <row r="6409" spans="5:7" x14ac:dyDescent="0.25">
      <c r="E6409" s="27"/>
      <c r="F6409" s="27"/>
      <c r="G6409" s="7"/>
    </row>
    <row r="6410" spans="5:7" x14ac:dyDescent="0.25">
      <c r="E6410" s="27"/>
      <c r="F6410" s="27"/>
      <c r="G6410" s="7"/>
    </row>
    <row r="6411" spans="5:7" x14ac:dyDescent="0.25">
      <c r="E6411" s="27"/>
      <c r="F6411" s="27"/>
      <c r="G6411" s="7"/>
    </row>
    <row r="6412" spans="5:7" x14ac:dyDescent="0.25">
      <c r="E6412" s="27"/>
      <c r="F6412" s="27"/>
      <c r="G6412" s="7"/>
    </row>
    <row r="6413" spans="5:7" x14ac:dyDescent="0.25">
      <c r="E6413" s="27"/>
      <c r="F6413" s="27"/>
      <c r="G6413" s="7"/>
    </row>
    <row r="6414" spans="5:7" x14ac:dyDescent="0.25">
      <c r="E6414" s="27"/>
      <c r="F6414" s="27"/>
      <c r="G6414" s="7"/>
    </row>
    <row r="6415" spans="5:7" x14ac:dyDescent="0.25">
      <c r="E6415" s="27"/>
      <c r="F6415" s="27"/>
      <c r="G6415" s="7"/>
    </row>
    <row r="6416" spans="5:7" x14ac:dyDescent="0.25">
      <c r="E6416" s="27"/>
      <c r="F6416" s="27"/>
      <c r="G6416" s="7"/>
    </row>
    <row r="6417" spans="5:7" x14ac:dyDescent="0.25">
      <c r="E6417" s="27"/>
      <c r="F6417" s="27"/>
      <c r="G6417" s="7"/>
    </row>
    <row r="6418" spans="5:7" x14ac:dyDescent="0.25">
      <c r="E6418" s="27"/>
      <c r="F6418" s="27"/>
      <c r="G6418" s="7"/>
    </row>
    <row r="6419" spans="5:7" x14ac:dyDescent="0.25">
      <c r="E6419" s="27"/>
      <c r="F6419" s="27"/>
      <c r="G6419" s="7"/>
    </row>
    <row r="6420" spans="5:7" x14ac:dyDescent="0.25">
      <c r="E6420" s="27"/>
      <c r="F6420" s="27"/>
      <c r="G6420" s="7"/>
    </row>
    <row r="6421" spans="5:7" x14ac:dyDescent="0.25">
      <c r="E6421" s="27"/>
      <c r="F6421" s="27"/>
      <c r="G6421" s="7"/>
    </row>
    <row r="6422" spans="5:7" x14ac:dyDescent="0.25">
      <c r="E6422" s="27"/>
      <c r="F6422" s="27"/>
      <c r="G6422" s="7"/>
    </row>
    <row r="6423" spans="5:7" x14ac:dyDescent="0.25">
      <c r="E6423" s="27"/>
      <c r="F6423" s="27"/>
      <c r="G6423" s="7"/>
    </row>
    <row r="6424" spans="5:7" x14ac:dyDescent="0.25">
      <c r="E6424" s="27"/>
      <c r="F6424" s="27"/>
      <c r="G6424" s="7"/>
    </row>
    <row r="6425" spans="5:7" x14ac:dyDescent="0.25">
      <c r="E6425" s="27"/>
      <c r="F6425" s="27"/>
      <c r="G6425" s="7"/>
    </row>
    <row r="6426" spans="5:7" x14ac:dyDescent="0.25">
      <c r="E6426" s="27"/>
      <c r="F6426" s="27"/>
      <c r="G6426" s="7"/>
    </row>
    <row r="6427" spans="5:7" x14ac:dyDescent="0.25">
      <c r="E6427" s="27"/>
      <c r="F6427" s="27"/>
      <c r="G6427" s="7"/>
    </row>
    <row r="6428" spans="5:7" x14ac:dyDescent="0.25">
      <c r="E6428" s="27"/>
      <c r="F6428" s="27"/>
      <c r="G6428" s="7"/>
    </row>
    <row r="6429" spans="5:7" x14ac:dyDescent="0.25">
      <c r="E6429" s="27"/>
      <c r="F6429" s="27"/>
      <c r="G6429" s="7"/>
    </row>
    <row r="6430" spans="5:7" x14ac:dyDescent="0.25">
      <c r="E6430" s="27"/>
      <c r="F6430" s="27"/>
      <c r="G6430" s="7"/>
    </row>
    <row r="6431" spans="5:7" x14ac:dyDescent="0.25">
      <c r="E6431" s="27"/>
      <c r="F6431" s="27"/>
      <c r="G6431" s="7"/>
    </row>
    <row r="6432" spans="5:7" x14ac:dyDescent="0.25">
      <c r="E6432" s="27"/>
      <c r="F6432" s="27"/>
      <c r="G6432" s="7"/>
    </row>
    <row r="6433" spans="5:7" x14ac:dyDescent="0.25">
      <c r="E6433" s="27"/>
      <c r="F6433" s="27"/>
      <c r="G6433" s="7"/>
    </row>
    <row r="6434" spans="5:7" x14ac:dyDescent="0.25">
      <c r="E6434" s="27"/>
      <c r="F6434" s="27"/>
      <c r="G6434" s="7"/>
    </row>
    <row r="6435" spans="5:7" x14ac:dyDescent="0.25">
      <c r="E6435" s="27"/>
      <c r="F6435" s="27"/>
      <c r="G6435" s="7"/>
    </row>
    <row r="6436" spans="5:7" x14ac:dyDescent="0.25">
      <c r="E6436" s="27"/>
      <c r="F6436" s="27"/>
      <c r="G6436" s="7"/>
    </row>
    <row r="6437" spans="5:7" x14ac:dyDescent="0.25">
      <c r="E6437" s="27"/>
      <c r="F6437" s="27"/>
      <c r="G6437" s="7"/>
    </row>
    <row r="6438" spans="5:7" x14ac:dyDescent="0.25">
      <c r="E6438" s="27"/>
      <c r="F6438" s="27"/>
      <c r="G6438" s="7"/>
    </row>
    <row r="6439" spans="5:7" x14ac:dyDescent="0.25">
      <c r="E6439" s="27"/>
      <c r="F6439" s="27"/>
      <c r="G6439" s="7"/>
    </row>
    <row r="6440" spans="5:7" x14ac:dyDescent="0.25">
      <c r="E6440" s="27"/>
      <c r="F6440" s="27"/>
      <c r="G6440" s="7"/>
    </row>
    <row r="6441" spans="5:7" x14ac:dyDescent="0.25">
      <c r="E6441" s="27"/>
      <c r="F6441" s="27"/>
      <c r="G6441" s="7"/>
    </row>
    <row r="6442" spans="5:7" x14ac:dyDescent="0.25">
      <c r="E6442" s="27"/>
      <c r="F6442" s="27"/>
      <c r="G6442" s="7"/>
    </row>
    <row r="6443" spans="5:7" x14ac:dyDescent="0.25">
      <c r="E6443" s="27"/>
      <c r="F6443" s="27"/>
      <c r="G6443" s="7"/>
    </row>
    <row r="6444" spans="5:7" x14ac:dyDescent="0.25">
      <c r="E6444" s="27"/>
      <c r="F6444" s="27"/>
      <c r="G6444" s="7"/>
    </row>
    <row r="6445" spans="5:7" x14ac:dyDescent="0.25">
      <c r="E6445" s="27"/>
      <c r="F6445" s="27"/>
      <c r="G6445" s="7"/>
    </row>
    <row r="6446" spans="5:7" x14ac:dyDescent="0.25">
      <c r="E6446" s="27"/>
      <c r="F6446" s="27"/>
      <c r="G6446" s="7"/>
    </row>
    <row r="6447" spans="5:7" x14ac:dyDescent="0.25">
      <c r="E6447" s="27"/>
      <c r="F6447" s="27"/>
      <c r="G6447" s="7"/>
    </row>
    <row r="6448" spans="5:7" x14ac:dyDescent="0.25">
      <c r="E6448" s="27"/>
      <c r="F6448" s="27"/>
      <c r="G6448" s="7"/>
    </row>
    <row r="6449" spans="5:7" x14ac:dyDescent="0.25">
      <c r="E6449" s="27"/>
      <c r="F6449" s="27"/>
      <c r="G6449" s="7"/>
    </row>
    <row r="6450" spans="5:7" x14ac:dyDescent="0.25">
      <c r="E6450" s="27"/>
      <c r="F6450" s="27"/>
      <c r="G6450" s="7"/>
    </row>
    <row r="6451" spans="5:7" x14ac:dyDescent="0.25">
      <c r="E6451" s="27"/>
      <c r="F6451" s="27"/>
      <c r="G6451" s="7"/>
    </row>
    <row r="6452" spans="5:7" x14ac:dyDescent="0.25">
      <c r="E6452" s="27"/>
      <c r="F6452" s="27"/>
      <c r="G6452" s="7"/>
    </row>
    <row r="6453" spans="5:7" x14ac:dyDescent="0.25">
      <c r="E6453" s="27"/>
      <c r="F6453" s="27"/>
      <c r="G6453" s="7"/>
    </row>
    <row r="6454" spans="5:7" x14ac:dyDescent="0.25">
      <c r="E6454" s="27"/>
      <c r="F6454" s="27"/>
      <c r="G6454" s="7"/>
    </row>
    <row r="6455" spans="5:7" x14ac:dyDescent="0.25">
      <c r="E6455" s="27"/>
      <c r="F6455" s="27"/>
      <c r="G6455" s="7"/>
    </row>
    <row r="6456" spans="5:7" x14ac:dyDescent="0.25">
      <c r="E6456" s="27"/>
      <c r="F6456" s="27"/>
      <c r="G6456" s="7"/>
    </row>
    <row r="6457" spans="5:7" x14ac:dyDescent="0.25">
      <c r="E6457" s="27"/>
      <c r="F6457" s="27"/>
      <c r="G6457" s="7"/>
    </row>
    <row r="6458" spans="5:7" x14ac:dyDescent="0.25">
      <c r="E6458" s="27"/>
      <c r="F6458" s="27"/>
      <c r="G6458" s="7"/>
    </row>
    <row r="6459" spans="5:7" x14ac:dyDescent="0.25">
      <c r="E6459" s="27"/>
      <c r="F6459" s="27"/>
      <c r="G6459" s="7"/>
    </row>
    <row r="6460" spans="5:7" x14ac:dyDescent="0.25">
      <c r="E6460" s="27"/>
      <c r="F6460" s="27"/>
      <c r="G6460" s="7"/>
    </row>
    <row r="6461" spans="5:7" x14ac:dyDescent="0.25">
      <c r="E6461" s="27"/>
      <c r="F6461" s="27"/>
      <c r="G6461" s="7"/>
    </row>
    <row r="6462" spans="5:7" x14ac:dyDescent="0.25">
      <c r="E6462" s="27"/>
      <c r="F6462" s="27"/>
      <c r="G6462" s="7"/>
    </row>
    <row r="6463" spans="5:7" x14ac:dyDescent="0.25">
      <c r="E6463" s="27"/>
      <c r="F6463" s="27"/>
      <c r="G6463" s="7"/>
    </row>
    <row r="6464" spans="5:7" x14ac:dyDescent="0.25">
      <c r="E6464" s="27"/>
      <c r="F6464" s="27"/>
      <c r="G6464" s="7"/>
    </row>
    <row r="6465" spans="5:7" x14ac:dyDescent="0.25">
      <c r="E6465" s="27"/>
      <c r="F6465" s="27"/>
      <c r="G6465" s="7"/>
    </row>
    <row r="6466" spans="5:7" x14ac:dyDescent="0.25">
      <c r="E6466" s="27"/>
      <c r="F6466" s="27"/>
      <c r="G6466" s="7"/>
    </row>
    <row r="6467" spans="5:7" x14ac:dyDescent="0.25">
      <c r="E6467" s="27"/>
      <c r="F6467" s="27"/>
      <c r="G6467" s="7"/>
    </row>
    <row r="6468" spans="5:7" x14ac:dyDescent="0.25">
      <c r="E6468" s="27"/>
      <c r="F6468" s="27"/>
      <c r="G6468" s="7"/>
    </row>
    <row r="6469" spans="5:7" x14ac:dyDescent="0.25">
      <c r="E6469" s="27"/>
      <c r="F6469" s="27"/>
      <c r="G6469" s="7"/>
    </row>
    <row r="6470" spans="5:7" x14ac:dyDescent="0.25">
      <c r="E6470" s="27"/>
      <c r="F6470" s="27"/>
      <c r="G6470" s="7"/>
    </row>
    <row r="6471" spans="5:7" x14ac:dyDescent="0.25">
      <c r="E6471" s="27"/>
      <c r="F6471" s="27"/>
      <c r="G6471" s="7"/>
    </row>
    <row r="6472" spans="5:7" x14ac:dyDescent="0.25">
      <c r="E6472" s="27"/>
      <c r="F6472" s="27"/>
      <c r="G6472" s="7"/>
    </row>
    <row r="6473" spans="5:7" x14ac:dyDescent="0.25">
      <c r="E6473" s="27"/>
      <c r="F6473" s="27"/>
      <c r="G6473" s="7"/>
    </row>
    <row r="6474" spans="5:7" x14ac:dyDescent="0.25">
      <c r="E6474" s="27"/>
      <c r="F6474" s="27"/>
      <c r="G6474" s="7"/>
    </row>
    <row r="6475" spans="5:7" x14ac:dyDescent="0.25">
      <c r="E6475" s="27"/>
      <c r="F6475" s="27"/>
      <c r="G6475" s="7"/>
    </row>
    <row r="6476" spans="5:7" x14ac:dyDescent="0.25">
      <c r="E6476" s="27"/>
      <c r="F6476" s="27"/>
      <c r="G6476" s="7"/>
    </row>
    <row r="6477" spans="5:7" x14ac:dyDescent="0.25">
      <c r="E6477" s="27"/>
      <c r="F6477" s="27"/>
      <c r="G6477" s="7"/>
    </row>
    <row r="6478" spans="5:7" x14ac:dyDescent="0.25">
      <c r="E6478" s="27"/>
      <c r="F6478" s="27"/>
      <c r="G6478" s="7"/>
    </row>
    <row r="6479" spans="5:7" x14ac:dyDescent="0.25">
      <c r="E6479" s="27"/>
      <c r="F6479" s="27"/>
      <c r="G6479" s="7"/>
    </row>
    <row r="6480" spans="5:7" x14ac:dyDescent="0.25">
      <c r="E6480" s="27"/>
      <c r="F6480" s="27"/>
      <c r="G6480" s="7"/>
    </row>
    <row r="6481" spans="5:7" x14ac:dyDescent="0.25">
      <c r="E6481" s="27"/>
      <c r="F6481" s="27"/>
      <c r="G6481" s="7"/>
    </row>
    <row r="6482" spans="5:7" x14ac:dyDescent="0.25">
      <c r="E6482" s="27"/>
      <c r="F6482" s="27"/>
      <c r="G6482" s="7"/>
    </row>
    <row r="6483" spans="5:7" x14ac:dyDescent="0.25">
      <c r="E6483" s="27"/>
      <c r="F6483" s="27"/>
      <c r="G6483" s="7"/>
    </row>
    <row r="6484" spans="5:7" x14ac:dyDescent="0.25">
      <c r="E6484" s="27"/>
      <c r="F6484" s="27"/>
      <c r="G6484" s="7"/>
    </row>
    <row r="6485" spans="5:7" x14ac:dyDescent="0.25">
      <c r="E6485" s="27"/>
      <c r="F6485" s="27"/>
      <c r="G6485" s="7"/>
    </row>
    <row r="6486" spans="5:7" x14ac:dyDescent="0.25">
      <c r="E6486" s="27"/>
      <c r="F6486" s="27"/>
      <c r="G6486" s="7"/>
    </row>
    <row r="6487" spans="5:7" x14ac:dyDescent="0.25">
      <c r="E6487" s="27"/>
      <c r="F6487" s="27"/>
      <c r="G6487" s="7"/>
    </row>
    <row r="6488" spans="5:7" x14ac:dyDescent="0.25">
      <c r="E6488" s="27"/>
      <c r="F6488" s="27"/>
      <c r="G6488" s="7"/>
    </row>
    <row r="6489" spans="5:7" x14ac:dyDescent="0.25">
      <c r="E6489" s="27"/>
      <c r="F6489" s="27"/>
      <c r="G6489" s="7"/>
    </row>
    <row r="6490" spans="5:7" x14ac:dyDescent="0.25">
      <c r="E6490" s="27"/>
      <c r="F6490" s="27"/>
      <c r="G6490" s="7"/>
    </row>
    <row r="6491" spans="5:7" x14ac:dyDescent="0.25">
      <c r="E6491" s="27"/>
      <c r="F6491" s="27"/>
      <c r="G6491" s="7"/>
    </row>
    <row r="6492" spans="5:7" x14ac:dyDescent="0.25">
      <c r="E6492" s="27"/>
      <c r="F6492" s="27"/>
      <c r="G6492" s="7"/>
    </row>
    <row r="6493" spans="5:7" x14ac:dyDescent="0.25">
      <c r="E6493" s="27"/>
      <c r="F6493" s="27"/>
      <c r="G6493" s="7"/>
    </row>
    <row r="6494" spans="5:7" x14ac:dyDescent="0.25">
      <c r="E6494" s="27"/>
      <c r="F6494" s="27"/>
      <c r="G6494" s="7"/>
    </row>
    <row r="6495" spans="5:7" x14ac:dyDescent="0.25">
      <c r="E6495" s="27"/>
      <c r="F6495" s="27"/>
      <c r="G6495" s="7"/>
    </row>
    <row r="6496" spans="5:7" x14ac:dyDescent="0.25">
      <c r="E6496" s="27"/>
      <c r="F6496" s="27"/>
      <c r="G6496" s="7"/>
    </row>
    <row r="6497" spans="5:7" x14ac:dyDescent="0.25">
      <c r="E6497" s="27"/>
      <c r="F6497" s="27"/>
      <c r="G6497" s="7"/>
    </row>
    <row r="6498" spans="5:7" x14ac:dyDescent="0.25">
      <c r="E6498" s="27"/>
      <c r="F6498" s="27"/>
      <c r="G6498" s="7"/>
    </row>
    <row r="6499" spans="5:7" x14ac:dyDescent="0.25">
      <c r="E6499" s="27"/>
      <c r="F6499" s="27"/>
      <c r="G6499" s="7"/>
    </row>
    <row r="6500" spans="5:7" x14ac:dyDescent="0.25">
      <c r="E6500" s="27"/>
      <c r="F6500" s="27"/>
      <c r="G6500" s="7"/>
    </row>
    <row r="6501" spans="5:7" x14ac:dyDescent="0.25">
      <c r="E6501" s="27"/>
      <c r="F6501" s="27"/>
      <c r="G6501" s="7"/>
    </row>
    <row r="6502" spans="5:7" x14ac:dyDescent="0.25">
      <c r="E6502" s="27"/>
      <c r="F6502" s="27"/>
      <c r="G6502" s="7"/>
    </row>
    <row r="6503" spans="5:7" x14ac:dyDescent="0.25">
      <c r="E6503" s="27"/>
      <c r="F6503" s="27"/>
      <c r="G6503" s="7"/>
    </row>
    <row r="6504" spans="5:7" x14ac:dyDescent="0.25">
      <c r="E6504" s="27"/>
      <c r="F6504" s="27"/>
      <c r="G6504" s="7"/>
    </row>
    <row r="6505" spans="5:7" x14ac:dyDescent="0.25">
      <c r="E6505" s="27"/>
      <c r="F6505" s="27"/>
      <c r="G6505" s="7"/>
    </row>
    <row r="6506" spans="5:7" x14ac:dyDescent="0.25">
      <c r="E6506" s="27"/>
      <c r="F6506" s="27"/>
      <c r="G6506" s="7"/>
    </row>
    <row r="6507" spans="5:7" x14ac:dyDescent="0.25">
      <c r="E6507" s="27"/>
      <c r="F6507" s="27"/>
      <c r="G6507" s="7"/>
    </row>
    <row r="6508" spans="5:7" x14ac:dyDescent="0.25">
      <c r="E6508" s="27"/>
      <c r="F6508" s="27"/>
      <c r="G6508" s="7"/>
    </row>
    <row r="6509" spans="5:7" x14ac:dyDescent="0.25">
      <c r="E6509" s="27"/>
      <c r="F6509" s="27"/>
      <c r="G6509" s="7"/>
    </row>
    <row r="6510" spans="5:7" x14ac:dyDescent="0.25">
      <c r="E6510" s="27"/>
      <c r="F6510" s="27"/>
      <c r="G6510" s="7"/>
    </row>
    <row r="6511" spans="5:7" x14ac:dyDescent="0.25">
      <c r="E6511" s="27"/>
      <c r="F6511" s="27"/>
      <c r="G6511" s="7"/>
    </row>
    <row r="6512" spans="5:7" x14ac:dyDescent="0.25">
      <c r="E6512" s="27"/>
      <c r="F6512" s="27"/>
      <c r="G6512" s="7"/>
    </row>
    <row r="6513" spans="5:7" x14ac:dyDescent="0.25">
      <c r="E6513" s="27"/>
      <c r="F6513" s="27"/>
      <c r="G6513" s="7"/>
    </row>
    <row r="6514" spans="5:7" x14ac:dyDescent="0.25">
      <c r="E6514" s="27"/>
      <c r="F6514" s="27"/>
      <c r="G6514" s="7"/>
    </row>
    <row r="6515" spans="5:7" x14ac:dyDescent="0.25">
      <c r="E6515" s="27"/>
      <c r="F6515" s="27"/>
      <c r="G6515" s="7"/>
    </row>
    <row r="6516" spans="5:7" x14ac:dyDescent="0.25">
      <c r="E6516" s="27"/>
      <c r="F6516" s="27"/>
      <c r="G6516" s="7"/>
    </row>
    <row r="6517" spans="5:7" x14ac:dyDescent="0.25">
      <c r="E6517" s="27"/>
      <c r="F6517" s="27"/>
      <c r="G6517" s="7"/>
    </row>
    <row r="6518" spans="5:7" x14ac:dyDescent="0.25">
      <c r="E6518" s="27"/>
      <c r="F6518" s="27"/>
      <c r="G6518" s="7"/>
    </row>
    <row r="6519" spans="5:7" x14ac:dyDescent="0.25">
      <c r="E6519" s="27"/>
      <c r="F6519" s="27"/>
      <c r="G6519" s="7"/>
    </row>
    <row r="6520" spans="5:7" x14ac:dyDescent="0.25">
      <c r="E6520" s="27"/>
      <c r="F6520" s="27"/>
      <c r="G6520" s="7"/>
    </row>
    <row r="6521" spans="5:7" x14ac:dyDescent="0.25">
      <c r="E6521" s="27"/>
      <c r="F6521" s="27"/>
      <c r="G6521" s="7"/>
    </row>
    <row r="6522" spans="5:7" x14ac:dyDescent="0.25">
      <c r="E6522" s="27"/>
      <c r="F6522" s="27"/>
      <c r="G6522" s="7"/>
    </row>
    <row r="6523" spans="5:7" x14ac:dyDescent="0.25">
      <c r="E6523" s="27"/>
      <c r="F6523" s="27"/>
      <c r="G6523" s="7"/>
    </row>
    <row r="6524" spans="5:7" x14ac:dyDescent="0.25">
      <c r="E6524" s="27"/>
      <c r="F6524" s="27"/>
      <c r="G6524" s="7"/>
    </row>
    <row r="6525" spans="5:7" x14ac:dyDescent="0.25">
      <c r="E6525" s="27"/>
      <c r="F6525" s="27"/>
      <c r="G6525" s="7"/>
    </row>
    <row r="6526" spans="5:7" x14ac:dyDescent="0.25">
      <c r="E6526" s="27"/>
      <c r="F6526" s="27"/>
      <c r="G6526" s="7"/>
    </row>
    <row r="6527" spans="5:7" x14ac:dyDescent="0.25">
      <c r="E6527" s="27"/>
      <c r="F6527" s="27"/>
      <c r="G6527" s="7"/>
    </row>
    <row r="6528" spans="5:7" x14ac:dyDescent="0.25">
      <c r="E6528" s="27"/>
      <c r="F6528" s="27"/>
      <c r="G6528" s="7"/>
    </row>
    <row r="6529" spans="5:7" x14ac:dyDescent="0.25">
      <c r="E6529" s="27"/>
      <c r="F6529" s="27"/>
      <c r="G6529" s="7"/>
    </row>
    <row r="6530" spans="5:7" x14ac:dyDescent="0.25">
      <c r="E6530" s="27"/>
      <c r="F6530" s="27"/>
      <c r="G6530" s="7"/>
    </row>
    <row r="6531" spans="5:7" x14ac:dyDescent="0.25">
      <c r="E6531" s="27"/>
      <c r="F6531" s="27"/>
      <c r="G6531" s="7"/>
    </row>
    <row r="6532" spans="5:7" x14ac:dyDescent="0.25">
      <c r="E6532" s="27"/>
      <c r="F6532" s="27"/>
      <c r="G6532" s="7"/>
    </row>
    <row r="6533" spans="5:7" x14ac:dyDescent="0.25">
      <c r="E6533" s="27"/>
      <c r="F6533" s="27"/>
      <c r="G6533" s="7"/>
    </row>
    <row r="6534" spans="5:7" x14ac:dyDescent="0.25">
      <c r="E6534" s="27"/>
      <c r="F6534" s="27"/>
      <c r="G6534" s="7"/>
    </row>
    <row r="6535" spans="5:7" x14ac:dyDescent="0.25">
      <c r="E6535" s="27"/>
      <c r="F6535" s="27"/>
      <c r="G6535" s="7"/>
    </row>
    <row r="6536" spans="5:7" x14ac:dyDescent="0.25">
      <c r="E6536" s="27"/>
      <c r="F6536" s="27"/>
      <c r="G6536" s="7"/>
    </row>
    <row r="6537" spans="5:7" x14ac:dyDescent="0.25">
      <c r="E6537" s="27"/>
      <c r="F6537" s="27"/>
      <c r="G6537" s="7"/>
    </row>
    <row r="6538" spans="5:7" x14ac:dyDescent="0.25">
      <c r="E6538" s="27"/>
      <c r="F6538" s="27"/>
      <c r="G6538" s="7"/>
    </row>
    <row r="6539" spans="5:7" x14ac:dyDescent="0.25">
      <c r="E6539" s="27"/>
      <c r="F6539" s="27"/>
      <c r="G6539" s="7"/>
    </row>
    <row r="6540" spans="5:7" x14ac:dyDescent="0.25">
      <c r="E6540" s="27"/>
      <c r="F6540" s="27"/>
      <c r="G6540" s="7"/>
    </row>
    <row r="6541" spans="5:7" x14ac:dyDescent="0.25">
      <c r="E6541" s="27"/>
      <c r="F6541" s="27"/>
      <c r="G6541" s="7"/>
    </row>
    <row r="6542" spans="5:7" x14ac:dyDescent="0.25">
      <c r="E6542" s="27"/>
      <c r="F6542" s="27"/>
      <c r="G6542" s="7"/>
    </row>
    <row r="6543" spans="5:7" x14ac:dyDescent="0.25">
      <c r="E6543" s="27"/>
      <c r="F6543" s="27"/>
      <c r="G6543" s="7"/>
    </row>
    <row r="6544" spans="5:7" x14ac:dyDescent="0.25">
      <c r="E6544" s="27"/>
      <c r="F6544" s="27"/>
      <c r="G6544" s="7"/>
    </row>
    <row r="6545" spans="5:7" x14ac:dyDescent="0.25">
      <c r="E6545" s="27"/>
      <c r="F6545" s="27"/>
      <c r="G6545" s="7"/>
    </row>
    <row r="6546" spans="5:7" x14ac:dyDescent="0.25">
      <c r="E6546" s="27"/>
      <c r="F6546" s="27"/>
      <c r="G6546" s="7"/>
    </row>
    <row r="6547" spans="5:7" x14ac:dyDescent="0.25">
      <c r="E6547" s="27"/>
      <c r="F6547" s="27"/>
      <c r="G6547" s="7"/>
    </row>
    <row r="6548" spans="5:7" x14ac:dyDescent="0.25">
      <c r="E6548" s="27"/>
      <c r="F6548" s="27"/>
      <c r="G6548" s="7"/>
    </row>
    <row r="6549" spans="5:7" x14ac:dyDescent="0.25">
      <c r="E6549" s="27"/>
      <c r="F6549" s="27"/>
      <c r="G6549" s="7"/>
    </row>
    <row r="6550" spans="5:7" x14ac:dyDescent="0.25">
      <c r="E6550" s="27"/>
      <c r="F6550" s="27"/>
      <c r="G6550" s="7"/>
    </row>
    <row r="6551" spans="5:7" x14ac:dyDescent="0.25">
      <c r="E6551" s="27"/>
      <c r="F6551" s="27"/>
      <c r="G6551" s="7"/>
    </row>
    <row r="6552" spans="5:7" x14ac:dyDescent="0.25">
      <c r="E6552" s="27"/>
      <c r="F6552" s="27"/>
      <c r="G6552" s="7"/>
    </row>
    <row r="6553" spans="5:7" x14ac:dyDescent="0.25">
      <c r="E6553" s="27"/>
      <c r="F6553" s="27"/>
      <c r="G6553" s="7"/>
    </row>
    <row r="6554" spans="5:7" x14ac:dyDescent="0.25">
      <c r="E6554" s="27"/>
      <c r="F6554" s="27"/>
      <c r="G6554" s="7"/>
    </row>
    <row r="6555" spans="5:7" x14ac:dyDescent="0.25">
      <c r="E6555" s="27"/>
      <c r="F6555" s="27"/>
      <c r="G6555" s="7"/>
    </row>
    <row r="6556" spans="5:7" x14ac:dyDescent="0.25">
      <c r="E6556" s="27"/>
      <c r="F6556" s="27"/>
      <c r="G6556" s="7"/>
    </row>
    <row r="6557" spans="5:7" x14ac:dyDescent="0.25">
      <c r="E6557" s="27"/>
      <c r="F6557" s="27"/>
      <c r="G6557" s="7"/>
    </row>
    <row r="6558" spans="5:7" x14ac:dyDescent="0.25">
      <c r="E6558" s="27"/>
      <c r="F6558" s="27"/>
      <c r="G6558" s="7"/>
    </row>
    <row r="6559" spans="5:7" x14ac:dyDescent="0.25">
      <c r="E6559" s="27"/>
      <c r="F6559" s="27"/>
      <c r="G6559" s="7"/>
    </row>
    <row r="6560" spans="5:7" x14ac:dyDescent="0.25">
      <c r="E6560" s="27"/>
      <c r="F6560" s="27"/>
      <c r="G6560" s="7"/>
    </row>
    <row r="6561" spans="5:7" x14ac:dyDescent="0.25">
      <c r="E6561" s="27"/>
      <c r="F6561" s="27"/>
      <c r="G6561" s="7"/>
    </row>
    <row r="6562" spans="5:7" x14ac:dyDescent="0.25">
      <c r="E6562" s="27"/>
      <c r="F6562" s="27"/>
      <c r="G6562" s="7"/>
    </row>
    <row r="6563" spans="5:7" x14ac:dyDescent="0.25">
      <c r="E6563" s="27"/>
      <c r="F6563" s="27"/>
      <c r="G6563" s="7"/>
    </row>
    <row r="6564" spans="5:7" x14ac:dyDescent="0.25">
      <c r="E6564" s="27"/>
      <c r="F6564" s="27"/>
      <c r="G6564" s="7"/>
    </row>
    <row r="6565" spans="5:7" x14ac:dyDescent="0.25">
      <c r="E6565" s="27"/>
      <c r="F6565" s="27"/>
      <c r="G6565" s="7"/>
    </row>
    <row r="6566" spans="5:7" x14ac:dyDescent="0.25">
      <c r="E6566" s="27"/>
      <c r="F6566" s="27"/>
      <c r="G6566" s="7"/>
    </row>
    <row r="6567" spans="5:7" x14ac:dyDescent="0.25">
      <c r="E6567" s="27"/>
      <c r="F6567" s="27"/>
      <c r="G6567" s="7"/>
    </row>
    <row r="6568" spans="5:7" x14ac:dyDescent="0.25">
      <c r="E6568" s="27"/>
      <c r="F6568" s="27"/>
      <c r="G6568" s="7"/>
    </row>
    <row r="6569" spans="5:7" x14ac:dyDescent="0.25">
      <c r="E6569" s="27"/>
      <c r="F6569" s="27"/>
      <c r="G6569" s="7"/>
    </row>
    <row r="6570" spans="5:7" x14ac:dyDescent="0.25">
      <c r="E6570" s="27"/>
      <c r="F6570" s="27"/>
      <c r="G6570" s="7"/>
    </row>
    <row r="6571" spans="5:7" x14ac:dyDescent="0.25">
      <c r="E6571" s="27"/>
      <c r="F6571" s="27"/>
      <c r="G6571" s="7"/>
    </row>
    <row r="6572" spans="5:7" x14ac:dyDescent="0.25">
      <c r="E6572" s="27"/>
      <c r="F6572" s="27"/>
      <c r="G6572" s="7"/>
    </row>
    <row r="6573" spans="5:7" x14ac:dyDescent="0.25">
      <c r="E6573" s="27"/>
      <c r="F6573" s="27"/>
      <c r="G6573" s="7"/>
    </row>
    <row r="6574" spans="5:7" x14ac:dyDescent="0.25">
      <c r="E6574" s="27"/>
      <c r="F6574" s="27"/>
      <c r="G6574" s="7"/>
    </row>
    <row r="6575" spans="5:7" x14ac:dyDescent="0.25">
      <c r="E6575" s="27"/>
      <c r="F6575" s="27"/>
      <c r="G6575" s="7"/>
    </row>
    <row r="6576" spans="5:7" x14ac:dyDescent="0.25">
      <c r="E6576" s="27"/>
      <c r="F6576" s="27"/>
      <c r="G6576" s="7"/>
    </row>
    <row r="6577" spans="5:7" x14ac:dyDescent="0.25">
      <c r="E6577" s="27"/>
      <c r="F6577" s="27"/>
      <c r="G6577" s="7"/>
    </row>
    <row r="6578" spans="5:7" x14ac:dyDescent="0.25">
      <c r="E6578" s="27"/>
      <c r="F6578" s="27"/>
      <c r="G6578" s="7"/>
    </row>
    <row r="6579" spans="5:7" x14ac:dyDescent="0.25">
      <c r="E6579" s="27"/>
      <c r="F6579" s="27"/>
      <c r="G6579" s="7"/>
    </row>
    <row r="6580" spans="5:7" x14ac:dyDescent="0.25">
      <c r="E6580" s="27"/>
      <c r="F6580" s="27"/>
      <c r="G6580" s="7"/>
    </row>
    <row r="6581" spans="5:7" x14ac:dyDescent="0.25">
      <c r="E6581" s="27"/>
      <c r="F6581" s="27"/>
      <c r="G6581" s="7"/>
    </row>
    <row r="6582" spans="5:7" x14ac:dyDescent="0.25">
      <c r="E6582" s="27"/>
      <c r="F6582" s="27"/>
      <c r="G6582" s="7"/>
    </row>
    <row r="6583" spans="5:7" x14ac:dyDescent="0.25">
      <c r="E6583" s="27"/>
      <c r="F6583" s="27"/>
      <c r="G6583" s="7"/>
    </row>
    <row r="6584" spans="5:7" x14ac:dyDescent="0.25">
      <c r="E6584" s="27"/>
      <c r="F6584" s="27"/>
      <c r="G6584" s="7"/>
    </row>
    <row r="6585" spans="5:7" x14ac:dyDescent="0.25">
      <c r="E6585" s="27"/>
      <c r="F6585" s="27"/>
      <c r="G6585" s="7"/>
    </row>
    <row r="6586" spans="5:7" x14ac:dyDescent="0.25">
      <c r="E6586" s="27"/>
      <c r="F6586" s="27"/>
      <c r="G6586" s="7"/>
    </row>
    <row r="6587" spans="5:7" x14ac:dyDescent="0.25">
      <c r="E6587" s="27"/>
      <c r="F6587" s="27"/>
      <c r="G6587" s="7"/>
    </row>
    <row r="6588" spans="5:7" x14ac:dyDescent="0.25">
      <c r="E6588" s="27"/>
      <c r="F6588" s="27"/>
      <c r="G6588" s="7"/>
    </row>
    <row r="6589" spans="5:7" x14ac:dyDescent="0.25">
      <c r="E6589" s="27"/>
      <c r="F6589" s="27"/>
      <c r="G6589" s="7"/>
    </row>
    <row r="6590" spans="5:7" x14ac:dyDescent="0.25">
      <c r="E6590" s="27"/>
      <c r="F6590" s="27"/>
      <c r="G6590" s="7"/>
    </row>
    <row r="6591" spans="5:7" x14ac:dyDescent="0.25">
      <c r="E6591" s="27"/>
      <c r="F6591" s="27"/>
      <c r="G6591" s="7"/>
    </row>
    <row r="6592" spans="5:7" x14ac:dyDescent="0.25">
      <c r="E6592" s="27"/>
      <c r="F6592" s="27"/>
      <c r="G6592" s="7"/>
    </row>
    <row r="6593" spans="5:7" x14ac:dyDescent="0.25">
      <c r="E6593" s="27"/>
      <c r="F6593" s="27"/>
      <c r="G6593" s="7"/>
    </row>
    <row r="6594" spans="5:7" x14ac:dyDescent="0.25">
      <c r="E6594" s="27"/>
      <c r="F6594" s="27"/>
      <c r="G6594" s="7"/>
    </row>
    <row r="6595" spans="5:7" x14ac:dyDescent="0.25">
      <c r="E6595" s="27"/>
      <c r="F6595" s="27"/>
      <c r="G6595" s="7"/>
    </row>
    <row r="6596" spans="5:7" x14ac:dyDescent="0.25">
      <c r="E6596" s="27"/>
      <c r="F6596" s="27"/>
      <c r="G6596" s="7"/>
    </row>
    <row r="6597" spans="5:7" x14ac:dyDescent="0.25">
      <c r="E6597" s="27"/>
      <c r="F6597" s="27"/>
      <c r="G6597" s="7"/>
    </row>
    <row r="6598" spans="5:7" x14ac:dyDescent="0.25">
      <c r="E6598" s="27"/>
      <c r="F6598" s="27"/>
      <c r="G6598" s="7"/>
    </row>
    <row r="6599" spans="5:7" x14ac:dyDescent="0.25">
      <c r="E6599" s="27"/>
      <c r="F6599" s="27"/>
      <c r="G6599" s="7"/>
    </row>
    <row r="6600" spans="5:7" x14ac:dyDescent="0.25">
      <c r="E6600" s="27"/>
      <c r="F6600" s="27"/>
      <c r="G6600" s="7"/>
    </row>
    <row r="6601" spans="5:7" x14ac:dyDescent="0.25">
      <c r="E6601" s="27"/>
      <c r="F6601" s="27"/>
      <c r="G6601" s="7"/>
    </row>
    <row r="6602" spans="5:7" x14ac:dyDescent="0.25">
      <c r="E6602" s="27"/>
      <c r="F6602" s="27"/>
      <c r="G6602" s="7"/>
    </row>
    <row r="6603" spans="5:7" x14ac:dyDescent="0.25">
      <c r="E6603" s="27"/>
      <c r="F6603" s="27"/>
      <c r="G6603" s="7"/>
    </row>
    <row r="6604" spans="5:7" x14ac:dyDescent="0.25">
      <c r="E6604" s="27"/>
      <c r="F6604" s="27"/>
      <c r="G6604" s="7"/>
    </row>
    <row r="6605" spans="5:7" x14ac:dyDescent="0.25">
      <c r="E6605" s="27"/>
      <c r="F6605" s="27"/>
      <c r="G6605" s="7"/>
    </row>
    <row r="6606" spans="5:7" x14ac:dyDescent="0.25">
      <c r="E6606" s="27"/>
      <c r="F6606" s="27"/>
      <c r="G6606" s="7"/>
    </row>
    <row r="6607" spans="5:7" x14ac:dyDescent="0.25">
      <c r="E6607" s="27"/>
      <c r="F6607" s="27"/>
      <c r="G6607" s="7"/>
    </row>
    <row r="6608" spans="5:7" x14ac:dyDescent="0.25">
      <c r="E6608" s="27"/>
      <c r="F6608" s="27"/>
      <c r="G6608" s="7"/>
    </row>
    <row r="6609" spans="5:7" x14ac:dyDescent="0.25">
      <c r="E6609" s="27"/>
      <c r="F6609" s="27"/>
      <c r="G6609" s="7"/>
    </row>
    <row r="6610" spans="5:7" x14ac:dyDescent="0.25">
      <c r="E6610" s="27"/>
      <c r="F6610" s="27"/>
      <c r="G6610" s="7"/>
    </row>
    <row r="6611" spans="5:7" x14ac:dyDescent="0.25">
      <c r="E6611" s="27"/>
      <c r="F6611" s="27"/>
      <c r="G6611" s="7"/>
    </row>
    <row r="6612" spans="5:7" x14ac:dyDescent="0.25">
      <c r="E6612" s="27"/>
      <c r="F6612" s="27"/>
      <c r="G6612" s="7"/>
    </row>
    <row r="6613" spans="5:7" x14ac:dyDescent="0.25">
      <c r="E6613" s="27"/>
      <c r="F6613" s="27"/>
      <c r="G6613" s="7"/>
    </row>
    <row r="6614" spans="5:7" x14ac:dyDescent="0.25">
      <c r="E6614" s="27"/>
      <c r="F6614" s="27"/>
      <c r="G6614" s="7"/>
    </row>
    <row r="6615" spans="5:7" x14ac:dyDescent="0.25">
      <c r="E6615" s="27"/>
      <c r="F6615" s="27"/>
      <c r="G6615" s="7"/>
    </row>
    <row r="6616" spans="5:7" x14ac:dyDescent="0.25">
      <c r="E6616" s="27"/>
      <c r="F6616" s="27"/>
      <c r="G6616" s="7"/>
    </row>
    <row r="6617" spans="5:7" x14ac:dyDescent="0.25">
      <c r="E6617" s="27"/>
      <c r="F6617" s="27"/>
      <c r="G6617" s="7"/>
    </row>
    <row r="6618" spans="5:7" x14ac:dyDescent="0.25">
      <c r="E6618" s="27"/>
      <c r="F6618" s="27"/>
      <c r="G6618" s="7"/>
    </row>
    <row r="6619" spans="5:7" x14ac:dyDescent="0.25">
      <c r="E6619" s="27"/>
      <c r="F6619" s="27"/>
      <c r="G6619" s="7"/>
    </row>
    <row r="6620" spans="5:7" x14ac:dyDescent="0.25">
      <c r="E6620" s="27"/>
      <c r="F6620" s="27"/>
      <c r="G6620" s="7"/>
    </row>
    <row r="6621" spans="5:7" x14ac:dyDescent="0.25">
      <c r="E6621" s="27"/>
      <c r="F6621" s="27"/>
      <c r="G6621" s="7"/>
    </row>
    <row r="6622" spans="5:7" x14ac:dyDescent="0.25">
      <c r="E6622" s="27"/>
      <c r="F6622" s="27"/>
      <c r="G6622" s="7"/>
    </row>
    <row r="6623" spans="5:7" x14ac:dyDescent="0.25">
      <c r="E6623" s="27"/>
      <c r="F6623" s="27"/>
      <c r="G6623" s="7"/>
    </row>
    <row r="6624" spans="5:7" x14ac:dyDescent="0.25">
      <c r="E6624" s="27"/>
      <c r="F6624" s="27"/>
      <c r="G6624" s="7"/>
    </row>
    <row r="6625" spans="5:7" x14ac:dyDescent="0.25">
      <c r="E6625" s="27"/>
      <c r="F6625" s="27"/>
      <c r="G6625" s="7"/>
    </row>
    <row r="6626" spans="5:7" x14ac:dyDescent="0.25">
      <c r="E6626" s="27"/>
      <c r="F6626" s="27"/>
      <c r="G6626" s="7"/>
    </row>
    <row r="6627" spans="5:7" x14ac:dyDescent="0.25">
      <c r="E6627" s="27"/>
      <c r="F6627" s="27"/>
      <c r="G6627" s="7"/>
    </row>
    <row r="6628" spans="5:7" x14ac:dyDescent="0.25">
      <c r="E6628" s="27"/>
      <c r="F6628" s="27"/>
      <c r="G6628" s="7"/>
    </row>
    <row r="6629" spans="5:7" x14ac:dyDescent="0.25">
      <c r="E6629" s="27"/>
      <c r="F6629" s="27"/>
      <c r="G6629" s="7"/>
    </row>
    <row r="6630" spans="5:7" x14ac:dyDescent="0.25">
      <c r="E6630" s="27"/>
      <c r="F6630" s="27"/>
      <c r="G6630" s="7"/>
    </row>
    <row r="6631" spans="5:7" x14ac:dyDescent="0.25">
      <c r="E6631" s="27"/>
      <c r="F6631" s="27"/>
      <c r="G6631" s="7"/>
    </row>
    <row r="6632" spans="5:7" x14ac:dyDescent="0.25">
      <c r="E6632" s="27"/>
      <c r="F6632" s="27"/>
      <c r="G6632" s="7"/>
    </row>
    <row r="6633" spans="5:7" x14ac:dyDescent="0.25">
      <c r="E6633" s="27"/>
      <c r="F6633" s="27"/>
      <c r="G6633" s="7"/>
    </row>
    <row r="6634" spans="5:7" x14ac:dyDescent="0.25">
      <c r="E6634" s="27"/>
      <c r="F6634" s="27"/>
      <c r="G6634" s="7"/>
    </row>
    <row r="6635" spans="5:7" x14ac:dyDescent="0.25">
      <c r="E6635" s="27"/>
      <c r="F6635" s="27"/>
      <c r="G6635" s="7"/>
    </row>
    <row r="6636" spans="5:7" x14ac:dyDescent="0.25">
      <c r="E6636" s="27"/>
      <c r="F6636" s="27"/>
      <c r="G6636" s="7"/>
    </row>
    <row r="6637" spans="5:7" x14ac:dyDescent="0.25">
      <c r="E6637" s="27"/>
      <c r="F6637" s="27"/>
      <c r="G6637" s="7"/>
    </row>
    <row r="6638" spans="5:7" x14ac:dyDescent="0.25">
      <c r="E6638" s="27"/>
      <c r="F6638" s="27"/>
      <c r="G6638" s="7"/>
    </row>
    <row r="6639" spans="5:7" x14ac:dyDescent="0.25">
      <c r="E6639" s="27"/>
      <c r="F6639" s="27"/>
      <c r="G6639" s="7"/>
    </row>
    <row r="6640" spans="5:7" x14ac:dyDescent="0.25">
      <c r="E6640" s="27"/>
      <c r="F6640" s="27"/>
      <c r="G6640" s="7"/>
    </row>
    <row r="6641" spans="5:7" x14ac:dyDescent="0.25">
      <c r="E6641" s="27"/>
      <c r="F6641" s="27"/>
      <c r="G6641" s="7"/>
    </row>
    <row r="6642" spans="5:7" x14ac:dyDescent="0.25">
      <c r="E6642" s="27"/>
      <c r="F6642" s="27"/>
      <c r="G6642" s="7"/>
    </row>
    <row r="6643" spans="5:7" x14ac:dyDescent="0.25">
      <c r="E6643" s="27"/>
      <c r="F6643" s="27"/>
      <c r="G6643" s="7"/>
    </row>
    <row r="6644" spans="5:7" x14ac:dyDescent="0.25">
      <c r="E6644" s="27"/>
      <c r="F6644" s="27"/>
      <c r="G6644" s="7"/>
    </row>
    <row r="6645" spans="5:7" x14ac:dyDescent="0.25">
      <c r="E6645" s="27"/>
      <c r="F6645" s="27"/>
      <c r="G6645" s="7"/>
    </row>
    <row r="6646" spans="5:7" x14ac:dyDescent="0.25">
      <c r="E6646" s="27"/>
      <c r="F6646" s="27"/>
      <c r="G6646" s="7"/>
    </row>
    <row r="6647" spans="5:7" x14ac:dyDescent="0.25">
      <c r="E6647" s="27"/>
      <c r="F6647" s="27"/>
      <c r="G6647" s="7"/>
    </row>
    <row r="6648" spans="5:7" x14ac:dyDescent="0.25">
      <c r="E6648" s="27"/>
      <c r="F6648" s="27"/>
      <c r="G6648" s="7"/>
    </row>
    <row r="6649" spans="5:7" x14ac:dyDescent="0.25">
      <c r="E6649" s="27"/>
      <c r="F6649" s="27"/>
      <c r="G6649" s="7"/>
    </row>
    <row r="6650" spans="5:7" x14ac:dyDescent="0.25">
      <c r="E6650" s="27"/>
      <c r="F6650" s="27"/>
      <c r="G6650" s="7"/>
    </row>
    <row r="6651" spans="5:7" x14ac:dyDescent="0.25">
      <c r="E6651" s="27"/>
      <c r="F6651" s="27"/>
      <c r="G6651" s="7"/>
    </row>
    <row r="6652" spans="5:7" x14ac:dyDescent="0.25">
      <c r="E6652" s="27"/>
      <c r="F6652" s="27"/>
      <c r="G6652" s="7"/>
    </row>
    <row r="6653" spans="5:7" x14ac:dyDescent="0.25">
      <c r="E6653" s="27"/>
      <c r="F6653" s="27"/>
      <c r="G6653" s="7"/>
    </row>
    <row r="6654" spans="5:7" x14ac:dyDescent="0.25">
      <c r="E6654" s="27"/>
      <c r="F6654" s="27"/>
      <c r="G6654" s="7"/>
    </row>
    <row r="6655" spans="5:7" x14ac:dyDescent="0.25">
      <c r="E6655" s="27"/>
      <c r="F6655" s="27"/>
      <c r="G6655" s="7"/>
    </row>
    <row r="6656" spans="5:7" x14ac:dyDescent="0.25">
      <c r="E6656" s="27"/>
      <c r="F6656" s="27"/>
      <c r="G6656" s="7"/>
    </row>
    <row r="6657" spans="5:7" x14ac:dyDescent="0.25">
      <c r="E6657" s="27"/>
      <c r="F6657" s="27"/>
      <c r="G6657" s="7"/>
    </row>
    <row r="6658" spans="5:7" x14ac:dyDescent="0.25">
      <c r="E6658" s="27"/>
      <c r="F6658" s="27"/>
      <c r="G6658" s="7"/>
    </row>
    <row r="6659" spans="5:7" x14ac:dyDescent="0.25">
      <c r="E6659" s="27"/>
      <c r="F6659" s="27"/>
      <c r="G6659" s="7"/>
    </row>
    <row r="6660" spans="5:7" x14ac:dyDescent="0.25">
      <c r="E6660" s="27"/>
      <c r="F6660" s="27"/>
      <c r="G6660" s="7"/>
    </row>
    <row r="6661" spans="5:7" x14ac:dyDescent="0.25">
      <c r="E6661" s="27"/>
      <c r="F6661" s="27"/>
      <c r="G6661" s="7"/>
    </row>
    <row r="6662" spans="5:7" x14ac:dyDescent="0.25">
      <c r="E6662" s="27"/>
      <c r="F6662" s="27"/>
      <c r="G6662" s="7"/>
    </row>
    <row r="6663" spans="5:7" x14ac:dyDescent="0.25">
      <c r="E6663" s="27"/>
      <c r="F6663" s="27"/>
      <c r="G6663" s="7"/>
    </row>
    <row r="6664" spans="5:7" x14ac:dyDescent="0.25">
      <c r="E6664" s="27"/>
      <c r="F6664" s="27"/>
      <c r="G6664" s="7"/>
    </row>
    <row r="6665" spans="5:7" x14ac:dyDescent="0.25">
      <c r="E6665" s="27"/>
      <c r="F6665" s="27"/>
      <c r="G6665" s="7"/>
    </row>
    <row r="6666" spans="5:7" x14ac:dyDescent="0.25">
      <c r="E6666" s="27"/>
      <c r="F6666" s="27"/>
      <c r="G6666" s="7"/>
    </row>
    <row r="6667" spans="5:7" x14ac:dyDescent="0.25">
      <c r="E6667" s="27"/>
      <c r="F6667" s="27"/>
      <c r="G6667" s="7"/>
    </row>
    <row r="6668" spans="5:7" x14ac:dyDescent="0.25">
      <c r="E6668" s="27"/>
      <c r="F6668" s="27"/>
      <c r="G6668" s="7"/>
    </row>
    <row r="6669" spans="5:7" x14ac:dyDescent="0.25">
      <c r="E6669" s="27"/>
      <c r="F6669" s="27"/>
      <c r="G6669" s="7"/>
    </row>
    <row r="6670" spans="5:7" x14ac:dyDescent="0.25">
      <c r="E6670" s="27"/>
      <c r="F6670" s="27"/>
      <c r="G6670" s="7"/>
    </row>
    <row r="6671" spans="5:7" x14ac:dyDescent="0.25">
      <c r="E6671" s="27"/>
      <c r="F6671" s="27"/>
      <c r="G6671" s="7"/>
    </row>
    <row r="6672" spans="5:7" x14ac:dyDescent="0.25">
      <c r="E6672" s="27"/>
      <c r="F6672" s="27"/>
      <c r="G6672" s="7"/>
    </row>
    <row r="6673" spans="5:7" x14ac:dyDescent="0.25">
      <c r="E6673" s="27"/>
      <c r="F6673" s="27"/>
      <c r="G6673" s="7"/>
    </row>
    <row r="6674" spans="5:7" x14ac:dyDescent="0.25">
      <c r="E6674" s="27"/>
      <c r="F6674" s="27"/>
      <c r="G6674" s="7"/>
    </row>
    <row r="6675" spans="5:7" x14ac:dyDescent="0.25">
      <c r="E6675" s="27"/>
      <c r="F6675" s="27"/>
      <c r="G6675" s="7"/>
    </row>
    <row r="6676" spans="5:7" x14ac:dyDescent="0.25">
      <c r="E6676" s="27"/>
      <c r="F6676" s="27"/>
      <c r="G6676" s="7"/>
    </row>
    <row r="6677" spans="5:7" x14ac:dyDescent="0.25">
      <c r="E6677" s="27"/>
      <c r="F6677" s="27"/>
      <c r="G6677" s="7"/>
    </row>
    <row r="6678" spans="5:7" x14ac:dyDescent="0.25">
      <c r="E6678" s="27"/>
      <c r="F6678" s="27"/>
      <c r="G6678" s="7"/>
    </row>
    <row r="6679" spans="5:7" x14ac:dyDescent="0.25">
      <c r="E6679" s="27"/>
      <c r="F6679" s="27"/>
      <c r="G6679" s="7"/>
    </row>
    <row r="6680" spans="5:7" x14ac:dyDescent="0.25">
      <c r="E6680" s="27"/>
      <c r="F6680" s="27"/>
      <c r="G6680" s="7"/>
    </row>
    <row r="6681" spans="5:7" x14ac:dyDescent="0.25">
      <c r="E6681" s="27"/>
      <c r="F6681" s="27"/>
      <c r="G6681" s="7"/>
    </row>
    <row r="6682" spans="5:7" x14ac:dyDescent="0.25">
      <c r="E6682" s="27"/>
      <c r="F6682" s="27"/>
      <c r="G6682" s="7"/>
    </row>
    <row r="6683" spans="5:7" x14ac:dyDescent="0.25">
      <c r="E6683" s="27"/>
      <c r="F6683" s="27"/>
      <c r="G6683" s="7"/>
    </row>
    <row r="6684" spans="5:7" x14ac:dyDescent="0.25">
      <c r="E6684" s="27"/>
      <c r="F6684" s="27"/>
      <c r="G6684" s="7"/>
    </row>
    <row r="6685" spans="5:7" x14ac:dyDescent="0.25">
      <c r="E6685" s="27"/>
      <c r="F6685" s="27"/>
      <c r="G6685" s="7"/>
    </row>
    <row r="6686" spans="5:7" x14ac:dyDescent="0.25">
      <c r="E6686" s="27"/>
      <c r="F6686" s="27"/>
      <c r="G6686" s="7"/>
    </row>
    <row r="6687" spans="5:7" x14ac:dyDescent="0.25">
      <c r="E6687" s="27"/>
      <c r="F6687" s="27"/>
      <c r="G6687" s="7"/>
    </row>
    <row r="6688" spans="5:7" x14ac:dyDescent="0.25">
      <c r="E6688" s="27"/>
      <c r="F6688" s="27"/>
      <c r="G6688" s="7"/>
    </row>
    <row r="6689" spans="5:7" x14ac:dyDescent="0.25">
      <c r="E6689" s="27"/>
      <c r="F6689" s="27"/>
      <c r="G6689" s="7"/>
    </row>
    <row r="6690" spans="5:7" x14ac:dyDescent="0.25">
      <c r="E6690" s="27"/>
      <c r="F6690" s="27"/>
      <c r="G6690" s="7"/>
    </row>
    <row r="6691" spans="5:7" x14ac:dyDescent="0.25">
      <c r="E6691" s="27"/>
      <c r="F6691" s="27"/>
      <c r="G6691" s="7"/>
    </row>
    <row r="6692" spans="5:7" x14ac:dyDescent="0.25">
      <c r="E6692" s="27"/>
      <c r="F6692" s="27"/>
      <c r="G6692" s="7"/>
    </row>
    <row r="6693" spans="5:7" x14ac:dyDescent="0.25">
      <c r="E6693" s="27"/>
      <c r="F6693" s="27"/>
      <c r="G6693" s="7"/>
    </row>
    <row r="6694" spans="5:7" x14ac:dyDescent="0.25">
      <c r="E6694" s="27"/>
      <c r="F6694" s="27"/>
      <c r="G6694" s="7"/>
    </row>
    <row r="6695" spans="5:7" x14ac:dyDescent="0.25">
      <c r="E6695" s="27"/>
      <c r="F6695" s="27"/>
      <c r="G6695" s="7"/>
    </row>
    <row r="6696" spans="5:7" x14ac:dyDescent="0.25">
      <c r="E6696" s="27"/>
      <c r="F6696" s="27"/>
      <c r="G6696" s="7"/>
    </row>
    <row r="6697" spans="5:7" x14ac:dyDescent="0.25">
      <c r="E6697" s="27"/>
      <c r="F6697" s="27"/>
      <c r="G6697" s="7"/>
    </row>
    <row r="6698" spans="5:7" x14ac:dyDescent="0.25">
      <c r="E6698" s="27"/>
      <c r="F6698" s="27"/>
      <c r="G6698" s="7"/>
    </row>
    <row r="6699" spans="5:7" x14ac:dyDescent="0.25">
      <c r="E6699" s="27"/>
      <c r="F6699" s="27"/>
      <c r="G6699" s="7"/>
    </row>
    <row r="6700" spans="5:7" x14ac:dyDescent="0.25">
      <c r="E6700" s="27"/>
      <c r="F6700" s="27"/>
      <c r="G6700" s="7"/>
    </row>
    <row r="6701" spans="5:7" x14ac:dyDescent="0.25">
      <c r="E6701" s="27"/>
      <c r="F6701" s="27"/>
      <c r="G6701" s="7"/>
    </row>
    <row r="6702" spans="5:7" x14ac:dyDescent="0.25">
      <c r="E6702" s="27"/>
      <c r="F6702" s="27"/>
      <c r="G6702" s="7"/>
    </row>
    <row r="6703" spans="5:7" x14ac:dyDescent="0.25">
      <c r="E6703" s="27"/>
      <c r="F6703" s="27"/>
      <c r="G6703" s="7"/>
    </row>
    <row r="6704" spans="5:7" x14ac:dyDescent="0.25">
      <c r="E6704" s="27"/>
      <c r="F6704" s="27"/>
      <c r="G6704" s="7"/>
    </row>
    <row r="6705" spans="5:7" x14ac:dyDescent="0.25">
      <c r="E6705" s="27"/>
      <c r="F6705" s="27"/>
      <c r="G6705" s="7"/>
    </row>
    <row r="6706" spans="5:7" x14ac:dyDescent="0.25">
      <c r="E6706" s="27"/>
      <c r="F6706" s="27"/>
      <c r="G6706" s="7"/>
    </row>
    <row r="6707" spans="5:7" x14ac:dyDescent="0.25">
      <c r="E6707" s="27"/>
      <c r="F6707" s="27"/>
      <c r="G6707" s="7"/>
    </row>
    <row r="6708" spans="5:7" x14ac:dyDescent="0.25">
      <c r="E6708" s="27"/>
      <c r="F6708" s="27"/>
      <c r="G6708" s="7"/>
    </row>
    <row r="6709" spans="5:7" x14ac:dyDescent="0.25">
      <c r="E6709" s="27"/>
      <c r="F6709" s="27"/>
      <c r="G6709" s="7"/>
    </row>
    <row r="6710" spans="5:7" x14ac:dyDescent="0.25">
      <c r="E6710" s="27"/>
      <c r="F6710" s="27"/>
      <c r="G6710" s="7"/>
    </row>
    <row r="6711" spans="5:7" x14ac:dyDescent="0.25">
      <c r="E6711" s="27"/>
      <c r="F6711" s="27"/>
      <c r="G6711" s="7"/>
    </row>
    <row r="6712" spans="5:7" x14ac:dyDescent="0.25">
      <c r="E6712" s="27"/>
      <c r="F6712" s="27"/>
      <c r="G6712" s="7"/>
    </row>
    <row r="6713" spans="5:7" x14ac:dyDescent="0.25">
      <c r="E6713" s="27"/>
      <c r="F6713" s="27"/>
      <c r="G6713" s="7"/>
    </row>
    <row r="6714" spans="5:7" x14ac:dyDescent="0.25">
      <c r="E6714" s="27"/>
      <c r="F6714" s="27"/>
      <c r="G6714" s="7"/>
    </row>
    <row r="6715" spans="5:7" x14ac:dyDescent="0.25">
      <c r="E6715" s="27"/>
      <c r="F6715" s="27"/>
      <c r="G6715" s="7"/>
    </row>
    <row r="6716" spans="5:7" x14ac:dyDescent="0.25">
      <c r="E6716" s="27"/>
      <c r="F6716" s="27"/>
      <c r="G6716" s="7"/>
    </row>
    <row r="6717" spans="5:7" x14ac:dyDescent="0.25">
      <c r="E6717" s="27"/>
      <c r="F6717" s="27"/>
      <c r="G6717" s="7"/>
    </row>
    <row r="6718" spans="5:7" x14ac:dyDescent="0.25">
      <c r="E6718" s="27"/>
      <c r="F6718" s="27"/>
      <c r="G6718" s="7"/>
    </row>
    <row r="6719" spans="5:7" x14ac:dyDescent="0.25">
      <c r="E6719" s="27"/>
      <c r="F6719" s="27"/>
      <c r="G6719" s="7"/>
    </row>
    <row r="6720" spans="5:7" x14ac:dyDescent="0.25">
      <c r="E6720" s="27"/>
      <c r="F6720" s="27"/>
      <c r="G6720" s="7"/>
    </row>
    <row r="6721" spans="5:7" x14ac:dyDescent="0.25">
      <c r="E6721" s="27"/>
      <c r="F6721" s="27"/>
      <c r="G6721" s="7"/>
    </row>
    <row r="6722" spans="5:7" x14ac:dyDescent="0.25">
      <c r="E6722" s="27"/>
      <c r="F6722" s="27"/>
      <c r="G6722" s="7"/>
    </row>
    <row r="6723" spans="5:7" x14ac:dyDescent="0.25">
      <c r="E6723" s="27"/>
      <c r="F6723" s="27"/>
      <c r="G6723" s="7"/>
    </row>
    <row r="6724" spans="5:7" x14ac:dyDescent="0.25">
      <c r="E6724" s="27"/>
      <c r="F6724" s="27"/>
      <c r="G6724" s="7"/>
    </row>
    <row r="6725" spans="5:7" x14ac:dyDescent="0.25">
      <c r="E6725" s="27"/>
      <c r="F6725" s="27"/>
      <c r="G6725" s="7"/>
    </row>
    <row r="6726" spans="5:7" x14ac:dyDescent="0.25">
      <c r="E6726" s="27"/>
      <c r="F6726" s="27"/>
      <c r="G6726" s="7"/>
    </row>
    <row r="6727" spans="5:7" x14ac:dyDescent="0.25">
      <c r="E6727" s="27"/>
      <c r="F6727" s="27"/>
      <c r="G6727" s="7"/>
    </row>
    <row r="6728" spans="5:7" x14ac:dyDescent="0.25">
      <c r="E6728" s="27"/>
      <c r="F6728" s="27"/>
      <c r="G6728" s="7"/>
    </row>
    <row r="6729" spans="5:7" x14ac:dyDescent="0.25">
      <c r="E6729" s="27"/>
      <c r="F6729" s="27"/>
      <c r="G6729" s="7"/>
    </row>
    <row r="6730" spans="5:7" x14ac:dyDescent="0.25">
      <c r="E6730" s="27"/>
      <c r="F6730" s="27"/>
      <c r="G6730" s="7"/>
    </row>
    <row r="6731" spans="5:7" x14ac:dyDescent="0.25">
      <c r="E6731" s="27"/>
      <c r="F6731" s="27"/>
      <c r="G6731" s="7"/>
    </row>
    <row r="6732" spans="5:7" x14ac:dyDescent="0.25">
      <c r="E6732" s="27"/>
      <c r="F6732" s="27"/>
      <c r="G6732" s="7"/>
    </row>
    <row r="6733" spans="5:7" x14ac:dyDescent="0.25">
      <c r="E6733" s="27"/>
      <c r="F6733" s="27"/>
      <c r="G6733" s="7"/>
    </row>
    <row r="6734" spans="5:7" x14ac:dyDescent="0.25">
      <c r="E6734" s="27"/>
      <c r="F6734" s="27"/>
      <c r="G6734" s="7"/>
    </row>
    <row r="6735" spans="5:7" x14ac:dyDescent="0.25">
      <c r="E6735" s="27"/>
      <c r="F6735" s="27"/>
      <c r="G6735" s="7"/>
    </row>
    <row r="6736" spans="5:7" x14ac:dyDescent="0.25">
      <c r="E6736" s="27"/>
      <c r="F6736" s="27"/>
      <c r="G6736" s="7"/>
    </row>
    <row r="6737" spans="5:7" x14ac:dyDescent="0.25">
      <c r="E6737" s="27"/>
      <c r="F6737" s="27"/>
      <c r="G6737" s="7"/>
    </row>
    <row r="6738" spans="5:7" x14ac:dyDescent="0.25">
      <c r="E6738" s="27"/>
      <c r="F6738" s="27"/>
      <c r="G6738" s="7"/>
    </row>
    <row r="6739" spans="5:7" x14ac:dyDescent="0.25">
      <c r="E6739" s="27"/>
      <c r="F6739" s="27"/>
      <c r="G6739" s="7"/>
    </row>
    <row r="6740" spans="5:7" x14ac:dyDescent="0.25">
      <c r="E6740" s="27"/>
      <c r="F6740" s="27"/>
      <c r="G6740" s="7"/>
    </row>
    <row r="6741" spans="5:7" x14ac:dyDescent="0.25">
      <c r="E6741" s="27"/>
      <c r="F6741" s="27"/>
      <c r="G6741" s="7"/>
    </row>
    <row r="6742" spans="5:7" x14ac:dyDescent="0.25">
      <c r="E6742" s="27"/>
      <c r="F6742" s="27"/>
      <c r="G6742" s="7"/>
    </row>
    <row r="6743" spans="5:7" x14ac:dyDescent="0.25">
      <c r="E6743" s="27"/>
      <c r="F6743" s="27"/>
      <c r="G6743" s="7"/>
    </row>
    <row r="6744" spans="5:7" x14ac:dyDescent="0.25">
      <c r="E6744" s="27"/>
      <c r="F6744" s="27"/>
      <c r="G6744" s="7"/>
    </row>
    <row r="6745" spans="5:7" x14ac:dyDescent="0.25">
      <c r="E6745" s="27"/>
      <c r="F6745" s="27"/>
      <c r="G6745" s="7"/>
    </row>
    <row r="6746" spans="5:7" x14ac:dyDescent="0.25">
      <c r="E6746" s="27"/>
      <c r="F6746" s="27"/>
      <c r="G6746" s="7"/>
    </row>
    <row r="6747" spans="5:7" x14ac:dyDescent="0.25">
      <c r="E6747" s="27"/>
      <c r="F6747" s="27"/>
      <c r="G6747" s="7"/>
    </row>
    <row r="6748" spans="5:7" x14ac:dyDescent="0.25">
      <c r="E6748" s="27"/>
      <c r="F6748" s="27"/>
      <c r="G6748" s="7"/>
    </row>
    <row r="6749" spans="5:7" x14ac:dyDescent="0.25">
      <c r="E6749" s="27"/>
      <c r="F6749" s="27"/>
      <c r="G6749" s="7"/>
    </row>
    <row r="6750" spans="5:7" x14ac:dyDescent="0.25">
      <c r="E6750" s="27"/>
      <c r="F6750" s="27"/>
      <c r="G6750" s="7"/>
    </row>
    <row r="6751" spans="5:7" x14ac:dyDescent="0.25">
      <c r="E6751" s="27"/>
      <c r="F6751" s="27"/>
      <c r="G6751" s="7"/>
    </row>
    <row r="6752" spans="5:7" x14ac:dyDescent="0.25">
      <c r="E6752" s="27"/>
      <c r="F6752" s="27"/>
      <c r="G6752" s="7"/>
    </row>
    <row r="6753" spans="5:7" x14ac:dyDescent="0.25">
      <c r="E6753" s="27"/>
      <c r="F6753" s="27"/>
      <c r="G6753" s="7"/>
    </row>
    <row r="6754" spans="5:7" x14ac:dyDescent="0.25">
      <c r="E6754" s="27"/>
      <c r="F6754" s="27"/>
      <c r="G6754" s="7"/>
    </row>
    <row r="6755" spans="5:7" x14ac:dyDescent="0.25">
      <c r="E6755" s="27"/>
      <c r="F6755" s="27"/>
      <c r="G6755" s="7"/>
    </row>
    <row r="6756" spans="5:7" x14ac:dyDescent="0.25">
      <c r="E6756" s="27"/>
      <c r="F6756" s="27"/>
      <c r="G6756" s="7"/>
    </row>
    <row r="6757" spans="5:7" x14ac:dyDescent="0.25">
      <c r="E6757" s="27"/>
      <c r="F6757" s="27"/>
      <c r="G6757" s="7"/>
    </row>
    <row r="6758" spans="5:7" x14ac:dyDescent="0.25">
      <c r="E6758" s="27"/>
      <c r="F6758" s="27"/>
      <c r="G6758" s="7"/>
    </row>
    <row r="6759" spans="5:7" x14ac:dyDescent="0.25">
      <c r="E6759" s="27"/>
      <c r="F6759" s="27"/>
      <c r="G6759" s="7"/>
    </row>
    <row r="6760" spans="5:7" x14ac:dyDescent="0.25">
      <c r="E6760" s="27"/>
      <c r="F6760" s="27"/>
      <c r="G6760" s="7"/>
    </row>
    <row r="6761" spans="5:7" x14ac:dyDescent="0.25">
      <c r="E6761" s="27"/>
      <c r="F6761" s="27"/>
      <c r="G6761" s="7"/>
    </row>
    <row r="6762" spans="5:7" x14ac:dyDescent="0.25">
      <c r="E6762" s="27"/>
      <c r="F6762" s="27"/>
      <c r="G6762" s="7"/>
    </row>
    <row r="6763" spans="5:7" x14ac:dyDescent="0.25">
      <c r="E6763" s="27"/>
      <c r="F6763" s="27"/>
      <c r="G6763" s="7"/>
    </row>
    <row r="6764" spans="5:7" x14ac:dyDescent="0.25">
      <c r="E6764" s="27"/>
      <c r="F6764" s="27"/>
      <c r="G6764" s="7"/>
    </row>
    <row r="6765" spans="5:7" x14ac:dyDescent="0.25">
      <c r="E6765" s="27"/>
      <c r="F6765" s="27"/>
      <c r="G6765" s="7"/>
    </row>
    <row r="6766" spans="5:7" x14ac:dyDescent="0.25">
      <c r="E6766" s="27"/>
      <c r="F6766" s="27"/>
      <c r="G6766" s="7"/>
    </row>
    <row r="6767" spans="5:7" x14ac:dyDescent="0.25">
      <c r="E6767" s="27"/>
      <c r="F6767" s="27"/>
      <c r="G6767" s="7"/>
    </row>
    <row r="6768" spans="5:7" x14ac:dyDescent="0.25">
      <c r="E6768" s="27"/>
      <c r="F6768" s="27"/>
      <c r="G6768" s="7"/>
    </row>
    <row r="6769" spans="5:7" x14ac:dyDescent="0.25">
      <c r="E6769" s="27"/>
      <c r="F6769" s="27"/>
      <c r="G6769" s="7"/>
    </row>
    <row r="6770" spans="5:7" x14ac:dyDescent="0.25">
      <c r="E6770" s="27"/>
      <c r="F6770" s="27"/>
      <c r="G6770" s="7"/>
    </row>
    <row r="6771" spans="5:7" x14ac:dyDescent="0.25">
      <c r="E6771" s="27"/>
      <c r="F6771" s="27"/>
      <c r="G6771" s="7"/>
    </row>
    <row r="6772" spans="5:7" x14ac:dyDescent="0.25">
      <c r="E6772" s="27"/>
      <c r="F6772" s="27"/>
      <c r="G6772" s="7"/>
    </row>
    <row r="6773" spans="5:7" x14ac:dyDescent="0.25">
      <c r="E6773" s="27"/>
      <c r="F6773" s="27"/>
      <c r="G6773" s="7"/>
    </row>
    <row r="6774" spans="5:7" x14ac:dyDescent="0.25">
      <c r="E6774" s="27"/>
      <c r="F6774" s="27"/>
      <c r="G6774" s="7"/>
    </row>
    <row r="6775" spans="5:7" x14ac:dyDescent="0.25">
      <c r="E6775" s="27"/>
      <c r="F6775" s="27"/>
      <c r="G6775" s="7"/>
    </row>
    <row r="6776" spans="5:7" x14ac:dyDescent="0.25">
      <c r="E6776" s="27"/>
      <c r="F6776" s="27"/>
      <c r="G6776" s="7"/>
    </row>
    <row r="6777" spans="5:7" x14ac:dyDescent="0.25">
      <c r="E6777" s="27"/>
      <c r="F6777" s="27"/>
      <c r="G6777" s="7"/>
    </row>
    <row r="6778" spans="5:7" x14ac:dyDescent="0.25">
      <c r="E6778" s="27"/>
      <c r="F6778" s="27"/>
      <c r="G6778" s="7"/>
    </row>
    <row r="6779" spans="5:7" x14ac:dyDescent="0.25">
      <c r="E6779" s="27"/>
      <c r="F6779" s="27"/>
      <c r="G6779" s="7"/>
    </row>
    <row r="6780" spans="5:7" x14ac:dyDescent="0.25">
      <c r="E6780" s="27"/>
      <c r="F6780" s="27"/>
      <c r="G6780" s="7"/>
    </row>
    <row r="6781" spans="5:7" x14ac:dyDescent="0.25">
      <c r="E6781" s="27"/>
      <c r="F6781" s="27"/>
      <c r="G6781" s="7"/>
    </row>
    <row r="6782" spans="5:7" x14ac:dyDescent="0.25">
      <c r="E6782" s="27"/>
      <c r="F6782" s="27"/>
      <c r="G6782" s="7"/>
    </row>
    <row r="6783" spans="5:7" x14ac:dyDescent="0.25">
      <c r="E6783" s="27"/>
      <c r="F6783" s="27"/>
      <c r="G6783" s="7"/>
    </row>
    <row r="6784" spans="5:7" x14ac:dyDescent="0.25">
      <c r="E6784" s="27"/>
      <c r="F6784" s="27"/>
      <c r="G6784" s="7"/>
    </row>
    <row r="6785" spans="5:7" x14ac:dyDescent="0.25">
      <c r="E6785" s="27"/>
      <c r="F6785" s="27"/>
      <c r="G6785" s="7"/>
    </row>
    <row r="6786" spans="5:7" x14ac:dyDescent="0.25">
      <c r="E6786" s="27"/>
      <c r="F6786" s="27"/>
      <c r="G6786" s="7"/>
    </row>
    <row r="6787" spans="5:7" x14ac:dyDescent="0.25">
      <c r="E6787" s="27"/>
      <c r="F6787" s="27"/>
      <c r="G6787" s="7"/>
    </row>
    <row r="6788" spans="5:7" x14ac:dyDescent="0.25">
      <c r="E6788" s="27"/>
      <c r="F6788" s="27"/>
      <c r="G6788" s="7"/>
    </row>
    <row r="6789" spans="5:7" x14ac:dyDescent="0.25">
      <c r="E6789" s="27"/>
      <c r="F6789" s="27"/>
      <c r="G6789" s="7"/>
    </row>
    <row r="6790" spans="5:7" x14ac:dyDescent="0.25">
      <c r="E6790" s="27"/>
      <c r="F6790" s="27"/>
      <c r="G6790" s="7"/>
    </row>
    <row r="6791" spans="5:7" x14ac:dyDescent="0.25">
      <c r="E6791" s="27"/>
      <c r="F6791" s="27"/>
      <c r="G6791" s="7"/>
    </row>
    <row r="6792" spans="5:7" x14ac:dyDescent="0.25">
      <c r="E6792" s="27"/>
      <c r="F6792" s="27"/>
      <c r="G6792" s="7"/>
    </row>
    <row r="6793" spans="5:7" x14ac:dyDescent="0.25">
      <c r="E6793" s="27"/>
      <c r="F6793" s="27"/>
      <c r="G6793" s="7"/>
    </row>
    <row r="6794" spans="5:7" x14ac:dyDescent="0.25">
      <c r="E6794" s="27"/>
      <c r="F6794" s="27"/>
      <c r="G6794" s="7"/>
    </row>
    <row r="6795" spans="5:7" x14ac:dyDescent="0.25">
      <c r="E6795" s="27"/>
      <c r="F6795" s="27"/>
      <c r="G6795" s="7"/>
    </row>
    <row r="6796" spans="5:7" x14ac:dyDescent="0.25">
      <c r="E6796" s="27"/>
      <c r="F6796" s="27"/>
      <c r="G6796" s="7"/>
    </row>
    <row r="6797" spans="5:7" x14ac:dyDescent="0.25">
      <c r="E6797" s="27"/>
      <c r="F6797" s="27"/>
      <c r="G6797" s="7"/>
    </row>
    <row r="6798" spans="5:7" x14ac:dyDescent="0.25">
      <c r="E6798" s="27"/>
      <c r="F6798" s="27"/>
      <c r="G6798" s="7"/>
    </row>
    <row r="6799" spans="5:7" x14ac:dyDescent="0.25">
      <c r="E6799" s="27"/>
      <c r="F6799" s="27"/>
      <c r="G6799" s="7"/>
    </row>
    <row r="6800" spans="5:7" x14ac:dyDescent="0.25">
      <c r="E6800" s="27"/>
      <c r="F6800" s="27"/>
      <c r="G6800" s="7"/>
    </row>
    <row r="6801" spans="5:7" x14ac:dyDescent="0.25">
      <c r="E6801" s="27"/>
      <c r="F6801" s="27"/>
      <c r="G6801" s="7"/>
    </row>
    <row r="6802" spans="5:7" x14ac:dyDescent="0.25">
      <c r="E6802" s="27"/>
      <c r="F6802" s="27"/>
      <c r="G6802" s="7"/>
    </row>
    <row r="6803" spans="5:7" x14ac:dyDescent="0.25">
      <c r="E6803" s="27"/>
      <c r="F6803" s="27"/>
      <c r="G6803" s="7"/>
    </row>
    <row r="6804" spans="5:7" x14ac:dyDescent="0.25">
      <c r="E6804" s="27"/>
      <c r="F6804" s="27"/>
      <c r="G6804" s="7"/>
    </row>
    <row r="6805" spans="5:7" x14ac:dyDescent="0.25">
      <c r="E6805" s="27"/>
      <c r="F6805" s="27"/>
      <c r="G6805" s="7"/>
    </row>
    <row r="6806" spans="5:7" x14ac:dyDescent="0.25">
      <c r="E6806" s="27"/>
      <c r="F6806" s="27"/>
      <c r="G6806" s="7"/>
    </row>
    <row r="6807" spans="5:7" x14ac:dyDescent="0.25">
      <c r="E6807" s="27"/>
      <c r="F6807" s="27"/>
      <c r="G6807" s="7"/>
    </row>
    <row r="6808" spans="5:7" x14ac:dyDescent="0.25">
      <c r="E6808" s="27"/>
      <c r="F6808" s="27"/>
      <c r="G6808" s="7"/>
    </row>
    <row r="6809" spans="5:7" x14ac:dyDescent="0.25">
      <c r="E6809" s="27"/>
      <c r="F6809" s="27"/>
      <c r="G6809" s="7"/>
    </row>
    <row r="6810" spans="5:7" x14ac:dyDescent="0.25">
      <c r="E6810" s="27"/>
      <c r="F6810" s="27"/>
      <c r="G6810" s="7"/>
    </row>
    <row r="6811" spans="5:7" x14ac:dyDescent="0.25">
      <c r="E6811" s="27"/>
      <c r="F6811" s="27"/>
      <c r="G6811" s="7"/>
    </row>
    <row r="6812" spans="5:7" x14ac:dyDescent="0.25">
      <c r="E6812" s="27"/>
      <c r="F6812" s="27"/>
      <c r="G6812" s="7"/>
    </row>
    <row r="6813" spans="5:7" x14ac:dyDescent="0.25">
      <c r="E6813" s="27"/>
      <c r="F6813" s="27"/>
      <c r="G6813" s="7"/>
    </row>
    <row r="6814" spans="5:7" x14ac:dyDescent="0.25">
      <c r="E6814" s="27"/>
      <c r="F6814" s="27"/>
      <c r="G6814" s="7"/>
    </row>
    <row r="6815" spans="5:7" x14ac:dyDescent="0.25">
      <c r="E6815" s="27"/>
      <c r="F6815" s="27"/>
      <c r="G6815" s="7"/>
    </row>
    <row r="6816" spans="5:7" x14ac:dyDescent="0.25">
      <c r="E6816" s="27"/>
      <c r="F6816" s="27"/>
      <c r="G6816" s="7"/>
    </row>
    <row r="6817" spans="5:7" x14ac:dyDescent="0.25">
      <c r="E6817" s="27"/>
      <c r="F6817" s="27"/>
      <c r="G6817" s="7"/>
    </row>
    <row r="6818" spans="5:7" x14ac:dyDescent="0.25">
      <c r="E6818" s="27"/>
      <c r="F6818" s="27"/>
      <c r="G6818" s="7"/>
    </row>
    <row r="6819" spans="5:7" x14ac:dyDescent="0.25">
      <c r="E6819" s="27"/>
      <c r="F6819" s="27"/>
      <c r="G6819" s="7"/>
    </row>
    <row r="6820" spans="5:7" x14ac:dyDescent="0.25">
      <c r="E6820" s="27"/>
      <c r="F6820" s="27"/>
      <c r="G6820" s="7"/>
    </row>
    <row r="6821" spans="5:7" x14ac:dyDescent="0.25">
      <c r="E6821" s="27"/>
      <c r="F6821" s="27"/>
      <c r="G6821" s="7"/>
    </row>
    <row r="6822" spans="5:7" x14ac:dyDescent="0.25">
      <c r="E6822" s="27"/>
      <c r="F6822" s="27"/>
      <c r="G6822" s="7"/>
    </row>
    <row r="6823" spans="5:7" x14ac:dyDescent="0.25">
      <c r="E6823" s="27"/>
      <c r="F6823" s="27"/>
      <c r="G6823" s="7"/>
    </row>
    <row r="6824" spans="5:7" x14ac:dyDescent="0.25">
      <c r="E6824" s="27"/>
      <c r="F6824" s="27"/>
      <c r="G6824" s="7"/>
    </row>
    <row r="6825" spans="5:7" x14ac:dyDescent="0.25">
      <c r="E6825" s="27"/>
      <c r="F6825" s="27"/>
      <c r="G6825" s="7"/>
    </row>
    <row r="6826" spans="5:7" x14ac:dyDescent="0.25">
      <c r="E6826" s="27"/>
      <c r="F6826" s="27"/>
      <c r="G6826" s="7"/>
    </row>
    <row r="6827" spans="5:7" x14ac:dyDescent="0.25">
      <c r="E6827" s="27"/>
      <c r="F6827" s="27"/>
      <c r="G6827" s="7"/>
    </row>
    <row r="6828" spans="5:7" x14ac:dyDescent="0.25">
      <c r="E6828" s="27"/>
      <c r="F6828" s="27"/>
      <c r="G6828" s="7"/>
    </row>
    <row r="6829" spans="5:7" x14ac:dyDescent="0.25">
      <c r="E6829" s="27"/>
      <c r="F6829" s="27"/>
      <c r="G6829" s="7"/>
    </row>
    <row r="6830" spans="5:7" x14ac:dyDescent="0.25">
      <c r="E6830" s="27"/>
      <c r="F6830" s="27"/>
      <c r="G6830" s="7"/>
    </row>
    <row r="6831" spans="5:7" x14ac:dyDescent="0.25">
      <c r="E6831" s="27"/>
      <c r="F6831" s="27"/>
      <c r="G6831" s="7"/>
    </row>
    <row r="6832" spans="5:7" x14ac:dyDescent="0.25">
      <c r="E6832" s="27"/>
      <c r="F6832" s="27"/>
      <c r="G6832" s="7"/>
    </row>
    <row r="6833" spans="5:7" x14ac:dyDescent="0.25">
      <c r="E6833" s="27"/>
      <c r="F6833" s="27"/>
      <c r="G6833" s="7"/>
    </row>
    <row r="6834" spans="5:7" x14ac:dyDescent="0.25">
      <c r="E6834" s="27"/>
      <c r="F6834" s="27"/>
      <c r="G6834" s="7"/>
    </row>
    <row r="6835" spans="5:7" x14ac:dyDescent="0.25">
      <c r="E6835" s="27"/>
      <c r="F6835" s="27"/>
      <c r="G6835" s="7"/>
    </row>
    <row r="6836" spans="5:7" x14ac:dyDescent="0.25">
      <c r="E6836" s="27"/>
      <c r="F6836" s="27"/>
      <c r="G6836" s="7"/>
    </row>
    <row r="6837" spans="5:7" x14ac:dyDescent="0.25">
      <c r="E6837" s="27"/>
      <c r="F6837" s="27"/>
      <c r="G6837" s="7"/>
    </row>
    <row r="6838" spans="5:7" x14ac:dyDescent="0.25">
      <c r="E6838" s="27"/>
      <c r="F6838" s="27"/>
      <c r="G6838" s="7"/>
    </row>
    <row r="6839" spans="5:7" x14ac:dyDescent="0.25">
      <c r="E6839" s="27"/>
      <c r="F6839" s="27"/>
      <c r="G6839" s="7"/>
    </row>
    <row r="6840" spans="5:7" x14ac:dyDescent="0.25">
      <c r="E6840" s="27"/>
      <c r="F6840" s="27"/>
      <c r="G6840" s="7"/>
    </row>
    <row r="6841" spans="5:7" x14ac:dyDescent="0.25">
      <c r="E6841" s="27"/>
      <c r="F6841" s="27"/>
      <c r="G6841" s="7"/>
    </row>
    <row r="6842" spans="5:7" x14ac:dyDescent="0.25">
      <c r="E6842" s="27"/>
      <c r="F6842" s="27"/>
      <c r="G6842" s="7"/>
    </row>
    <row r="6843" spans="5:7" x14ac:dyDescent="0.25">
      <c r="E6843" s="27"/>
      <c r="F6843" s="27"/>
      <c r="G6843" s="7"/>
    </row>
    <row r="6844" spans="5:7" x14ac:dyDescent="0.25">
      <c r="E6844" s="27"/>
      <c r="F6844" s="27"/>
      <c r="G6844" s="7"/>
    </row>
    <row r="6845" spans="5:7" x14ac:dyDescent="0.25">
      <c r="E6845" s="27"/>
      <c r="F6845" s="27"/>
      <c r="G6845" s="7"/>
    </row>
    <row r="6846" spans="5:7" x14ac:dyDescent="0.25">
      <c r="E6846" s="27"/>
      <c r="F6846" s="27"/>
      <c r="G6846" s="7"/>
    </row>
    <row r="6847" spans="5:7" x14ac:dyDescent="0.25">
      <c r="E6847" s="27"/>
      <c r="F6847" s="27"/>
      <c r="G6847" s="7"/>
    </row>
    <row r="6848" spans="5:7" x14ac:dyDescent="0.25">
      <c r="E6848" s="27"/>
      <c r="F6848" s="27"/>
      <c r="G6848" s="7"/>
    </row>
    <row r="6849" spans="5:7" x14ac:dyDescent="0.25">
      <c r="E6849" s="27"/>
      <c r="F6849" s="27"/>
      <c r="G6849" s="7"/>
    </row>
    <row r="6850" spans="5:7" x14ac:dyDescent="0.25">
      <c r="E6850" s="27"/>
      <c r="F6850" s="27"/>
      <c r="G6850" s="7"/>
    </row>
    <row r="6851" spans="5:7" x14ac:dyDescent="0.25">
      <c r="E6851" s="27"/>
      <c r="F6851" s="27"/>
      <c r="G6851" s="7"/>
    </row>
    <row r="6852" spans="5:7" x14ac:dyDescent="0.25">
      <c r="E6852" s="27"/>
      <c r="F6852" s="27"/>
      <c r="G6852" s="7"/>
    </row>
    <row r="6853" spans="5:7" x14ac:dyDescent="0.25">
      <c r="E6853" s="27"/>
      <c r="F6853" s="27"/>
      <c r="G6853" s="7"/>
    </row>
    <row r="6854" spans="5:7" x14ac:dyDescent="0.25">
      <c r="E6854" s="27"/>
      <c r="F6854" s="27"/>
      <c r="G6854" s="7"/>
    </row>
    <row r="6855" spans="5:7" x14ac:dyDescent="0.25">
      <c r="E6855" s="27"/>
      <c r="F6855" s="27"/>
      <c r="G6855" s="7"/>
    </row>
    <row r="6856" spans="5:7" x14ac:dyDescent="0.25">
      <c r="E6856" s="27"/>
      <c r="F6856" s="27"/>
      <c r="G6856" s="7"/>
    </row>
    <row r="6857" spans="5:7" x14ac:dyDescent="0.25">
      <c r="E6857" s="27"/>
      <c r="F6857" s="27"/>
      <c r="G6857" s="7"/>
    </row>
    <row r="6858" spans="5:7" x14ac:dyDescent="0.25">
      <c r="E6858" s="27"/>
      <c r="F6858" s="27"/>
      <c r="G6858" s="7"/>
    </row>
    <row r="6859" spans="5:7" x14ac:dyDescent="0.25">
      <c r="E6859" s="27"/>
      <c r="F6859" s="27"/>
      <c r="G6859" s="7"/>
    </row>
    <row r="6860" spans="5:7" x14ac:dyDescent="0.25">
      <c r="E6860" s="27"/>
      <c r="F6860" s="27"/>
      <c r="G6860" s="7"/>
    </row>
    <row r="6861" spans="5:7" x14ac:dyDescent="0.25">
      <c r="E6861" s="27"/>
      <c r="F6861" s="27"/>
      <c r="G6861" s="7"/>
    </row>
    <row r="6862" spans="5:7" x14ac:dyDescent="0.25">
      <c r="E6862" s="27"/>
      <c r="F6862" s="27"/>
      <c r="G6862" s="7"/>
    </row>
    <row r="6863" spans="5:7" x14ac:dyDescent="0.25">
      <c r="E6863" s="27"/>
      <c r="F6863" s="27"/>
      <c r="G6863" s="7"/>
    </row>
    <row r="6864" spans="5:7" x14ac:dyDescent="0.25">
      <c r="E6864" s="27"/>
      <c r="F6864" s="27"/>
      <c r="G6864" s="7"/>
    </row>
    <row r="6865" spans="5:7" x14ac:dyDescent="0.25">
      <c r="E6865" s="27"/>
      <c r="F6865" s="27"/>
      <c r="G6865" s="7"/>
    </row>
    <row r="6866" spans="5:7" x14ac:dyDescent="0.25">
      <c r="E6866" s="27"/>
      <c r="F6866" s="27"/>
      <c r="G6866" s="7"/>
    </row>
    <row r="6867" spans="5:7" x14ac:dyDescent="0.25">
      <c r="E6867" s="27"/>
      <c r="F6867" s="27"/>
      <c r="G6867" s="7"/>
    </row>
    <row r="6868" spans="5:7" x14ac:dyDescent="0.25">
      <c r="E6868" s="27"/>
      <c r="F6868" s="27"/>
      <c r="G6868" s="7"/>
    </row>
    <row r="6869" spans="5:7" x14ac:dyDescent="0.25">
      <c r="E6869" s="27"/>
      <c r="F6869" s="27"/>
      <c r="G6869" s="7"/>
    </row>
    <row r="6870" spans="5:7" x14ac:dyDescent="0.25">
      <c r="E6870" s="27"/>
      <c r="F6870" s="27"/>
      <c r="G6870" s="7"/>
    </row>
    <row r="6871" spans="5:7" x14ac:dyDescent="0.25">
      <c r="E6871" s="27"/>
      <c r="F6871" s="27"/>
      <c r="G6871" s="7"/>
    </row>
    <row r="6872" spans="5:7" x14ac:dyDescent="0.25">
      <c r="E6872" s="27"/>
      <c r="F6872" s="27"/>
      <c r="G6872" s="7"/>
    </row>
    <row r="6873" spans="5:7" x14ac:dyDescent="0.25">
      <c r="E6873" s="27"/>
      <c r="F6873" s="27"/>
      <c r="G6873" s="7"/>
    </row>
    <row r="6874" spans="5:7" x14ac:dyDescent="0.25">
      <c r="E6874" s="27"/>
      <c r="F6874" s="27"/>
      <c r="G6874" s="7"/>
    </row>
    <row r="6875" spans="5:7" x14ac:dyDescent="0.25">
      <c r="E6875" s="27"/>
      <c r="F6875" s="27"/>
      <c r="G6875" s="7"/>
    </row>
    <row r="6876" spans="5:7" x14ac:dyDescent="0.25">
      <c r="E6876" s="27"/>
      <c r="F6876" s="27"/>
      <c r="G6876" s="7"/>
    </row>
    <row r="6877" spans="5:7" x14ac:dyDescent="0.25">
      <c r="E6877" s="27"/>
      <c r="F6877" s="27"/>
      <c r="G6877" s="7"/>
    </row>
    <row r="6878" spans="5:7" x14ac:dyDescent="0.25">
      <c r="E6878" s="27"/>
      <c r="F6878" s="27"/>
      <c r="G6878" s="7"/>
    </row>
    <row r="6879" spans="5:7" x14ac:dyDescent="0.25">
      <c r="E6879" s="27"/>
      <c r="F6879" s="27"/>
      <c r="G6879" s="7"/>
    </row>
    <row r="6880" spans="5:7" x14ac:dyDescent="0.25">
      <c r="E6880" s="27"/>
      <c r="F6880" s="27"/>
      <c r="G6880" s="7"/>
    </row>
    <row r="6881" spans="5:7" x14ac:dyDescent="0.25">
      <c r="E6881" s="27"/>
      <c r="F6881" s="27"/>
      <c r="G6881" s="7"/>
    </row>
    <row r="6882" spans="5:7" x14ac:dyDescent="0.25">
      <c r="E6882" s="27"/>
      <c r="F6882" s="27"/>
      <c r="G6882" s="7"/>
    </row>
    <row r="6883" spans="5:7" x14ac:dyDescent="0.25">
      <c r="E6883" s="27"/>
      <c r="F6883" s="27"/>
      <c r="G6883" s="7"/>
    </row>
    <row r="6884" spans="5:7" x14ac:dyDescent="0.25">
      <c r="E6884" s="27"/>
      <c r="F6884" s="27"/>
      <c r="G6884" s="7"/>
    </row>
    <row r="6885" spans="5:7" x14ac:dyDescent="0.25">
      <c r="E6885" s="27"/>
      <c r="F6885" s="27"/>
      <c r="G6885" s="7"/>
    </row>
    <row r="6886" spans="5:7" x14ac:dyDescent="0.25">
      <c r="E6886" s="27"/>
      <c r="F6886" s="27"/>
      <c r="G6886" s="7"/>
    </row>
    <row r="6887" spans="5:7" x14ac:dyDescent="0.25">
      <c r="E6887" s="27"/>
      <c r="F6887" s="27"/>
      <c r="G6887" s="7"/>
    </row>
    <row r="6888" spans="5:7" x14ac:dyDescent="0.25">
      <c r="E6888" s="27"/>
      <c r="F6888" s="27"/>
      <c r="G6888" s="7"/>
    </row>
    <row r="6889" spans="5:7" x14ac:dyDescent="0.25">
      <c r="E6889" s="27"/>
      <c r="F6889" s="27"/>
      <c r="G6889" s="7"/>
    </row>
    <row r="6890" spans="5:7" x14ac:dyDescent="0.25">
      <c r="E6890" s="27"/>
      <c r="F6890" s="27"/>
      <c r="G6890" s="7"/>
    </row>
    <row r="6891" spans="5:7" x14ac:dyDescent="0.25">
      <c r="E6891" s="27"/>
      <c r="F6891" s="27"/>
      <c r="G6891" s="7"/>
    </row>
    <row r="6892" spans="5:7" x14ac:dyDescent="0.25">
      <c r="E6892" s="27"/>
      <c r="F6892" s="27"/>
      <c r="G6892" s="7"/>
    </row>
    <row r="6893" spans="5:7" x14ac:dyDescent="0.25">
      <c r="E6893" s="27"/>
      <c r="F6893" s="27"/>
      <c r="G6893" s="7"/>
    </row>
    <row r="6894" spans="5:7" x14ac:dyDescent="0.25">
      <c r="E6894" s="27"/>
      <c r="F6894" s="27"/>
      <c r="G6894" s="7"/>
    </row>
    <row r="6895" spans="5:7" x14ac:dyDescent="0.25">
      <c r="E6895" s="27"/>
      <c r="F6895" s="27"/>
      <c r="G6895" s="7"/>
    </row>
    <row r="6896" spans="5:7" x14ac:dyDescent="0.25">
      <c r="E6896" s="27"/>
      <c r="F6896" s="27"/>
      <c r="G6896" s="7"/>
    </row>
    <row r="6897" spans="5:7" x14ac:dyDescent="0.25">
      <c r="E6897" s="27"/>
      <c r="F6897" s="27"/>
      <c r="G6897" s="7"/>
    </row>
    <row r="6898" spans="5:7" x14ac:dyDescent="0.25">
      <c r="E6898" s="27"/>
      <c r="F6898" s="27"/>
      <c r="G6898" s="7"/>
    </row>
    <row r="6899" spans="5:7" x14ac:dyDescent="0.25">
      <c r="E6899" s="27"/>
      <c r="F6899" s="27"/>
      <c r="G6899" s="7"/>
    </row>
    <row r="6900" spans="5:7" x14ac:dyDescent="0.25">
      <c r="E6900" s="27"/>
      <c r="F6900" s="27"/>
      <c r="G6900" s="7"/>
    </row>
    <row r="6901" spans="5:7" x14ac:dyDescent="0.25">
      <c r="E6901" s="27"/>
      <c r="F6901" s="27"/>
      <c r="G6901" s="7"/>
    </row>
    <row r="6902" spans="5:7" x14ac:dyDescent="0.25">
      <c r="E6902" s="27"/>
      <c r="F6902" s="27"/>
      <c r="G6902" s="7"/>
    </row>
    <row r="6903" spans="5:7" x14ac:dyDescent="0.25">
      <c r="E6903" s="27"/>
      <c r="F6903" s="27"/>
      <c r="G6903" s="7"/>
    </row>
    <row r="6904" spans="5:7" x14ac:dyDescent="0.25">
      <c r="E6904" s="27"/>
      <c r="F6904" s="27"/>
      <c r="G6904" s="7"/>
    </row>
    <row r="6905" spans="5:7" x14ac:dyDescent="0.25">
      <c r="E6905" s="27"/>
      <c r="F6905" s="27"/>
      <c r="G6905" s="7"/>
    </row>
    <row r="6906" spans="5:7" x14ac:dyDescent="0.25">
      <c r="E6906" s="27"/>
      <c r="F6906" s="27"/>
      <c r="G6906" s="7"/>
    </row>
    <row r="6907" spans="5:7" x14ac:dyDescent="0.25">
      <c r="E6907" s="27"/>
      <c r="F6907" s="27"/>
      <c r="G6907" s="7"/>
    </row>
    <row r="6908" spans="5:7" x14ac:dyDescent="0.25">
      <c r="E6908" s="27"/>
      <c r="F6908" s="27"/>
      <c r="G6908" s="7"/>
    </row>
    <row r="6909" spans="5:7" x14ac:dyDescent="0.25">
      <c r="E6909" s="27"/>
      <c r="F6909" s="27"/>
      <c r="G6909" s="7"/>
    </row>
    <row r="6910" spans="5:7" x14ac:dyDescent="0.25">
      <c r="E6910" s="27"/>
      <c r="F6910" s="27"/>
      <c r="G6910" s="7"/>
    </row>
    <row r="6911" spans="5:7" x14ac:dyDescent="0.25">
      <c r="E6911" s="27"/>
      <c r="F6911" s="27"/>
      <c r="G6911" s="7"/>
    </row>
    <row r="6912" spans="5:7" x14ac:dyDescent="0.25">
      <c r="E6912" s="27"/>
      <c r="F6912" s="27"/>
      <c r="G6912" s="7"/>
    </row>
    <row r="6913" spans="5:7" x14ac:dyDescent="0.25">
      <c r="E6913" s="27"/>
      <c r="F6913" s="27"/>
      <c r="G6913" s="7"/>
    </row>
    <row r="6914" spans="5:7" x14ac:dyDescent="0.25">
      <c r="E6914" s="27"/>
      <c r="F6914" s="27"/>
      <c r="G6914" s="7"/>
    </row>
    <row r="6915" spans="5:7" x14ac:dyDescent="0.25">
      <c r="E6915" s="27"/>
      <c r="F6915" s="27"/>
      <c r="G6915" s="7"/>
    </row>
    <row r="6916" spans="5:7" x14ac:dyDescent="0.25">
      <c r="E6916" s="27"/>
      <c r="F6916" s="27"/>
      <c r="G6916" s="7"/>
    </row>
    <row r="6917" spans="5:7" x14ac:dyDescent="0.25">
      <c r="E6917" s="27"/>
      <c r="F6917" s="27"/>
      <c r="G6917" s="7"/>
    </row>
    <row r="6918" spans="5:7" x14ac:dyDescent="0.25">
      <c r="E6918" s="27"/>
      <c r="F6918" s="27"/>
      <c r="G6918" s="7"/>
    </row>
    <row r="6919" spans="5:7" x14ac:dyDescent="0.25">
      <c r="E6919" s="27"/>
      <c r="F6919" s="27"/>
      <c r="G6919" s="7"/>
    </row>
    <row r="6920" spans="5:7" x14ac:dyDescent="0.25">
      <c r="E6920" s="27"/>
      <c r="F6920" s="27"/>
      <c r="G6920" s="7"/>
    </row>
    <row r="6921" spans="5:7" x14ac:dyDescent="0.25">
      <c r="E6921" s="27"/>
      <c r="F6921" s="27"/>
      <c r="G6921" s="7"/>
    </row>
    <row r="6922" spans="5:7" x14ac:dyDescent="0.25">
      <c r="E6922" s="27"/>
      <c r="F6922" s="27"/>
      <c r="G6922" s="7"/>
    </row>
    <row r="6923" spans="5:7" x14ac:dyDescent="0.25">
      <c r="E6923" s="27"/>
      <c r="F6923" s="27"/>
      <c r="G6923" s="7"/>
    </row>
    <row r="6924" spans="5:7" x14ac:dyDescent="0.25">
      <c r="E6924" s="27"/>
      <c r="F6924" s="27"/>
      <c r="G6924" s="7"/>
    </row>
    <row r="6925" spans="5:7" x14ac:dyDescent="0.25">
      <c r="E6925" s="27"/>
      <c r="F6925" s="27"/>
      <c r="G6925" s="7"/>
    </row>
    <row r="6926" spans="5:7" x14ac:dyDescent="0.25">
      <c r="E6926" s="27"/>
      <c r="F6926" s="27"/>
      <c r="G6926" s="7"/>
    </row>
    <row r="6927" spans="5:7" x14ac:dyDescent="0.25">
      <c r="E6927" s="27"/>
      <c r="F6927" s="27"/>
      <c r="G6927" s="7"/>
    </row>
    <row r="6928" spans="5:7" x14ac:dyDescent="0.25">
      <c r="E6928" s="27"/>
      <c r="F6928" s="27"/>
      <c r="G6928" s="7"/>
    </row>
    <row r="6929" spans="5:7" x14ac:dyDescent="0.25">
      <c r="E6929" s="27"/>
      <c r="F6929" s="27"/>
      <c r="G6929" s="7"/>
    </row>
    <row r="6930" spans="5:7" x14ac:dyDescent="0.25">
      <c r="E6930" s="27"/>
      <c r="F6930" s="27"/>
      <c r="G6930" s="7"/>
    </row>
    <row r="6931" spans="5:7" x14ac:dyDescent="0.25">
      <c r="E6931" s="27"/>
      <c r="F6931" s="27"/>
      <c r="G6931" s="7"/>
    </row>
    <row r="6932" spans="5:7" x14ac:dyDescent="0.25">
      <c r="E6932" s="27"/>
      <c r="F6932" s="27"/>
      <c r="G6932" s="7"/>
    </row>
    <row r="6933" spans="5:7" x14ac:dyDescent="0.25">
      <c r="E6933" s="27"/>
      <c r="F6933" s="27"/>
      <c r="G6933" s="7"/>
    </row>
    <row r="6934" spans="5:7" x14ac:dyDescent="0.25">
      <c r="E6934" s="27"/>
      <c r="F6934" s="27"/>
      <c r="G6934" s="7"/>
    </row>
    <row r="6935" spans="5:7" x14ac:dyDescent="0.25">
      <c r="E6935" s="27"/>
      <c r="F6935" s="27"/>
      <c r="G6935" s="7"/>
    </row>
    <row r="6936" spans="5:7" x14ac:dyDescent="0.25">
      <c r="E6936" s="27"/>
      <c r="F6936" s="27"/>
      <c r="G6936" s="7"/>
    </row>
    <row r="6937" spans="5:7" x14ac:dyDescent="0.25">
      <c r="E6937" s="27"/>
      <c r="F6937" s="27"/>
      <c r="G6937" s="7"/>
    </row>
    <row r="6938" spans="5:7" x14ac:dyDescent="0.25">
      <c r="E6938" s="27"/>
      <c r="F6938" s="27"/>
      <c r="G6938" s="7"/>
    </row>
    <row r="6939" spans="5:7" x14ac:dyDescent="0.25">
      <c r="E6939" s="27"/>
      <c r="F6939" s="27"/>
      <c r="G6939" s="7"/>
    </row>
    <row r="6940" spans="5:7" x14ac:dyDescent="0.25">
      <c r="E6940" s="27"/>
      <c r="F6940" s="27"/>
      <c r="G6940" s="7"/>
    </row>
    <row r="6941" spans="5:7" x14ac:dyDescent="0.25">
      <c r="E6941" s="27"/>
      <c r="F6941" s="27"/>
      <c r="G6941" s="7"/>
    </row>
    <row r="6942" spans="5:7" x14ac:dyDescent="0.25">
      <c r="E6942" s="27"/>
      <c r="F6942" s="27"/>
      <c r="G6942" s="7"/>
    </row>
    <row r="6943" spans="5:7" x14ac:dyDescent="0.25">
      <c r="E6943" s="27"/>
      <c r="F6943" s="27"/>
      <c r="G6943" s="7"/>
    </row>
    <row r="6944" spans="5:7" x14ac:dyDescent="0.25">
      <c r="E6944" s="27"/>
      <c r="F6944" s="27"/>
      <c r="G6944" s="7"/>
    </row>
    <row r="6945" spans="5:7" x14ac:dyDescent="0.25">
      <c r="E6945" s="27"/>
      <c r="F6945" s="27"/>
      <c r="G6945" s="7"/>
    </row>
    <row r="6946" spans="5:7" x14ac:dyDescent="0.25">
      <c r="E6946" s="27"/>
      <c r="F6946" s="27"/>
      <c r="G6946" s="7"/>
    </row>
    <row r="6947" spans="5:7" x14ac:dyDescent="0.25">
      <c r="E6947" s="27"/>
      <c r="F6947" s="27"/>
      <c r="G6947" s="7"/>
    </row>
    <row r="6948" spans="5:7" x14ac:dyDescent="0.25">
      <c r="E6948" s="27"/>
      <c r="F6948" s="27"/>
      <c r="G6948" s="7"/>
    </row>
    <row r="6949" spans="5:7" x14ac:dyDescent="0.25">
      <c r="E6949" s="27"/>
      <c r="F6949" s="27"/>
      <c r="G6949" s="7"/>
    </row>
    <row r="6950" spans="5:7" x14ac:dyDescent="0.25">
      <c r="E6950" s="27"/>
      <c r="F6950" s="27"/>
      <c r="G6950" s="7"/>
    </row>
    <row r="6951" spans="5:7" x14ac:dyDescent="0.25">
      <c r="E6951" s="27"/>
      <c r="F6951" s="27"/>
      <c r="G6951" s="7"/>
    </row>
    <row r="6952" spans="5:7" x14ac:dyDescent="0.25">
      <c r="E6952" s="27"/>
      <c r="F6952" s="27"/>
      <c r="G6952" s="7"/>
    </row>
    <row r="6953" spans="5:7" x14ac:dyDescent="0.25">
      <c r="E6953" s="27"/>
      <c r="F6953" s="27"/>
      <c r="G6953" s="7"/>
    </row>
    <row r="6954" spans="5:7" x14ac:dyDescent="0.25">
      <c r="E6954" s="27"/>
      <c r="F6954" s="27"/>
      <c r="G6954" s="7"/>
    </row>
    <row r="6955" spans="5:7" x14ac:dyDescent="0.25">
      <c r="E6955" s="27"/>
      <c r="F6955" s="27"/>
      <c r="G6955" s="7"/>
    </row>
    <row r="6956" spans="5:7" x14ac:dyDescent="0.25">
      <c r="E6956" s="27"/>
      <c r="F6956" s="27"/>
      <c r="G6956" s="7"/>
    </row>
    <row r="6957" spans="5:7" x14ac:dyDescent="0.25">
      <c r="E6957" s="27"/>
      <c r="F6957" s="27"/>
      <c r="G6957" s="7"/>
    </row>
    <row r="6958" spans="5:7" x14ac:dyDescent="0.25">
      <c r="E6958" s="27"/>
      <c r="F6958" s="27"/>
      <c r="G6958" s="7"/>
    </row>
    <row r="6959" spans="5:7" x14ac:dyDescent="0.25">
      <c r="E6959" s="27"/>
      <c r="F6959" s="27"/>
      <c r="G6959" s="7"/>
    </row>
    <row r="6960" spans="5:7" x14ac:dyDescent="0.25">
      <c r="E6960" s="27"/>
      <c r="F6960" s="27"/>
      <c r="G6960" s="7"/>
    </row>
    <row r="6961" spans="5:7" x14ac:dyDescent="0.25">
      <c r="E6961" s="27"/>
      <c r="F6961" s="27"/>
      <c r="G6961" s="7"/>
    </row>
    <row r="6962" spans="5:7" x14ac:dyDescent="0.25">
      <c r="E6962" s="27"/>
      <c r="F6962" s="27"/>
      <c r="G6962" s="7"/>
    </row>
    <row r="6963" spans="5:7" x14ac:dyDescent="0.25">
      <c r="E6963" s="27"/>
      <c r="F6963" s="27"/>
      <c r="G6963" s="7"/>
    </row>
    <row r="6964" spans="5:7" x14ac:dyDescent="0.25">
      <c r="E6964" s="27"/>
      <c r="F6964" s="27"/>
      <c r="G6964" s="7"/>
    </row>
    <row r="6965" spans="5:7" x14ac:dyDescent="0.25">
      <c r="E6965" s="27"/>
      <c r="F6965" s="27"/>
      <c r="G6965" s="7"/>
    </row>
    <row r="6966" spans="5:7" x14ac:dyDescent="0.25">
      <c r="E6966" s="27"/>
      <c r="F6966" s="27"/>
      <c r="G6966" s="7"/>
    </row>
    <row r="6967" spans="5:7" x14ac:dyDescent="0.25">
      <c r="E6967" s="27"/>
      <c r="F6967" s="27"/>
      <c r="G6967" s="7"/>
    </row>
    <row r="6968" spans="5:7" x14ac:dyDescent="0.25">
      <c r="E6968" s="27"/>
      <c r="F6968" s="27"/>
      <c r="G6968" s="7"/>
    </row>
    <row r="6969" spans="5:7" x14ac:dyDescent="0.25">
      <c r="E6969" s="27"/>
      <c r="F6969" s="27"/>
      <c r="G6969" s="7"/>
    </row>
    <row r="6970" spans="5:7" x14ac:dyDescent="0.25">
      <c r="E6970" s="27"/>
      <c r="F6970" s="27"/>
      <c r="G6970" s="7"/>
    </row>
    <row r="6971" spans="5:7" x14ac:dyDescent="0.25">
      <c r="E6971" s="27"/>
      <c r="F6971" s="27"/>
      <c r="G6971" s="7"/>
    </row>
    <row r="6972" spans="5:7" x14ac:dyDescent="0.25">
      <c r="E6972" s="27"/>
      <c r="F6972" s="27"/>
      <c r="G6972" s="7"/>
    </row>
    <row r="6973" spans="5:7" x14ac:dyDescent="0.25">
      <c r="E6973" s="27"/>
      <c r="F6973" s="27"/>
      <c r="G6973" s="7"/>
    </row>
    <row r="6974" spans="5:7" x14ac:dyDescent="0.25">
      <c r="E6974" s="27"/>
      <c r="F6974" s="27"/>
      <c r="G6974" s="7"/>
    </row>
    <row r="6975" spans="5:7" x14ac:dyDescent="0.25">
      <c r="E6975" s="27"/>
      <c r="F6975" s="27"/>
      <c r="G6975" s="7"/>
    </row>
    <row r="6976" spans="5:7" x14ac:dyDescent="0.25">
      <c r="E6976" s="27"/>
      <c r="F6976" s="27"/>
      <c r="G6976" s="7"/>
    </row>
    <row r="6977" spans="5:7" x14ac:dyDescent="0.25">
      <c r="E6977" s="27"/>
      <c r="F6977" s="27"/>
      <c r="G6977" s="7"/>
    </row>
    <row r="6978" spans="5:7" x14ac:dyDescent="0.25">
      <c r="E6978" s="27"/>
      <c r="F6978" s="27"/>
      <c r="G6978" s="7"/>
    </row>
    <row r="6979" spans="5:7" x14ac:dyDescent="0.25">
      <c r="E6979" s="27"/>
      <c r="F6979" s="27"/>
      <c r="G6979" s="7"/>
    </row>
    <row r="6980" spans="5:7" x14ac:dyDescent="0.25">
      <c r="E6980" s="27"/>
      <c r="F6980" s="27"/>
      <c r="G6980" s="7"/>
    </row>
    <row r="6981" spans="5:7" x14ac:dyDescent="0.25">
      <c r="E6981" s="27"/>
      <c r="F6981" s="27"/>
      <c r="G6981" s="7"/>
    </row>
    <row r="6982" spans="5:7" x14ac:dyDescent="0.25">
      <c r="E6982" s="27"/>
      <c r="F6982" s="27"/>
      <c r="G6982" s="7"/>
    </row>
    <row r="6983" spans="5:7" x14ac:dyDescent="0.25">
      <c r="E6983" s="27"/>
      <c r="F6983" s="27"/>
      <c r="G6983" s="7"/>
    </row>
    <row r="6984" spans="5:7" x14ac:dyDescent="0.25">
      <c r="E6984" s="27"/>
      <c r="F6984" s="27"/>
      <c r="G6984" s="7"/>
    </row>
    <row r="6985" spans="5:7" x14ac:dyDescent="0.25">
      <c r="E6985" s="27"/>
      <c r="F6985" s="27"/>
      <c r="G6985" s="7"/>
    </row>
    <row r="6986" spans="5:7" x14ac:dyDescent="0.25">
      <c r="E6986" s="27"/>
      <c r="F6986" s="27"/>
      <c r="G6986" s="7"/>
    </row>
    <row r="6987" spans="5:7" x14ac:dyDescent="0.25">
      <c r="E6987" s="27"/>
      <c r="F6987" s="27"/>
      <c r="G6987" s="7"/>
    </row>
    <row r="6988" spans="5:7" x14ac:dyDescent="0.25">
      <c r="E6988" s="27"/>
      <c r="F6988" s="27"/>
      <c r="G6988" s="7"/>
    </row>
    <row r="6989" spans="5:7" x14ac:dyDescent="0.25">
      <c r="E6989" s="27"/>
      <c r="F6989" s="27"/>
      <c r="G6989" s="7"/>
    </row>
    <row r="6990" spans="5:7" x14ac:dyDescent="0.25">
      <c r="E6990" s="27"/>
      <c r="F6990" s="27"/>
      <c r="G6990" s="7"/>
    </row>
    <row r="6991" spans="5:7" x14ac:dyDescent="0.25">
      <c r="E6991" s="27"/>
      <c r="F6991" s="27"/>
      <c r="G6991" s="7"/>
    </row>
    <row r="6992" spans="5:7" x14ac:dyDescent="0.25">
      <c r="E6992" s="27"/>
      <c r="F6992" s="27"/>
      <c r="G6992" s="7"/>
    </row>
    <row r="6993" spans="5:7" x14ac:dyDescent="0.25">
      <c r="E6993" s="27"/>
      <c r="F6993" s="27"/>
      <c r="G6993" s="7"/>
    </row>
    <row r="6994" spans="5:7" x14ac:dyDescent="0.25">
      <c r="E6994" s="27"/>
      <c r="F6994" s="27"/>
      <c r="G6994" s="7"/>
    </row>
    <row r="6995" spans="5:7" x14ac:dyDescent="0.25">
      <c r="E6995" s="27"/>
      <c r="F6995" s="27"/>
      <c r="G6995" s="7"/>
    </row>
    <row r="6996" spans="5:7" x14ac:dyDescent="0.25">
      <c r="E6996" s="27"/>
      <c r="F6996" s="27"/>
      <c r="G6996" s="7"/>
    </row>
    <row r="6997" spans="5:7" x14ac:dyDescent="0.25">
      <c r="E6997" s="27"/>
      <c r="F6997" s="27"/>
      <c r="G6997" s="7"/>
    </row>
    <row r="6998" spans="5:7" x14ac:dyDescent="0.25">
      <c r="E6998" s="27"/>
      <c r="F6998" s="27"/>
      <c r="G6998" s="7"/>
    </row>
    <row r="6999" spans="5:7" x14ac:dyDescent="0.25">
      <c r="E6999" s="27"/>
      <c r="F6999" s="27"/>
      <c r="G6999" s="7"/>
    </row>
    <row r="7000" spans="5:7" x14ac:dyDescent="0.25">
      <c r="E7000" s="27"/>
      <c r="F7000" s="27"/>
      <c r="G7000" s="7"/>
    </row>
    <row r="7001" spans="5:7" x14ac:dyDescent="0.25">
      <c r="E7001" s="27"/>
      <c r="F7001" s="27"/>
      <c r="G7001" s="7"/>
    </row>
    <row r="7002" spans="5:7" x14ac:dyDescent="0.25">
      <c r="E7002" s="27"/>
      <c r="F7002" s="27"/>
      <c r="G7002" s="7"/>
    </row>
    <row r="7003" spans="5:7" x14ac:dyDescent="0.25">
      <c r="E7003" s="27"/>
      <c r="F7003" s="27"/>
      <c r="G7003" s="7"/>
    </row>
    <row r="7004" spans="5:7" x14ac:dyDescent="0.25">
      <c r="E7004" s="27"/>
      <c r="F7004" s="27"/>
      <c r="G7004" s="7"/>
    </row>
    <row r="7005" spans="5:7" x14ac:dyDescent="0.25">
      <c r="E7005" s="27"/>
      <c r="F7005" s="27"/>
      <c r="G7005" s="7"/>
    </row>
    <row r="7006" spans="5:7" x14ac:dyDescent="0.25">
      <c r="E7006" s="27"/>
      <c r="F7006" s="27"/>
      <c r="G7006" s="7"/>
    </row>
    <row r="7007" spans="5:7" x14ac:dyDescent="0.25">
      <c r="E7007" s="27"/>
      <c r="F7007" s="27"/>
      <c r="G7007" s="7"/>
    </row>
    <row r="7008" spans="5:7" x14ac:dyDescent="0.25">
      <c r="E7008" s="27"/>
      <c r="F7008" s="27"/>
      <c r="G7008" s="7"/>
    </row>
    <row r="7009" spans="5:7" x14ac:dyDescent="0.25">
      <c r="E7009" s="27"/>
      <c r="F7009" s="27"/>
      <c r="G7009" s="7"/>
    </row>
    <row r="7010" spans="5:7" x14ac:dyDescent="0.25">
      <c r="E7010" s="27"/>
      <c r="F7010" s="27"/>
      <c r="G7010" s="7"/>
    </row>
    <row r="7011" spans="5:7" x14ac:dyDescent="0.25">
      <c r="E7011" s="27"/>
      <c r="F7011" s="27"/>
      <c r="G7011" s="7"/>
    </row>
    <row r="7012" spans="5:7" x14ac:dyDescent="0.25">
      <c r="E7012" s="27"/>
      <c r="F7012" s="27"/>
      <c r="G7012" s="7"/>
    </row>
    <row r="7013" spans="5:7" x14ac:dyDescent="0.25">
      <c r="E7013" s="27"/>
      <c r="F7013" s="27"/>
      <c r="G7013" s="7"/>
    </row>
    <row r="7014" spans="5:7" x14ac:dyDescent="0.25">
      <c r="E7014" s="27"/>
      <c r="F7014" s="27"/>
      <c r="G7014" s="7"/>
    </row>
    <row r="7015" spans="5:7" x14ac:dyDescent="0.25">
      <c r="E7015" s="27"/>
      <c r="F7015" s="27"/>
      <c r="G7015" s="7"/>
    </row>
    <row r="7016" spans="5:7" x14ac:dyDescent="0.25">
      <c r="E7016" s="27"/>
      <c r="F7016" s="27"/>
      <c r="G7016" s="7"/>
    </row>
    <row r="7017" spans="5:7" x14ac:dyDescent="0.25">
      <c r="E7017" s="27"/>
      <c r="F7017" s="27"/>
      <c r="G7017" s="7"/>
    </row>
    <row r="7018" spans="5:7" x14ac:dyDescent="0.25">
      <c r="E7018" s="27"/>
      <c r="F7018" s="27"/>
      <c r="G7018" s="7"/>
    </row>
    <row r="7019" spans="5:7" x14ac:dyDescent="0.25">
      <c r="E7019" s="27"/>
      <c r="F7019" s="27"/>
      <c r="G7019" s="7"/>
    </row>
    <row r="7020" spans="5:7" x14ac:dyDescent="0.25">
      <c r="E7020" s="27"/>
      <c r="F7020" s="27"/>
      <c r="G7020" s="7"/>
    </row>
    <row r="7021" spans="5:7" x14ac:dyDescent="0.25">
      <c r="E7021" s="27"/>
      <c r="F7021" s="27"/>
      <c r="G7021" s="7"/>
    </row>
    <row r="7022" spans="5:7" x14ac:dyDescent="0.25">
      <c r="E7022" s="27"/>
      <c r="F7022" s="27"/>
      <c r="G7022" s="7"/>
    </row>
    <row r="7023" spans="5:7" x14ac:dyDescent="0.25">
      <c r="E7023" s="27"/>
      <c r="F7023" s="27"/>
      <c r="G7023" s="7"/>
    </row>
    <row r="7024" spans="5:7" x14ac:dyDescent="0.25">
      <c r="E7024" s="27"/>
      <c r="F7024" s="27"/>
      <c r="G7024" s="7"/>
    </row>
    <row r="7025" spans="5:7" x14ac:dyDescent="0.25">
      <c r="E7025" s="27"/>
      <c r="F7025" s="27"/>
      <c r="G7025" s="7"/>
    </row>
    <row r="7026" spans="5:7" x14ac:dyDescent="0.25">
      <c r="E7026" s="27"/>
      <c r="F7026" s="27"/>
      <c r="G7026" s="7"/>
    </row>
    <row r="7027" spans="5:7" x14ac:dyDescent="0.25">
      <c r="E7027" s="27"/>
      <c r="F7027" s="27"/>
      <c r="G7027" s="7"/>
    </row>
    <row r="7028" spans="5:7" x14ac:dyDescent="0.25">
      <c r="E7028" s="27"/>
      <c r="F7028" s="27"/>
      <c r="G7028" s="7"/>
    </row>
    <row r="7029" spans="5:7" x14ac:dyDescent="0.25">
      <c r="E7029" s="27"/>
      <c r="F7029" s="27"/>
      <c r="G7029" s="7"/>
    </row>
    <row r="7030" spans="5:7" x14ac:dyDescent="0.25">
      <c r="E7030" s="27"/>
      <c r="F7030" s="27"/>
      <c r="G7030" s="7"/>
    </row>
    <row r="7031" spans="5:7" x14ac:dyDescent="0.25">
      <c r="E7031" s="27"/>
      <c r="F7031" s="27"/>
      <c r="G7031" s="7"/>
    </row>
    <row r="7032" spans="5:7" x14ac:dyDescent="0.25">
      <c r="E7032" s="27"/>
      <c r="F7032" s="27"/>
      <c r="G7032" s="7"/>
    </row>
    <row r="7033" spans="5:7" x14ac:dyDescent="0.25">
      <c r="E7033" s="27"/>
      <c r="F7033" s="27"/>
      <c r="G7033" s="7"/>
    </row>
    <row r="7034" spans="5:7" x14ac:dyDescent="0.25">
      <c r="E7034" s="27"/>
      <c r="F7034" s="27"/>
      <c r="G7034" s="7"/>
    </row>
    <row r="7035" spans="5:7" x14ac:dyDescent="0.25">
      <c r="E7035" s="27"/>
      <c r="F7035" s="27"/>
      <c r="G7035" s="7"/>
    </row>
    <row r="7036" spans="5:7" x14ac:dyDescent="0.25">
      <c r="E7036" s="27"/>
      <c r="F7036" s="27"/>
      <c r="G7036" s="7"/>
    </row>
    <row r="7037" spans="5:7" x14ac:dyDescent="0.25">
      <c r="E7037" s="27"/>
      <c r="F7037" s="27"/>
      <c r="G7037" s="7"/>
    </row>
    <row r="7038" spans="5:7" x14ac:dyDescent="0.25">
      <c r="E7038" s="27"/>
      <c r="F7038" s="27"/>
      <c r="G7038" s="7"/>
    </row>
    <row r="7039" spans="5:7" x14ac:dyDescent="0.25">
      <c r="E7039" s="27"/>
      <c r="F7039" s="27"/>
      <c r="G7039" s="7"/>
    </row>
    <row r="7040" spans="5:7" x14ac:dyDescent="0.25">
      <c r="E7040" s="27"/>
      <c r="F7040" s="27"/>
      <c r="G7040" s="7"/>
    </row>
    <row r="7041" spans="5:7" x14ac:dyDescent="0.25">
      <c r="E7041" s="27"/>
      <c r="F7041" s="27"/>
      <c r="G7041" s="7"/>
    </row>
    <row r="7042" spans="5:7" x14ac:dyDescent="0.25">
      <c r="E7042" s="27"/>
      <c r="F7042" s="27"/>
      <c r="G7042" s="7"/>
    </row>
    <row r="7043" spans="5:7" x14ac:dyDescent="0.25">
      <c r="E7043" s="27"/>
      <c r="F7043" s="27"/>
      <c r="G7043" s="7"/>
    </row>
    <row r="7044" spans="5:7" x14ac:dyDescent="0.25">
      <c r="E7044" s="27"/>
      <c r="F7044" s="27"/>
      <c r="G7044" s="7"/>
    </row>
    <row r="7045" spans="5:7" x14ac:dyDescent="0.25">
      <c r="E7045" s="27"/>
      <c r="F7045" s="27"/>
      <c r="G7045" s="7"/>
    </row>
    <row r="7046" spans="5:7" x14ac:dyDescent="0.25">
      <c r="E7046" s="27"/>
      <c r="F7046" s="27"/>
      <c r="G7046" s="7"/>
    </row>
    <row r="7047" spans="5:7" x14ac:dyDescent="0.25">
      <c r="E7047" s="27"/>
      <c r="F7047" s="27"/>
      <c r="G7047" s="7"/>
    </row>
    <row r="7048" spans="5:7" x14ac:dyDescent="0.25">
      <c r="E7048" s="27"/>
      <c r="F7048" s="27"/>
      <c r="G7048" s="7"/>
    </row>
    <row r="7049" spans="5:7" x14ac:dyDescent="0.25">
      <c r="E7049" s="27"/>
      <c r="F7049" s="27"/>
      <c r="G7049" s="7"/>
    </row>
    <row r="7050" spans="5:7" x14ac:dyDescent="0.25">
      <c r="E7050" s="27"/>
      <c r="F7050" s="27"/>
      <c r="G7050" s="7"/>
    </row>
    <row r="7051" spans="5:7" x14ac:dyDescent="0.25">
      <c r="E7051" s="27"/>
      <c r="F7051" s="27"/>
      <c r="G7051" s="7"/>
    </row>
    <row r="7052" spans="5:7" x14ac:dyDescent="0.25">
      <c r="E7052" s="27"/>
      <c r="F7052" s="27"/>
      <c r="G7052" s="7"/>
    </row>
    <row r="7053" spans="5:7" x14ac:dyDescent="0.25">
      <c r="E7053" s="27"/>
      <c r="F7053" s="27"/>
      <c r="G7053" s="7"/>
    </row>
    <row r="7054" spans="5:7" x14ac:dyDescent="0.25">
      <c r="E7054" s="27"/>
      <c r="F7054" s="27"/>
      <c r="G7054" s="7"/>
    </row>
    <row r="7055" spans="5:7" x14ac:dyDescent="0.25">
      <c r="E7055" s="27"/>
      <c r="F7055" s="27"/>
      <c r="G7055" s="7"/>
    </row>
    <row r="7056" spans="5:7" x14ac:dyDescent="0.25">
      <c r="E7056" s="27"/>
      <c r="F7056" s="27"/>
      <c r="G7056" s="7"/>
    </row>
    <row r="7057" spans="5:7" x14ac:dyDescent="0.25">
      <c r="E7057" s="27"/>
      <c r="F7057" s="27"/>
      <c r="G7057" s="7"/>
    </row>
    <row r="7058" spans="5:7" x14ac:dyDescent="0.25">
      <c r="E7058" s="27"/>
      <c r="F7058" s="27"/>
      <c r="G7058" s="7"/>
    </row>
    <row r="7059" spans="5:7" x14ac:dyDescent="0.25">
      <c r="E7059" s="27"/>
      <c r="F7059" s="27"/>
      <c r="G7059" s="7"/>
    </row>
    <row r="7060" spans="5:7" x14ac:dyDescent="0.25">
      <c r="E7060" s="27"/>
      <c r="F7060" s="27"/>
      <c r="G7060" s="7"/>
    </row>
    <row r="7061" spans="5:7" x14ac:dyDescent="0.25">
      <c r="E7061" s="27"/>
      <c r="F7061" s="27"/>
      <c r="G7061" s="7"/>
    </row>
    <row r="7062" spans="5:7" x14ac:dyDescent="0.25">
      <c r="E7062" s="27"/>
      <c r="F7062" s="27"/>
      <c r="G7062" s="7"/>
    </row>
    <row r="7063" spans="5:7" x14ac:dyDescent="0.25">
      <c r="E7063" s="27"/>
      <c r="F7063" s="27"/>
      <c r="G7063" s="7"/>
    </row>
    <row r="7064" spans="5:7" x14ac:dyDescent="0.25">
      <c r="E7064" s="27"/>
      <c r="F7064" s="27"/>
      <c r="G7064" s="7"/>
    </row>
    <row r="7065" spans="5:7" x14ac:dyDescent="0.25">
      <c r="E7065" s="27"/>
      <c r="F7065" s="27"/>
      <c r="G7065" s="7"/>
    </row>
    <row r="7066" spans="5:7" x14ac:dyDescent="0.25">
      <c r="E7066" s="27"/>
      <c r="F7066" s="27"/>
      <c r="G7066" s="7"/>
    </row>
    <row r="7067" spans="5:7" x14ac:dyDescent="0.25">
      <c r="E7067" s="27"/>
      <c r="F7067" s="27"/>
      <c r="G7067" s="7"/>
    </row>
    <row r="7068" spans="5:7" x14ac:dyDescent="0.25">
      <c r="E7068" s="27"/>
      <c r="F7068" s="27"/>
      <c r="G7068" s="7"/>
    </row>
    <row r="7069" spans="5:7" x14ac:dyDescent="0.25">
      <c r="E7069" s="27"/>
      <c r="F7069" s="27"/>
      <c r="G7069" s="7"/>
    </row>
    <row r="7070" spans="5:7" x14ac:dyDescent="0.25">
      <c r="E7070" s="27"/>
      <c r="F7070" s="27"/>
      <c r="G7070" s="7"/>
    </row>
    <row r="7071" spans="5:7" x14ac:dyDescent="0.25">
      <c r="E7071" s="27"/>
      <c r="F7071" s="27"/>
      <c r="G7071" s="7"/>
    </row>
    <row r="7072" spans="5:7" x14ac:dyDescent="0.25">
      <c r="E7072" s="27"/>
      <c r="F7072" s="27"/>
      <c r="G7072" s="7"/>
    </row>
    <row r="7073" spans="5:7" x14ac:dyDescent="0.25">
      <c r="E7073" s="27"/>
      <c r="F7073" s="27"/>
      <c r="G7073" s="7"/>
    </row>
    <row r="7074" spans="5:7" x14ac:dyDescent="0.25">
      <c r="E7074" s="27"/>
      <c r="F7074" s="27"/>
      <c r="G7074" s="7"/>
    </row>
    <row r="7075" spans="5:7" x14ac:dyDescent="0.25">
      <c r="E7075" s="27"/>
      <c r="F7075" s="27"/>
      <c r="G7075" s="7"/>
    </row>
    <row r="7076" spans="5:7" x14ac:dyDescent="0.25">
      <c r="E7076" s="27"/>
      <c r="F7076" s="27"/>
      <c r="G7076" s="7"/>
    </row>
    <row r="7077" spans="5:7" x14ac:dyDescent="0.25">
      <c r="E7077" s="27"/>
      <c r="F7077" s="27"/>
      <c r="G7077" s="7"/>
    </row>
    <row r="7078" spans="5:7" x14ac:dyDescent="0.25">
      <c r="E7078" s="27"/>
      <c r="F7078" s="27"/>
      <c r="G7078" s="7"/>
    </row>
    <row r="7079" spans="5:7" x14ac:dyDescent="0.25">
      <c r="E7079" s="27"/>
      <c r="F7079" s="27"/>
      <c r="G7079" s="7"/>
    </row>
    <row r="7080" spans="5:7" x14ac:dyDescent="0.25">
      <c r="E7080" s="27"/>
      <c r="F7080" s="27"/>
      <c r="G7080" s="7"/>
    </row>
    <row r="7081" spans="5:7" x14ac:dyDescent="0.25">
      <c r="E7081" s="27"/>
      <c r="F7081" s="27"/>
      <c r="G7081" s="7"/>
    </row>
    <row r="7082" spans="5:7" x14ac:dyDescent="0.25">
      <c r="E7082" s="27"/>
      <c r="F7082" s="27"/>
      <c r="G7082" s="7"/>
    </row>
    <row r="7083" spans="5:7" x14ac:dyDescent="0.25">
      <c r="E7083" s="27"/>
      <c r="F7083" s="27"/>
      <c r="G7083" s="7"/>
    </row>
    <row r="7084" spans="5:7" x14ac:dyDescent="0.25">
      <c r="E7084" s="27"/>
      <c r="F7084" s="27"/>
      <c r="G7084" s="7"/>
    </row>
    <row r="7085" spans="5:7" x14ac:dyDescent="0.25">
      <c r="E7085" s="27"/>
      <c r="F7085" s="27"/>
      <c r="G7085" s="7"/>
    </row>
    <row r="7086" spans="5:7" x14ac:dyDescent="0.25">
      <c r="E7086" s="27"/>
      <c r="F7086" s="27"/>
      <c r="G7086" s="7"/>
    </row>
    <row r="7087" spans="5:7" x14ac:dyDescent="0.25">
      <c r="E7087" s="27"/>
      <c r="F7087" s="27"/>
      <c r="G7087" s="7"/>
    </row>
    <row r="7088" spans="5:7" x14ac:dyDescent="0.25">
      <c r="E7088" s="27"/>
      <c r="F7088" s="27"/>
      <c r="G7088" s="7"/>
    </row>
    <row r="7089" spans="5:7" x14ac:dyDescent="0.25">
      <c r="E7089" s="27"/>
      <c r="F7089" s="27"/>
      <c r="G7089" s="7"/>
    </row>
    <row r="7090" spans="5:7" x14ac:dyDescent="0.25">
      <c r="E7090" s="27"/>
      <c r="F7090" s="27"/>
      <c r="G7090" s="7"/>
    </row>
    <row r="7091" spans="5:7" x14ac:dyDescent="0.25">
      <c r="E7091" s="27"/>
      <c r="F7091" s="27"/>
      <c r="G7091" s="7"/>
    </row>
    <row r="7092" spans="5:7" x14ac:dyDescent="0.25">
      <c r="E7092" s="27"/>
      <c r="F7092" s="27"/>
      <c r="G7092" s="7"/>
    </row>
    <row r="7093" spans="5:7" x14ac:dyDescent="0.25">
      <c r="E7093" s="27"/>
      <c r="F7093" s="27"/>
      <c r="G7093" s="7"/>
    </row>
    <row r="7094" spans="5:7" x14ac:dyDescent="0.25">
      <c r="E7094" s="27"/>
      <c r="F7094" s="27"/>
      <c r="G7094" s="7"/>
    </row>
    <row r="7095" spans="5:7" x14ac:dyDescent="0.25">
      <c r="E7095" s="27"/>
      <c r="F7095" s="27"/>
      <c r="G7095" s="7"/>
    </row>
    <row r="7096" spans="5:7" x14ac:dyDescent="0.25">
      <c r="E7096" s="27"/>
      <c r="F7096" s="27"/>
      <c r="G7096" s="7"/>
    </row>
    <row r="7097" spans="5:7" x14ac:dyDescent="0.25">
      <c r="E7097" s="27"/>
      <c r="F7097" s="27"/>
      <c r="G7097" s="7"/>
    </row>
    <row r="7098" spans="5:7" x14ac:dyDescent="0.25">
      <c r="E7098" s="27"/>
      <c r="F7098" s="27"/>
      <c r="G7098" s="7"/>
    </row>
    <row r="7099" spans="5:7" x14ac:dyDescent="0.25">
      <c r="E7099" s="27"/>
      <c r="F7099" s="27"/>
      <c r="G7099" s="7"/>
    </row>
    <row r="7100" spans="5:7" x14ac:dyDescent="0.25">
      <c r="E7100" s="27"/>
      <c r="F7100" s="27"/>
      <c r="G7100" s="7"/>
    </row>
    <row r="7101" spans="5:7" x14ac:dyDescent="0.25">
      <c r="E7101" s="27"/>
      <c r="F7101" s="27"/>
      <c r="G7101" s="7"/>
    </row>
    <row r="7102" spans="5:7" x14ac:dyDescent="0.25">
      <c r="E7102" s="27"/>
      <c r="F7102" s="27"/>
      <c r="G7102" s="7"/>
    </row>
    <row r="7103" spans="5:7" x14ac:dyDescent="0.25">
      <c r="E7103" s="27"/>
      <c r="F7103" s="27"/>
      <c r="G7103" s="7"/>
    </row>
    <row r="7104" spans="5:7" x14ac:dyDescent="0.25">
      <c r="E7104" s="27"/>
      <c r="F7104" s="27"/>
      <c r="G7104" s="7"/>
    </row>
    <row r="7105" spans="5:7" x14ac:dyDescent="0.25">
      <c r="E7105" s="27"/>
      <c r="F7105" s="27"/>
      <c r="G7105" s="7"/>
    </row>
    <row r="7106" spans="5:7" x14ac:dyDescent="0.25">
      <c r="E7106" s="27"/>
      <c r="F7106" s="27"/>
      <c r="G7106" s="7"/>
    </row>
    <row r="7107" spans="5:7" x14ac:dyDescent="0.25">
      <c r="E7107" s="27"/>
      <c r="F7107" s="27"/>
      <c r="G7107" s="7"/>
    </row>
    <row r="7108" spans="5:7" x14ac:dyDescent="0.25">
      <c r="E7108" s="27"/>
      <c r="F7108" s="27"/>
      <c r="G7108" s="7"/>
    </row>
    <row r="7109" spans="5:7" x14ac:dyDescent="0.25">
      <c r="E7109" s="27"/>
      <c r="F7109" s="27"/>
      <c r="G7109" s="7"/>
    </row>
    <row r="7110" spans="5:7" x14ac:dyDescent="0.25">
      <c r="E7110" s="27"/>
      <c r="F7110" s="27"/>
      <c r="G7110" s="7"/>
    </row>
    <row r="7111" spans="5:7" x14ac:dyDescent="0.25">
      <c r="E7111" s="27"/>
      <c r="F7111" s="27"/>
      <c r="G7111" s="7"/>
    </row>
    <row r="7112" spans="5:7" x14ac:dyDescent="0.25">
      <c r="E7112" s="27"/>
      <c r="F7112" s="27"/>
      <c r="G7112" s="7"/>
    </row>
    <row r="7113" spans="5:7" x14ac:dyDescent="0.25">
      <c r="E7113" s="27"/>
      <c r="F7113" s="27"/>
      <c r="G7113" s="7"/>
    </row>
    <row r="7114" spans="5:7" x14ac:dyDescent="0.25">
      <c r="E7114" s="27"/>
      <c r="F7114" s="27"/>
      <c r="G7114" s="7"/>
    </row>
    <row r="7115" spans="5:7" x14ac:dyDescent="0.25">
      <c r="E7115" s="27"/>
      <c r="F7115" s="27"/>
      <c r="G7115" s="7"/>
    </row>
    <row r="7116" spans="5:7" x14ac:dyDescent="0.25">
      <c r="E7116" s="27"/>
      <c r="F7116" s="27"/>
      <c r="G7116" s="7"/>
    </row>
    <row r="7117" spans="5:7" x14ac:dyDescent="0.25">
      <c r="E7117" s="27"/>
      <c r="F7117" s="27"/>
      <c r="G7117" s="7"/>
    </row>
    <row r="7118" spans="5:7" x14ac:dyDescent="0.25">
      <c r="E7118" s="27"/>
      <c r="F7118" s="27"/>
      <c r="G7118" s="7"/>
    </row>
    <row r="7119" spans="5:7" x14ac:dyDescent="0.25">
      <c r="E7119" s="27"/>
      <c r="F7119" s="27"/>
      <c r="G7119" s="7"/>
    </row>
    <row r="7120" spans="5:7" x14ac:dyDescent="0.25">
      <c r="E7120" s="27"/>
      <c r="F7120" s="27"/>
      <c r="G7120" s="7"/>
    </row>
    <row r="7121" spans="5:7" x14ac:dyDescent="0.25">
      <c r="E7121" s="27"/>
      <c r="F7121" s="27"/>
      <c r="G7121" s="7"/>
    </row>
    <row r="7122" spans="5:7" x14ac:dyDescent="0.25">
      <c r="E7122" s="27"/>
      <c r="F7122" s="27"/>
      <c r="G7122" s="7"/>
    </row>
    <row r="7123" spans="5:7" x14ac:dyDescent="0.25">
      <c r="E7123" s="27"/>
      <c r="F7123" s="27"/>
      <c r="G7123" s="7"/>
    </row>
    <row r="7124" spans="5:7" x14ac:dyDescent="0.25">
      <c r="E7124" s="27"/>
      <c r="F7124" s="27"/>
      <c r="G7124" s="7"/>
    </row>
    <row r="7125" spans="5:7" x14ac:dyDescent="0.25">
      <c r="E7125" s="27"/>
      <c r="F7125" s="27"/>
      <c r="G7125" s="7"/>
    </row>
    <row r="7126" spans="5:7" x14ac:dyDescent="0.25">
      <c r="E7126" s="27"/>
      <c r="F7126" s="27"/>
      <c r="G7126" s="7"/>
    </row>
    <row r="7127" spans="5:7" x14ac:dyDescent="0.25">
      <c r="E7127" s="27"/>
      <c r="F7127" s="27"/>
      <c r="G7127" s="7"/>
    </row>
    <row r="7128" spans="5:7" x14ac:dyDescent="0.25">
      <c r="E7128" s="27"/>
      <c r="F7128" s="27"/>
      <c r="G7128" s="7"/>
    </row>
    <row r="7129" spans="5:7" x14ac:dyDescent="0.25">
      <c r="E7129" s="27"/>
      <c r="F7129" s="27"/>
      <c r="G7129" s="7"/>
    </row>
    <row r="7130" spans="5:7" x14ac:dyDescent="0.25">
      <c r="E7130" s="27"/>
      <c r="F7130" s="27"/>
      <c r="G7130" s="7"/>
    </row>
    <row r="7131" spans="5:7" x14ac:dyDescent="0.25">
      <c r="E7131" s="27"/>
      <c r="F7131" s="27"/>
      <c r="G7131" s="7"/>
    </row>
    <row r="7132" spans="5:7" x14ac:dyDescent="0.25">
      <c r="E7132" s="27"/>
      <c r="F7132" s="27"/>
      <c r="G7132" s="7"/>
    </row>
    <row r="7133" spans="5:7" x14ac:dyDescent="0.25">
      <c r="E7133" s="27"/>
      <c r="F7133" s="27"/>
      <c r="G7133" s="7"/>
    </row>
    <row r="7134" spans="5:7" x14ac:dyDescent="0.25">
      <c r="E7134" s="27"/>
      <c r="F7134" s="27"/>
      <c r="G7134" s="7"/>
    </row>
    <row r="7135" spans="5:7" x14ac:dyDescent="0.25">
      <c r="E7135" s="27"/>
      <c r="F7135" s="27"/>
      <c r="G7135" s="7"/>
    </row>
    <row r="7136" spans="5:7" x14ac:dyDescent="0.25">
      <c r="E7136" s="27"/>
      <c r="F7136" s="27"/>
      <c r="G7136" s="7"/>
    </row>
    <row r="7137" spans="5:7" x14ac:dyDescent="0.25">
      <c r="E7137" s="27"/>
      <c r="F7137" s="27"/>
      <c r="G7137" s="7"/>
    </row>
    <row r="7138" spans="5:7" x14ac:dyDescent="0.25">
      <c r="E7138" s="27"/>
      <c r="F7138" s="27"/>
      <c r="G7138" s="7"/>
    </row>
    <row r="7139" spans="5:7" x14ac:dyDescent="0.25">
      <c r="E7139" s="27"/>
      <c r="F7139" s="27"/>
      <c r="G7139" s="7"/>
    </row>
    <row r="7140" spans="5:7" x14ac:dyDescent="0.25">
      <c r="E7140" s="27"/>
      <c r="F7140" s="27"/>
      <c r="G7140" s="7"/>
    </row>
    <row r="7141" spans="5:7" x14ac:dyDescent="0.25">
      <c r="E7141" s="27"/>
      <c r="F7141" s="27"/>
      <c r="G7141" s="7"/>
    </row>
    <row r="7142" spans="5:7" x14ac:dyDescent="0.25">
      <c r="E7142" s="27"/>
      <c r="F7142" s="27"/>
      <c r="G7142" s="7"/>
    </row>
    <row r="7143" spans="5:7" x14ac:dyDescent="0.25">
      <c r="E7143" s="27"/>
      <c r="F7143" s="27"/>
      <c r="G7143" s="7"/>
    </row>
    <row r="7144" spans="5:7" x14ac:dyDescent="0.25">
      <c r="E7144" s="27"/>
      <c r="F7144" s="27"/>
      <c r="G7144" s="7"/>
    </row>
    <row r="7145" spans="5:7" x14ac:dyDescent="0.25">
      <c r="E7145" s="27"/>
      <c r="F7145" s="27"/>
      <c r="G7145" s="7"/>
    </row>
    <row r="7146" spans="5:7" x14ac:dyDescent="0.25">
      <c r="E7146" s="27"/>
      <c r="F7146" s="27"/>
      <c r="G7146" s="7"/>
    </row>
    <row r="7147" spans="5:7" x14ac:dyDescent="0.25">
      <c r="E7147" s="27"/>
      <c r="F7147" s="27"/>
      <c r="G7147" s="7"/>
    </row>
    <row r="7148" spans="5:7" x14ac:dyDescent="0.25">
      <c r="E7148" s="27"/>
      <c r="F7148" s="27"/>
      <c r="G7148" s="7"/>
    </row>
    <row r="7149" spans="5:7" x14ac:dyDescent="0.25">
      <c r="E7149" s="27"/>
      <c r="F7149" s="27"/>
      <c r="G7149" s="7"/>
    </row>
    <row r="7150" spans="5:7" x14ac:dyDescent="0.25">
      <c r="E7150" s="27"/>
      <c r="F7150" s="27"/>
      <c r="G7150" s="7"/>
    </row>
    <row r="7151" spans="5:7" x14ac:dyDescent="0.25">
      <c r="E7151" s="27"/>
      <c r="F7151" s="27"/>
      <c r="G7151" s="7"/>
    </row>
    <row r="7152" spans="5:7" x14ac:dyDescent="0.25">
      <c r="E7152" s="27"/>
      <c r="F7152" s="27"/>
      <c r="G7152" s="7"/>
    </row>
    <row r="7153" spans="5:7" x14ac:dyDescent="0.25">
      <c r="E7153" s="27"/>
      <c r="F7153" s="27"/>
      <c r="G7153" s="7"/>
    </row>
    <row r="7154" spans="5:7" x14ac:dyDescent="0.25">
      <c r="E7154" s="27"/>
      <c r="F7154" s="27"/>
      <c r="G7154" s="7"/>
    </row>
    <row r="7155" spans="5:7" x14ac:dyDescent="0.25">
      <c r="E7155" s="27"/>
      <c r="F7155" s="27"/>
      <c r="G7155" s="7"/>
    </row>
    <row r="7156" spans="5:7" x14ac:dyDescent="0.25">
      <c r="E7156" s="27"/>
      <c r="F7156" s="27"/>
      <c r="G7156" s="7"/>
    </row>
    <row r="7157" spans="5:7" x14ac:dyDescent="0.25">
      <c r="E7157" s="27"/>
      <c r="F7157" s="27"/>
      <c r="G7157" s="7"/>
    </row>
    <row r="7158" spans="5:7" x14ac:dyDescent="0.25">
      <c r="E7158" s="27"/>
      <c r="F7158" s="27"/>
      <c r="G7158" s="7"/>
    </row>
    <row r="7159" spans="5:7" x14ac:dyDescent="0.25">
      <c r="E7159" s="27"/>
      <c r="F7159" s="27"/>
      <c r="G7159" s="7"/>
    </row>
    <row r="7160" spans="5:7" x14ac:dyDescent="0.25">
      <c r="E7160" s="27"/>
      <c r="F7160" s="27"/>
      <c r="G7160" s="7"/>
    </row>
    <row r="7161" spans="5:7" x14ac:dyDescent="0.25">
      <c r="E7161" s="27"/>
      <c r="F7161" s="27"/>
      <c r="G7161" s="7"/>
    </row>
    <row r="7162" spans="5:7" x14ac:dyDescent="0.25">
      <c r="E7162" s="27"/>
      <c r="F7162" s="27"/>
      <c r="G7162" s="7"/>
    </row>
    <row r="7163" spans="5:7" x14ac:dyDescent="0.25">
      <c r="E7163" s="27"/>
      <c r="F7163" s="27"/>
      <c r="G7163" s="7"/>
    </row>
    <row r="7164" spans="5:7" x14ac:dyDescent="0.25">
      <c r="E7164" s="27"/>
      <c r="F7164" s="27"/>
      <c r="G7164" s="7"/>
    </row>
    <row r="7165" spans="5:7" x14ac:dyDescent="0.25">
      <c r="E7165" s="27"/>
      <c r="F7165" s="27"/>
      <c r="G7165" s="7"/>
    </row>
    <row r="7166" spans="5:7" x14ac:dyDescent="0.25">
      <c r="E7166" s="27"/>
      <c r="F7166" s="27"/>
      <c r="G7166" s="7"/>
    </row>
    <row r="7167" spans="5:7" x14ac:dyDescent="0.25">
      <c r="E7167" s="27"/>
      <c r="F7167" s="27"/>
      <c r="G7167" s="7"/>
    </row>
    <row r="7168" spans="5:7" x14ac:dyDescent="0.25">
      <c r="E7168" s="27"/>
      <c r="F7168" s="27"/>
      <c r="G7168" s="7"/>
    </row>
    <row r="7169" spans="5:7" x14ac:dyDescent="0.25">
      <c r="E7169" s="27"/>
      <c r="F7169" s="27"/>
      <c r="G7169" s="7"/>
    </row>
    <row r="7170" spans="5:7" x14ac:dyDescent="0.25">
      <c r="E7170" s="27"/>
      <c r="F7170" s="27"/>
      <c r="G7170" s="7"/>
    </row>
    <row r="7171" spans="5:7" x14ac:dyDescent="0.25">
      <c r="E7171" s="27"/>
      <c r="F7171" s="27"/>
      <c r="G7171" s="7"/>
    </row>
    <row r="7172" spans="5:7" x14ac:dyDescent="0.25">
      <c r="E7172" s="27"/>
      <c r="F7172" s="27"/>
      <c r="G7172" s="7"/>
    </row>
    <row r="7173" spans="5:7" x14ac:dyDescent="0.25">
      <c r="E7173" s="27"/>
      <c r="F7173" s="27"/>
      <c r="G7173" s="7"/>
    </row>
    <row r="7174" spans="5:7" x14ac:dyDescent="0.25">
      <c r="E7174" s="27"/>
      <c r="F7174" s="27"/>
      <c r="G7174" s="7"/>
    </row>
    <row r="7175" spans="5:7" x14ac:dyDescent="0.25">
      <c r="E7175" s="27"/>
      <c r="F7175" s="27"/>
      <c r="G7175" s="7"/>
    </row>
    <row r="7176" spans="5:7" x14ac:dyDescent="0.25">
      <c r="E7176" s="27"/>
      <c r="F7176" s="27"/>
      <c r="G7176" s="7"/>
    </row>
    <row r="7177" spans="5:7" x14ac:dyDescent="0.25">
      <c r="E7177" s="27"/>
      <c r="F7177" s="27"/>
      <c r="G7177" s="7"/>
    </row>
    <row r="7178" spans="5:7" x14ac:dyDescent="0.25">
      <c r="E7178" s="27"/>
      <c r="F7178" s="27"/>
      <c r="G7178" s="7"/>
    </row>
    <row r="7179" spans="5:7" x14ac:dyDescent="0.25">
      <c r="E7179" s="27"/>
      <c r="F7179" s="27"/>
      <c r="G7179" s="7"/>
    </row>
    <row r="7180" spans="5:7" x14ac:dyDescent="0.25">
      <c r="E7180" s="27"/>
      <c r="F7180" s="27"/>
      <c r="G7180" s="7"/>
    </row>
    <row r="7181" spans="5:7" x14ac:dyDescent="0.25">
      <c r="E7181" s="27"/>
      <c r="F7181" s="27"/>
      <c r="G7181" s="7"/>
    </row>
    <row r="7182" spans="5:7" x14ac:dyDescent="0.25">
      <c r="E7182" s="27"/>
      <c r="F7182" s="27"/>
      <c r="G7182" s="7"/>
    </row>
    <row r="7183" spans="5:7" x14ac:dyDescent="0.25">
      <c r="E7183" s="27"/>
      <c r="F7183" s="27"/>
      <c r="G7183" s="7"/>
    </row>
    <row r="7184" spans="5:7" x14ac:dyDescent="0.25">
      <c r="E7184" s="27"/>
      <c r="F7184" s="27"/>
      <c r="G7184" s="7"/>
    </row>
    <row r="7185" spans="5:7" x14ac:dyDescent="0.25">
      <c r="E7185" s="27"/>
      <c r="F7185" s="27"/>
      <c r="G7185" s="7"/>
    </row>
    <row r="7186" spans="5:7" x14ac:dyDescent="0.25">
      <c r="E7186" s="27"/>
      <c r="F7186" s="27"/>
      <c r="G7186" s="7"/>
    </row>
    <row r="7187" spans="5:7" x14ac:dyDescent="0.25">
      <c r="E7187" s="27"/>
      <c r="F7187" s="27"/>
      <c r="G7187" s="7"/>
    </row>
    <row r="7188" spans="5:7" x14ac:dyDescent="0.25">
      <c r="E7188" s="27"/>
      <c r="F7188" s="27"/>
      <c r="G7188" s="7"/>
    </row>
    <row r="7189" spans="5:7" x14ac:dyDescent="0.25">
      <c r="E7189" s="27"/>
      <c r="F7189" s="27"/>
      <c r="G7189" s="7"/>
    </row>
    <row r="7190" spans="5:7" x14ac:dyDescent="0.25">
      <c r="E7190" s="27"/>
      <c r="F7190" s="27"/>
      <c r="G7190" s="7"/>
    </row>
    <row r="7191" spans="5:7" x14ac:dyDescent="0.25">
      <c r="E7191" s="27"/>
      <c r="F7191" s="27"/>
      <c r="G7191" s="7"/>
    </row>
    <row r="7192" spans="5:7" x14ac:dyDescent="0.25">
      <c r="E7192" s="27"/>
      <c r="F7192" s="27"/>
      <c r="G7192" s="7"/>
    </row>
    <row r="7193" spans="5:7" x14ac:dyDescent="0.25">
      <c r="E7193" s="27"/>
      <c r="F7193" s="27"/>
      <c r="G7193" s="7"/>
    </row>
    <row r="7194" spans="5:7" x14ac:dyDescent="0.25">
      <c r="E7194" s="27"/>
      <c r="F7194" s="27"/>
      <c r="G7194" s="7"/>
    </row>
    <row r="7195" spans="5:7" x14ac:dyDescent="0.25">
      <c r="E7195" s="27"/>
      <c r="F7195" s="27"/>
      <c r="G7195" s="7"/>
    </row>
    <row r="7196" spans="5:7" x14ac:dyDescent="0.25">
      <c r="E7196" s="27"/>
      <c r="F7196" s="27"/>
      <c r="G7196" s="7"/>
    </row>
    <row r="7197" spans="5:7" x14ac:dyDescent="0.25">
      <c r="E7197" s="27"/>
      <c r="F7197" s="27"/>
      <c r="G7197" s="7"/>
    </row>
    <row r="7198" spans="5:7" x14ac:dyDescent="0.25">
      <c r="E7198" s="27"/>
      <c r="F7198" s="27"/>
      <c r="G7198" s="7"/>
    </row>
    <row r="7199" spans="5:7" x14ac:dyDescent="0.25">
      <c r="E7199" s="27"/>
      <c r="F7199" s="27"/>
      <c r="G7199" s="7"/>
    </row>
    <row r="7200" spans="5:7" x14ac:dyDescent="0.25">
      <c r="E7200" s="27"/>
      <c r="F7200" s="27"/>
      <c r="G7200" s="7"/>
    </row>
    <row r="7201" spans="5:7" x14ac:dyDescent="0.25">
      <c r="E7201" s="27"/>
      <c r="F7201" s="27"/>
      <c r="G7201" s="7"/>
    </row>
    <row r="7202" spans="5:7" x14ac:dyDescent="0.25">
      <c r="E7202" s="27"/>
      <c r="F7202" s="27"/>
      <c r="G7202" s="7"/>
    </row>
    <row r="7203" spans="5:7" x14ac:dyDescent="0.25">
      <c r="E7203" s="27"/>
      <c r="F7203" s="27"/>
      <c r="G7203" s="7"/>
    </row>
    <row r="7204" spans="5:7" x14ac:dyDescent="0.25">
      <c r="E7204" s="27"/>
      <c r="F7204" s="27"/>
      <c r="G7204" s="7"/>
    </row>
    <row r="7205" spans="5:7" x14ac:dyDescent="0.25">
      <c r="E7205" s="27"/>
      <c r="F7205" s="27"/>
      <c r="G7205" s="7"/>
    </row>
    <row r="7206" spans="5:7" x14ac:dyDescent="0.25">
      <c r="E7206" s="27"/>
      <c r="F7206" s="27"/>
      <c r="G7206" s="7"/>
    </row>
    <row r="7207" spans="5:7" x14ac:dyDescent="0.25">
      <c r="E7207" s="27"/>
      <c r="F7207" s="27"/>
      <c r="G7207" s="7"/>
    </row>
    <row r="7208" spans="5:7" x14ac:dyDescent="0.25">
      <c r="E7208" s="27"/>
      <c r="F7208" s="27"/>
      <c r="G7208" s="7"/>
    </row>
    <row r="7209" spans="5:7" x14ac:dyDescent="0.25">
      <c r="E7209" s="27"/>
      <c r="F7209" s="27"/>
      <c r="G7209" s="7"/>
    </row>
    <row r="7210" spans="5:7" x14ac:dyDescent="0.25">
      <c r="E7210" s="27"/>
      <c r="F7210" s="27"/>
      <c r="G7210" s="7"/>
    </row>
    <row r="7211" spans="5:7" x14ac:dyDescent="0.25">
      <c r="E7211" s="27"/>
      <c r="F7211" s="27"/>
      <c r="G7211" s="7"/>
    </row>
    <row r="7212" spans="5:7" x14ac:dyDescent="0.25">
      <c r="E7212" s="27"/>
      <c r="F7212" s="27"/>
      <c r="G7212" s="7"/>
    </row>
    <row r="7213" spans="5:7" x14ac:dyDescent="0.25">
      <c r="E7213" s="27"/>
      <c r="F7213" s="27"/>
      <c r="G7213" s="7"/>
    </row>
    <row r="7214" spans="5:7" x14ac:dyDescent="0.25">
      <c r="E7214" s="27"/>
      <c r="F7214" s="27"/>
      <c r="G7214" s="7"/>
    </row>
    <row r="7215" spans="5:7" x14ac:dyDescent="0.25">
      <c r="E7215" s="27"/>
      <c r="F7215" s="27"/>
      <c r="G7215" s="7"/>
    </row>
    <row r="7216" spans="5:7" x14ac:dyDescent="0.25">
      <c r="E7216" s="27"/>
      <c r="F7216" s="27"/>
      <c r="G7216" s="7"/>
    </row>
    <row r="7217" spans="5:7" x14ac:dyDescent="0.25">
      <c r="E7217" s="27"/>
      <c r="F7217" s="27"/>
      <c r="G7217" s="7"/>
    </row>
    <row r="7218" spans="5:7" x14ac:dyDescent="0.25">
      <c r="E7218" s="27"/>
      <c r="F7218" s="27"/>
      <c r="G7218" s="7"/>
    </row>
    <row r="7219" spans="5:7" x14ac:dyDescent="0.25">
      <c r="E7219" s="27"/>
      <c r="F7219" s="27"/>
      <c r="G7219" s="7"/>
    </row>
    <row r="7220" spans="5:7" x14ac:dyDescent="0.25">
      <c r="E7220" s="27"/>
      <c r="F7220" s="27"/>
      <c r="G7220" s="7"/>
    </row>
    <row r="7221" spans="5:7" x14ac:dyDescent="0.25">
      <c r="E7221" s="27"/>
      <c r="F7221" s="27"/>
      <c r="G7221" s="7"/>
    </row>
    <row r="7222" spans="5:7" x14ac:dyDescent="0.25">
      <c r="E7222" s="27"/>
      <c r="F7222" s="27"/>
      <c r="G7222" s="7"/>
    </row>
    <row r="7223" spans="5:7" x14ac:dyDescent="0.25">
      <c r="E7223" s="27"/>
      <c r="F7223" s="27"/>
      <c r="G7223" s="7"/>
    </row>
    <row r="7224" spans="5:7" x14ac:dyDescent="0.25">
      <c r="E7224" s="27"/>
      <c r="F7224" s="27"/>
      <c r="G7224" s="7"/>
    </row>
    <row r="7225" spans="5:7" x14ac:dyDescent="0.25">
      <c r="E7225" s="27"/>
      <c r="F7225" s="27"/>
      <c r="G7225" s="7"/>
    </row>
    <row r="7226" spans="5:7" x14ac:dyDescent="0.25">
      <c r="E7226" s="27"/>
      <c r="F7226" s="27"/>
      <c r="G7226" s="7"/>
    </row>
    <row r="7227" spans="5:7" x14ac:dyDescent="0.25">
      <c r="E7227" s="27"/>
      <c r="F7227" s="27"/>
      <c r="G7227" s="7"/>
    </row>
    <row r="7228" spans="5:7" x14ac:dyDescent="0.25">
      <c r="E7228" s="27"/>
      <c r="F7228" s="27"/>
      <c r="G7228" s="7"/>
    </row>
    <row r="7229" spans="5:7" x14ac:dyDescent="0.25">
      <c r="E7229" s="27"/>
      <c r="F7229" s="27"/>
      <c r="G7229" s="7"/>
    </row>
    <row r="7230" spans="5:7" x14ac:dyDescent="0.25">
      <c r="E7230" s="27"/>
      <c r="F7230" s="27"/>
      <c r="G7230" s="7"/>
    </row>
    <row r="7231" spans="5:7" x14ac:dyDescent="0.25">
      <c r="E7231" s="27"/>
      <c r="F7231" s="27"/>
      <c r="G7231" s="7"/>
    </row>
    <row r="7232" spans="5:7" x14ac:dyDescent="0.25">
      <c r="E7232" s="27"/>
      <c r="F7232" s="27"/>
      <c r="G7232" s="7"/>
    </row>
    <row r="7233" spans="5:7" x14ac:dyDescent="0.25">
      <c r="E7233" s="27"/>
      <c r="F7233" s="27"/>
      <c r="G7233" s="7"/>
    </row>
    <row r="7234" spans="5:7" x14ac:dyDescent="0.25">
      <c r="E7234" s="27"/>
      <c r="F7234" s="27"/>
      <c r="G7234" s="7"/>
    </row>
    <row r="7235" spans="5:7" x14ac:dyDescent="0.25">
      <c r="E7235" s="27"/>
      <c r="F7235" s="27"/>
      <c r="G7235" s="7"/>
    </row>
    <row r="7236" spans="5:7" x14ac:dyDescent="0.25">
      <c r="E7236" s="27"/>
      <c r="F7236" s="27"/>
      <c r="G7236" s="7"/>
    </row>
    <row r="7237" spans="5:7" x14ac:dyDescent="0.25">
      <c r="E7237" s="27"/>
      <c r="F7237" s="27"/>
      <c r="G7237" s="7"/>
    </row>
    <row r="7238" spans="5:7" x14ac:dyDescent="0.25">
      <c r="E7238" s="27"/>
      <c r="F7238" s="27"/>
      <c r="G7238" s="7"/>
    </row>
    <row r="7239" spans="5:7" x14ac:dyDescent="0.25">
      <c r="E7239" s="27"/>
      <c r="F7239" s="27"/>
      <c r="G7239" s="7"/>
    </row>
    <row r="7240" spans="5:7" x14ac:dyDescent="0.25">
      <c r="E7240" s="27"/>
      <c r="F7240" s="27"/>
      <c r="G7240" s="7"/>
    </row>
    <row r="7241" spans="5:7" x14ac:dyDescent="0.25">
      <c r="E7241" s="27"/>
      <c r="F7241" s="27"/>
      <c r="G7241" s="7"/>
    </row>
    <row r="7242" spans="5:7" x14ac:dyDescent="0.25">
      <c r="E7242" s="27"/>
      <c r="F7242" s="27"/>
      <c r="G7242" s="7"/>
    </row>
    <row r="7243" spans="5:7" x14ac:dyDescent="0.25">
      <c r="E7243" s="27"/>
      <c r="F7243" s="27"/>
      <c r="G7243" s="7"/>
    </row>
    <row r="7244" spans="5:7" x14ac:dyDescent="0.25">
      <c r="E7244" s="27"/>
      <c r="F7244" s="27"/>
      <c r="G7244" s="7"/>
    </row>
    <row r="7245" spans="5:7" x14ac:dyDescent="0.25">
      <c r="E7245" s="27"/>
      <c r="F7245" s="27"/>
      <c r="G7245" s="7"/>
    </row>
    <row r="7246" spans="5:7" x14ac:dyDescent="0.25">
      <c r="E7246" s="27"/>
      <c r="F7246" s="27"/>
      <c r="G7246" s="7"/>
    </row>
    <row r="7247" spans="5:7" x14ac:dyDescent="0.25">
      <c r="E7247" s="27"/>
      <c r="F7247" s="27"/>
      <c r="G7247" s="7"/>
    </row>
    <row r="7248" spans="5:7" x14ac:dyDescent="0.25">
      <c r="E7248" s="27"/>
      <c r="F7248" s="27"/>
      <c r="G7248" s="7"/>
    </row>
    <row r="7249" spans="5:7" x14ac:dyDescent="0.25">
      <c r="E7249" s="27"/>
      <c r="F7249" s="27"/>
      <c r="G7249" s="7"/>
    </row>
    <row r="7250" spans="5:7" x14ac:dyDescent="0.25">
      <c r="E7250" s="27"/>
      <c r="F7250" s="27"/>
      <c r="G7250" s="7"/>
    </row>
    <row r="7251" spans="5:7" x14ac:dyDescent="0.25">
      <c r="E7251" s="27"/>
      <c r="F7251" s="27"/>
      <c r="G7251" s="7"/>
    </row>
    <row r="7252" spans="5:7" x14ac:dyDescent="0.25">
      <c r="E7252" s="27"/>
      <c r="F7252" s="27"/>
      <c r="G7252" s="7"/>
    </row>
    <row r="7253" spans="5:7" x14ac:dyDescent="0.25">
      <c r="E7253" s="27"/>
      <c r="F7253" s="27"/>
      <c r="G7253" s="7"/>
    </row>
    <row r="7254" spans="5:7" x14ac:dyDescent="0.25">
      <c r="E7254" s="27"/>
      <c r="F7254" s="27"/>
      <c r="G7254" s="7"/>
    </row>
    <row r="7255" spans="5:7" x14ac:dyDescent="0.25">
      <c r="E7255" s="27"/>
      <c r="F7255" s="27"/>
      <c r="G7255" s="7"/>
    </row>
    <row r="7256" spans="5:7" x14ac:dyDescent="0.25">
      <c r="E7256" s="27"/>
      <c r="F7256" s="27"/>
      <c r="G7256" s="7"/>
    </row>
    <row r="7257" spans="5:7" x14ac:dyDescent="0.25">
      <c r="E7257" s="27"/>
      <c r="F7257" s="27"/>
      <c r="G7257" s="7"/>
    </row>
    <row r="7258" spans="5:7" x14ac:dyDescent="0.25">
      <c r="E7258" s="27"/>
      <c r="F7258" s="27"/>
      <c r="G7258" s="7"/>
    </row>
    <row r="7259" spans="5:7" x14ac:dyDescent="0.25">
      <c r="E7259" s="27"/>
      <c r="F7259" s="27"/>
      <c r="G7259" s="7"/>
    </row>
    <row r="7260" spans="5:7" x14ac:dyDescent="0.25">
      <c r="E7260" s="27"/>
      <c r="F7260" s="27"/>
      <c r="G7260" s="7"/>
    </row>
    <row r="7261" spans="5:7" x14ac:dyDescent="0.25">
      <c r="E7261" s="27"/>
      <c r="F7261" s="27"/>
      <c r="G7261" s="7"/>
    </row>
    <row r="7262" spans="5:7" x14ac:dyDescent="0.25">
      <c r="E7262" s="27"/>
      <c r="F7262" s="27"/>
      <c r="G7262" s="7"/>
    </row>
    <row r="7263" spans="5:7" x14ac:dyDescent="0.25">
      <c r="E7263" s="27"/>
      <c r="F7263" s="27"/>
      <c r="G7263" s="7"/>
    </row>
    <row r="7264" spans="5:7" x14ac:dyDescent="0.25">
      <c r="E7264" s="27"/>
      <c r="F7264" s="27"/>
      <c r="G7264" s="7"/>
    </row>
    <row r="7265" spans="5:7" x14ac:dyDescent="0.25">
      <c r="E7265" s="27"/>
      <c r="F7265" s="27"/>
      <c r="G7265" s="7"/>
    </row>
    <row r="7266" spans="5:7" x14ac:dyDescent="0.25">
      <c r="E7266" s="27"/>
      <c r="F7266" s="27"/>
      <c r="G7266" s="7"/>
    </row>
    <row r="7267" spans="5:7" x14ac:dyDescent="0.25">
      <c r="E7267" s="27"/>
      <c r="F7267" s="27"/>
      <c r="G7267" s="7"/>
    </row>
    <row r="7268" spans="5:7" x14ac:dyDescent="0.25">
      <c r="E7268" s="27"/>
      <c r="F7268" s="27"/>
      <c r="G7268" s="7"/>
    </row>
    <row r="7269" spans="5:7" x14ac:dyDescent="0.25">
      <c r="E7269" s="27"/>
      <c r="F7269" s="27"/>
      <c r="G7269" s="7"/>
    </row>
    <row r="7270" spans="5:7" x14ac:dyDescent="0.25">
      <c r="E7270" s="27"/>
      <c r="F7270" s="27"/>
      <c r="G7270" s="7"/>
    </row>
    <row r="7271" spans="5:7" x14ac:dyDescent="0.25">
      <c r="E7271" s="27"/>
      <c r="F7271" s="27"/>
      <c r="G7271" s="7"/>
    </row>
    <row r="7272" spans="5:7" x14ac:dyDescent="0.25">
      <c r="E7272" s="27"/>
      <c r="F7272" s="27"/>
      <c r="G7272" s="7"/>
    </row>
    <row r="7273" spans="5:7" x14ac:dyDescent="0.25">
      <c r="E7273" s="27"/>
      <c r="F7273" s="27"/>
      <c r="G7273" s="7"/>
    </row>
    <row r="7274" spans="5:7" x14ac:dyDescent="0.25">
      <c r="E7274" s="27"/>
      <c r="F7274" s="27"/>
      <c r="G7274" s="7"/>
    </row>
    <row r="7275" spans="5:7" x14ac:dyDescent="0.25">
      <c r="E7275" s="27"/>
      <c r="F7275" s="27"/>
      <c r="G7275" s="7"/>
    </row>
    <row r="7276" spans="5:7" x14ac:dyDescent="0.25">
      <c r="E7276" s="27"/>
      <c r="F7276" s="27"/>
      <c r="G7276" s="7"/>
    </row>
    <row r="7277" spans="5:7" x14ac:dyDescent="0.25">
      <c r="E7277" s="27"/>
      <c r="F7277" s="27"/>
      <c r="G7277" s="7"/>
    </row>
    <row r="7278" spans="5:7" x14ac:dyDescent="0.25">
      <c r="E7278" s="27"/>
      <c r="F7278" s="27"/>
      <c r="G7278" s="7"/>
    </row>
    <row r="7279" spans="5:7" x14ac:dyDescent="0.25">
      <c r="E7279" s="27"/>
      <c r="F7279" s="27"/>
      <c r="G7279" s="7"/>
    </row>
    <row r="7280" spans="5:7" x14ac:dyDescent="0.25">
      <c r="E7280" s="27"/>
      <c r="F7280" s="27"/>
      <c r="G7280" s="7"/>
    </row>
    <row r="7281" spans="5:7" x14ac:dyDescent="0.25">
      <c r="E7281" s="27"/>
      <c r="F7281" s="27"/>
      <c r="G7281" s="7"/>
    </row>
    <row r="7282" spans="5:7" x14ac:dyDescent="0.25">
      <c r="E7282" s="27"/>
      <c r="F7282" s="27"/>
      <c r="G7282" s="7"/>
    </row>
    <row r="7283" spans="5:7" x14ac:dyDescent="0.25">
      <c r="E7283" s="27"/>
      <c r="F7283" s="27"/>
      <c r="G7283" s="7"/>
    </row>
    <row r="7284" spans="5:7" x14ac:dyDescent="0.25">
      <c r="E7284" s="27"/>
      <c r="F7284" s="27"/>
      <c r="G7284" s="7"/>
    </row>
    <row r="7285" spans="5:7" x14ac:dyDescent="0.25">
      <c r="E7285" s="27"/>
      <c r="F7285" s="27"/>
      <c r="G7285" s="7"/>
    </row>
    <row r="7286" spans="5:7" x14ac:dyDescent="0.25">
      <c r="E7286" s="27"/>
      <c r="F7286" s="27"/>
      <c r="G7286" s="7"/>
    </row>
    <row r="7287" spans="5:7" x14ac:dyDescent="0.25">
      <c r="E7287" s="27"/>
      <c r="F7287" s="27"/>
      <c r="G7287" s="7"/>
    </row>
    <row r="7288" spans="5:7" x14ac:dyDescent="0.25">
      <c r="E7288" s="27"/>
      <c r="F7288" s="27"/>
      <c r="G7288" s="7"/>
    </row>
    <row r="7289" spans="5:7" x14ac:dyDescent="0.25">
      <c r="E7289" s="27"/>
      <c r="F7289" s="27"/>
      <c r="G7289" s="7"/>
    </row>
    <row r="7290" spans="5:7" x14ac:dyDescent="0.25">
      <c r="E7290" s="27"/>
      <c r="F7290" s="27"/>
      <c r="G7290" s="7"/>
    </row>
    <row r="7291" spans="5:7" x14ac:dyDescent="0.25">
      <c r="E7291" s="27"/>
      <c r="F7291" s="27"/>
      <c r="G7291" s="7"/>
    </row>
    <row r="7292" spans="5:7" x14ac:dyDescent="0.25">
      <c r="E7292" s="27"/>
      <c r="F7292" s="27"/>
      <c r="G7292" s="7"/>
    </row>
    <row r="7293" spans="5:7" x14ac:dyDescent="0.25">
      <c r="E7293" s="27"/>
      <c r="F7293" s="27"/>
      <c r="G7293" s="7"/>
    </row>
    <row r="7294" spans="5:7" x14ac:dyDescent="0.25">
      <c r="E7294" s="27"/>
      <c r="F7294" s="27"/>
      <c r="G7294" s="7"/>
    </row>
    <row r="7295" spans="5:7" x14ac:dyDescent="0.25">
      <c r="E7295" s="27"/>
      <c r="F7295" s="27"/>
      <c r="G7295" s="7"/>
    </row>
    <row r="7296" spans="5:7" x14ac:dyDescent="0.25">
      <c r="E7296" s="27"/>
      <c r="F7296" s="27"/>
      <c r="G7296" s="7"/>
    </row>
    <row r="7297" spans="5:7" x14ac:dyDescent="0.25">
      <c r="E7297" s="27"/>
      <c r="F7297" s="27"/>
      <c r="G7297" s="7"/>
    </row>
    <row r="7298" spans="5:7" x14ac:dyDescent="0.25">
      <c r="E7298" s="27"/>
      <c r="F7298" s="27"/>
      <c r="G7298" s="7"/>
    </row>
    <row r="7299" spans="5:7" x14ac:dyDescent="0.25">
      <c r="E7299" s="27"/>
      <c r="F7299" s="27"/>
      <c r="G7299" s="7"/>
    </row>
    <row r="7300" spans="5:7" x14ac:dyDescent="0.25">
      <c r="E7300" s="27"/>
      <c r="F7300" s="27"/>
      <c r="G7300" s="7"/>
    </row>
    <row r="7301" spans="5:7" x14ac:dyDescent="0.25">
      <c r="E7301" s="27"/>
      <c r="F7301" s="27"/>
      <c r="G7301" s="7"/>
    </row>
    <row r="7302" spans="5:7" x14ac:dyDescent="0.25">
      <c r="E7302" s="27"/>
      <c r="F7302" s="27"/>
      <c r="G7302" s="7"/>
    </row>
    <row r="7303" spans="5:7" x14ac:dyDescent="0.25">
      <c r="E7303" s="27"/>
      <c r="F7303" s="27"/>
      <c r="G7303" s="7"/>
    </row>
    <row r="7304" spans="5:7" x14ac:dyDescent="0.25">
      <c r="E7304" s="27"/>
      <c r="F7304" s="27"/>
      <c r="G7304" s="7"/>
    </row>
    <row r="7305" spans="5:7" x14ac:dyDescent="0.25">
      <c r="E7305" s="27"/>
      <c r="F7305" s="27"/>
      <c r="G7305" s="7"/>
    </row>
    <row r="7306" spans="5:7" x14ac:dyDescent="0.25">
      <c r="E7306" s="27"/>
      <c r="F7306" s="27"/>
      <c r="G7306" s="7"/>
    </row>
    <row r="7307" spans="5:7" x14ac:dyDescent="0.25">
      <c r="E7307" s="27"/>
      <c r="F7307" s="27"/>
      <c r="G7307" s="7"/>
    </row>
    <row r="7308" spans="5:7" x14ac:dyDescent="0.25">
      <c r="E7308" s="27"/>
      <c r="F7308" s="27"/>
      <c r="G7308" s="7"/>
    </row>
    <row r="7309" spans="5:7" x14ac:dyDescent="0.25">
      <c r="E7309" s="27"/>
      <c r="F7309" s="27"/>
      <c r="G7309" s="7"/>
    </row>
    <row r="7310" spans="5:7" x14ac:dyDescent="0.25">
      <c r="E7310" s="27"/>
      <c r="F7310" s="27"/>
      <c r="G7310" s="7"/>
    </row>
    <row r="7311" spans="5:7" x14ac:dyDescent="0.25">
      <c r="E7311" s="27"/>
      <c r="F7311" s="27"/>
      <c r="G7311" s="7"/>
    </row>
    <row r="7312" spans="5:7" x14ac:dyDescent="0.25">
      <c r="E7312" s="27"/>
      <c r="F7312" s="27"/>
      <c r="G7312" s="7"/>
    </row>
    <row r="7313" spans="5:7" x14ac:dyDescent="0.25">
      <c r="E7313" s="27"/>
      <c r="F7313" s="27"/>
      <c r="G7313" s="7"/>
    </row>
    <row r="7314" spans="5:7" x14ac:dyDescent="0.25">
      <c r="E7314" s="27"/>
      <c r="F7314" s="27"/>
      <c r="G7314" s="7"/>
    </row>
    <row r="7315" spans="5:7" x14ac:dyDescent="0.25">
      <c r="E7315" s="27"/>
      <c r="F7315" s="27"/>
      <c r="G7315" s="7"/>
    </row>
    <row r="7316" spans="5:7" x14ac:dyDescent="0.25">
      <c r="E7316" s="27"/>
      <c r="F7316" s="27"/>
      <c r="G7316" s="7"/>
    </row>
    <row r="7317" spans="5:7" x14ac:dyDescent="0.25">
      <c r="E7317" s="27"/>
      <c r="F7317" s="27"/>
      <c r="G7317" s="7"/>
    </row>
    <row r="7318" spans="5:7" x14ac:dyDescent="0.25">
      <c r="E7318" s="27"/>
      <c r="F7318" s="27"/>
      <c r="G7318" s="7"/>
    </row>
    <row r="7319" spans="5:7" x14ac:dyDescent="0.25">
      <c r="E7319" s="27"/>
      <c r="F7319" s="27"/>
      <c r="G7319" s="7"/>
    </row>
    <row r="7320" spans="5:7" x14ac:dyDescent="0.25">
      <c r="E7320" s="27"/>
      <c r="F7320" s="27"/>
      <c r="G7320" s="7"/>
    </row>
    <row r="7321" spans="5:7" x14ac:dyDescent="0.25">
      <c r="E7321" s="27"/>
      <c r="F7321" s="27"/>
      <c r="G7321" s="7"/>
    </row>
    <row r="7322" spans="5:7" x14ac:dyDescent="0.25">
      <c r="E7322" s="27"/>
      <c r="F7322" s="27"/>
      <c r="G7322" s="7"/>
    </row>
    <row r="7323" spans="5:7" x14ac:dyDescent="0.25">
      <c r="E7323" s="27"/>
      <c r="F7323" s="27"/>
      <c r="G7323" s="7"/>
    </row>
    <row r="7324" spans="5:7" x14ac:dyDescent="0.25">
      <c r="E7324" s="27"/>
      <c r="F7324" s="27"/>
      <c r="G7324" s="7"/>
    </row>
    <row r="7325" spans="5:7" x14ac:dyDescent="0.25">
      <c r="E7325" s="27"/>
      <c r="F7325" s="27"/>
      <c r="G7325" s="7"/>
    </row>
    <row r="7326" spans="5:7" x14ac:dyDescent="0.25">
      <c r="E7326" s="27"/>
      <c r="F7326" s="27"/>
      <c r="G7326" s="7"/>
    </row>
    <row r="7327" spans="5:7" x14ac:dyDescent="0.25">
      <c r="E7327" s="27"/>
      <c r="F7327" s="27"/>
      <c r="G7327" s="7"/>
    </row>
    <row r="7328" spans="5:7" x14ac:dyDescent="0.25">
      <c r="E7328" s="27"/>
      <c r="F7328" s="27"/>
      <c r="G7328" s="7"/>
    </row>
    <row r="7329" spans="5:7" x14ac:dyDescent="0.25">
      <c r="E7329" s="27"/>
      <c r="F7329" s="27"/>
      <c r="G7329" s="7"/>
    </row>
    <row r="7330" spans="5:7" x14ac:dyDescent="0.25">
      <c r="E7330" s="27"/>
      <c r="F7330" s="27"/>
      <c r="G7330" s="7"/>
    </row>
    <row r="7331" spans="5:7" x14ac:dyDescent="0.25">
      <c r="E7331" s="27"/>
      <c r="F7331" s="27"/>
      <c r="G7331" s="7"/>
    </row>
    <row r="7332" spans="5:7" x14ac:dyDescent="0.25">
      <c r="E7332" s="27"/>
      <c r="F7332" s="27"/>
      <c r="G7332" s="7"/>
    </row>
    <row r="7333" spans="5:7" x14ac:dyDescent="0.25">
      <c r="E7333" s="27"/>
      <c r="F7333" s="27"/>
      <c r="G7333" s="7"/>
    </row>
    <row r="7334" spans="5:7" x14ac:dyDescent="0.25">
      <c r="E7334" s="27"/>
      <c r="F7334" s="27"/>
      <c r="G7334" s="7"/>
    </row>
    <row r="7335" spans="5:7" x14ac:dyDescent="0.25">
      <c r="E7335" s="27"/>
      <c r="F7335" s="27"/>
      <c r="G7335" s="7"/>
    </row>
    <row r="7336" spans="5:7" x14ac:dyDescent="0.25">
      <c r="E7336" s="27"/>
      <c r="F7336" s="27"/>
      <c r="G7336" s="7"/>
    </row>
    <row r="7337" spans="5:7" x14ac:dyDescent="0.25">
      <c r="E7337" s="27"/>
      <c r="F7337" s="27"/>
      <c r="G7337" s="7"/>
    </row>
    <row r="7338" spans="5:7" x14ac:dyDescent="0.25">
      <c r="E7338" s="27"/>
      <c r="F7338" s="27"/>
      <c r="G7338" s="7"/>
    </row>
    <row r="7339" spans="5:7" x14ac:dyDescent="0.25">
      <c r="E7339" s="27"/>
      <c r="F7339" s="27"/>
      <c r="G7339" s="7"/>
    </row>
    <row r="7340" spans="5:7" x14ac:dyDescent="0.25">
      <c r="E7340" s="27"/>
      <c r="F7340" s="27"/>
      <c r="G7340" s="7"/>
    </row>
    <row r="7341" spans="5:7" x14ac:dyDescent="0.25">
      <c r="E7341" s="27"/>
      <c r="F7341" s="27"/>
      <c r="G7341" s="7"/>
    </row>
    <row r="7342" spans="5:7" x14ac:dyDescent="0.25">
      <c r="E7342" s="27"/>
      <c r="F7342" s="27"/>
      <c r="G7342" s="7"/>
    </row>
    <row r="7343" spans="5:7" x14ac:dyDescent="0.25">
      <c r="E7343" s="27"/>
      <c r="F7343" s="27"/>
      <c r="G7343" s="7"/>
    </row>
    <row r="7344" spans="5:7" x14ac:dyDescent="0.25">
      <c r="E7344" s="27"/>
      <c r="F7344" s="27"/>
      <c r="G7344" s="7"/>
    </row>
    <row r="7345" spans="5:7" x14ac:dyDescent="0.25">
      <c r="E7345" s="27"/>
      <c r="F7345" s="27"/>
      <c r="G7345" s="7"/>
    </row>
    <row r="7346" spans="5:7" x14ac:dyDescent="0.25">
      <c r="E7346" s="27"/>
      <c r="F7346" s="27"/>
      <c r="G7346" s="7"/>
    </row>
    <row r="7347" spans="5:7" x14ac:dyDescent="0.25">
      <c r="E7347" s="27"/>
      <c r="F7347" s="27"/>
      <c r="G7347" s="7"/>
    </row>
    <row r="7348" spans="5:7" x14ac:dyDescent="0.25">
      <c r="E7348" s="27"/>
      <c r="F7348" s="27"/>
      <c r="G7348" s="7"/>
    </row>
    <row r="7349" spans="5:7" x14ac:dyDescent="0.25">
      <c r="E7349" s="27"/>
      <c r="F7349" s="27"/>
      <c r="G7349" s="7"/>
    </row>
    <row r="7350" spans="5:7" x14ac:dyDescent="0.25">
      <c r="E7350" s="27"/>
      <c r="F7350" s="27"/>
      <c r="G7350" s="7"/>
    </row>
    <row r="7351" spans="5:7" x14ac:dyDescent="0.25">
      <c r="E7351" s="27"/>
      <c r="F7351" s="27"/>
      <c r="G7351" s="7"/>
    </row>
    <row r="7352" spans="5:7" x14ac:dyDescent="0.25">
      <c r="E7352" s="27"/>
      <c r="F7352" s="27"/>
      <c r="G7352" s="7"/>
    </row>
    <row r="7353" spans="5:7" x14ac:dyDescent="0.25">
      <c r="E7353" s="27"/>
      <c r="F7353" s="27"/>
      <c r="G7353" s="7"/>
    </row>
    <row r="7354" spans="5:7" x14ac:dyDescent="0.25">
      <c r="E7354" s="27"/>
      <c r="F7354" s="27"/>
      <c r="G7354" s="7"/>
    </row>
    <row r="7355" spans="5:7" x14ac:dyDescent="0.25">
      <c r="E7355" s="27"/>
      <c r="F7355" s="27"/>
      <c r="G7355" s="7"/>
    </row>
    <row r="7356" spans="5:7" x14ac:dyDescent="0.25">
      <c r="E7356" s="27"/>
      <c r="F7356" s="27"/>
      <c r="G7356" s="7"/>
    </row>
    <row r="7357" spans="5:7" x14ac:dyDescent="0.25">
      <c r="E7357" s="27"/>
      <c r="F7357" s="27"/>
      <c r="G7357" s="7"/>
    </row>
    <row r="7358" spans="5:7" x14ac:dyDescent="0.25">
      <c r="E7358" s="27"/>
      <c r="F7358" s="27"/>
      <c r="G7358" s="7"/>
    </row>
    <row r="7359" spans="5:7" x14ac:dyDescent="0.25">
      <c r="E7359" s="27"/>
      <c r="F7359" s="27"/>
      <c r="G7359" s="7"/>
    </row>
    <row r="7360" spans="5:7" x14ac:dyDescent="0.25">
      <c r="E7360" s="27"/>
      <c r="F7360" s="27"/>
      <c r="G7360" s="7"/>
    </row>
    <row r="7361" spans="5:7" x14ac:dyDescent="0.25">
      <c r="E7361" s="27"/>
      <c r="F7361" s="27"/>
      <c r="G7361" s="7"/>
    </row>
    <row r="7362" spans="5:7" x14ac:dyDescent="0.25">
      <c r="E7362" s="27"/>
      <c r="F7362" s="27"/>
      <c r="G7362" s="7"/>
    </row>
    <row r="7363" spans="5:7" x14ac:dyDescent="0.25">
      <c r="E7363" s="27"/>
      <c r="F7363" s="27"/>
      <c r="G7363" s="7"/>
    </row>
    <row r="7364" spans="5:7" x14ac:dyDescent="0.25">
      <c r="E7364" s="27"/>
      <c r="F7364" s="27"/>
      <c r="G7364" s="7"/>
    </row>
    <row r="7365" spans="5:7" x14ac:dyDescent="0.25">
      <c r="E7365" s="27"/>
      <c r="F7365" s="27"/>
      <c r="G7365" s="7"/>
    </row>
    <row r="7366" spans="5:7" x14ac:dyDescent="0.25">
      <c r="E7366" s="27"/>
      <c r="F7366" s="27"/>
      <c r="G7366" s="7"/>
    </row>
    <row r="7367" spans="5:7" x14ac:dyDescent="0.25">
      <c r="E7367" s="27"/>
      <c r="F7367" s="27"/>
      <c r="G7367" s="7"/>
    </row>
    <row r="7368" spans="5:7" x14ac:dyDescent="0.25">
      <c r="E7368" s="27"/>
      <c r="F7368" s="27"/>
      <c r="G7368" s="7"/>
    </row>
    <row r="7369" spans="5:7" x14ac:dyDescent="0.25">
      <c r="E7369" s="27"/>
      <c r="F7369" s="27"/>
      <c r="G7369" s="7"/>
    </row>
    <row r="7370" spans="5:7" x14ac:dyDescent="0.25">
      <c r="E7370" s="27"/>
      <c r="F7370" s="27"/>
      <c r="G7370" s="7"/>
    </row>
    <row r="7371" spans="5:7" x14ac:dyDescent="0.25">
      <c r="E7371" s="27"/>
      <c r="F7371" s="27"/>
      <c r="G7371" s="7"/>
    </row>
    <row r="7372" spans="5:7" x14ac:dyDescent="0.25">
      <c r="E7372" s="27"/>
      <c r="F7372" s="27"/>
      <c r="G7372" s="7"/>
    </row>
    <row r="7373" spans="5:7" x14ac:dyDescent="0.25">
      <c r="E7373" s="27"/>
      <c r="F7373" s="27"/>
      <c r="G7373" s="7"/>
    </row>
    <row r="7374" spans="5:7" x14ac:dyDescent="0.25">
      <c r="E7374" s="27"/>
      <c r="F7374" s="27"/>
      <c r="G7374" s="7"/>
    </row>
    <row r="7375" spans="5:7" x14ac:dyDescent="0.25">
      <c r="E7375" s="27"/>
      <c r="F7375" s="27"/>
      <c r="G7375" s="7"/>
    </row>
    <row r="7376" spans="5:7" x14ac:dyDescent="0.25">
      <c r="E7376" s="27"/>
      <c r="F7376" s="27"/>
      <c r="G7376" s="7"/>
    </row>
    <row r="7377" spans="5:7" x14ac:dyDescent="0.25">
      <c r="E7377" s="27"/>
      <c r="F7377" s="27"/>
      <c r="G7377" s="7"/>
    </row>
    <row r="7378" spans="5:7" x14ac:dyDescent="0.25">
      <c r="E7378" s="27"/>
      <c r="F7378" s="27"/>
      <c r="G7378" s="7"/>
    </row>
    <row r="7379" spans="5:7" x14ac:dyDescent="0.25">
      <c r="E7379" s="27"/>
      <c r="F7379" s="27"/>
      <c r="G7379" s="7"/>
    </row>
    <row r="7380" spans="5:7" x14ac:dyDescent="0.25">
      <c r="E7380" s="27"/>
      <c r="F7380" s="27"/>
      <c r="G7380" s="7"/>
    </row>
    <row r="7381" spans="5:7" x14ac:dyDescent="0.25">
      <c r="E7381" s="27"/>
      <c r="F7381" s="27"/>
      <c r="G7381" s="7"/>
    </row>
    <row r="7382" spans="5:7" x14ac:dyDescent="0.25">
      <c r="E7382" s="27"/>
      <c r="F7382" s="27"/>
      <c r="G7382" s="7"/>
    </row>
    <row r="7383" spans="5:7" x14ac:dyDescent="0.25">
      <c r="E7383" s="27"/>
      <c r="F7383" s="27"/>
      <c r="G7383" s="7"/>
    </row>
    <row r="7384" spans="5:7" x14ac:dyDescent="0.25">
      <c r="E7384" s="27"/>
      <c r="F7384" s="27"/>
      <c r="G7384" s="7"/>
    </row>
    <row r="7385" spans="5:7" x14ac:dyDescent="0.25">
      <c r="E7385" s="27"/>
      <c r="F7385" s="27"/>
      <c r="G7385" s="7"/>
    </row>
    <row r="7386" spans="5:7" x14ac:dyDescent="0.25">
      <c r="E7386" s="27"/>
      <c r="F7386" s="27"/>
      <c r="G7386" s="7"/>
    </row>
    <row r="7387" spans="5:7" x14ac:dyDescent="0.25">
      <c r="E7387" s="27"/>
      <c r="F7387" s="27"/>
      <c r="G7387" s="7"/>
    </row>
    <row r="7388" spans="5:7" x14ac:dyDescent="0.25">
      <c r="E7388" s="27"/>
      <c r="F7388" s="27"/>
      <c r="G7388" s="7"/>
    </row>
    <row r="7389" spans="5:7" x14ac:dyDescent="0.25">
      <c r="E7389" s="27"/>
      <c r="F7389" s="27"/>
      <c r="G7389" s="7"/>
    </row>
    <row r="7390" spans="5:7" x14ac:dyDescent="0.25">
      <c r="E7390" s="27"/>
      <c r="F7390" s="27"/>
      <c r="G7390" s="7"/>
    </row>
    <row r="7391" spans="5:7" x14ac:dyDescent="0.25">
      <c r="E7391" s="27"/>
      <c r="F7391" s="27"/>
      <c r="G7391" s="7"/>
    </row>
    <row r="7392" spans="5:7" x14ac:dyDescent="0.25">
      <c r="E7392" s="27"/>
      <c r="F7392" s="27"/>
      <c r="G7392" s="7"/>
    </row>
    <row r="7393" spans="5:7" x14ac:dyDescent="0.25">
      <c r="E7393" s="27"/>
      <c r="F7393" s="27"/>
      <c r="G7393" s="7"/>
    </row>
    <row r="7394" spans="5:7" x14ac:dyDescent="0.25">
      <c r="E7394" s="27"/>
      <c r="F7394" s="27"/>
      <c r="G7394" s="7"/>
    </row>
    <row r="7395" spans="5:7" x14ac:dyDescent="0.25">
      <c r="E7395" s="27"/>
      <c r="F7395" s="27"/>
      <c r="G7395" s="7"/>
    </row>
    <row r="7396" spans="5:7" x14ac:dyDescent="0.25">
      <c r="E7396" s="27"/>
      <c r="F7396" s="27"/>
      <c r="G7396" s="7"/>
    </row>
    <row r="7397" spans="5:7" x14ac:dyDescent="0.25">
      <c r="E7397" s="27"/>
      <c r="F7397" s="27"/>
      <c r="G7397" s="7"/>
    </row>
    <row r="7398" spans="5:7" x14ac:dyDescent="0.25">
      <c r="E7398" s="27"/>
      <c r="F7398" s="27"/>
      <c r="G7398" s="7"/>
    </row>
    <row r="7399" spans="5:7" x14ac:dyDescent="0.25">
      <c r="E7399" s="27"/>
      <c r="F7399" s="27"/>
      <c r="G7399" s="7"/>
    </row>
    <row r="7400" spans="5:7" x14ac:dyDescent="0.25">
      <c r="E7400" s="27"/>
      <c r="F7400" s="27"/>
      <c r="G7400" s="7"/>
    </row>
    <row r="7401" spans="5:7" x14ac:dyDescent="0.25">
      <c r="E7401" s="27"/>
      <c r="F7401" s="27"/>
      <c r="G7401" s="7"/>
    </row>
    <row r="7402" spans="5:7" x14ac:dyDescent="0.25">
      <c r="E7402" s="27"/>
      <c r="F7402" s="27"/>
      <c r="G7402" s="7"/>
    </row>
    <row r="7403" spans="5:7" x14ac:dyDescent="0.25">
      <c r="E7403" s="27"/>
      <c r="F7403" s="27"/>
      <c r="G7403" s="7"/>
    </row>
    <row r="7404" spans="5:7" x14ac:dyDescent="0.25">
      <c r="E7404" s="27"/>
      <c r="F7404" s="27"/>
      <c r="G7404" s="7"/>
    </row>
    <row r="7405" spans="5:7" x14ac:dyDescent="0.25">
      <c r="E7405" s="27"/>
      <c r="F7405" s="27"/>
      <c r="G7405" s="7"/>
    </row>
    <row r="7406" spans="5:7" x14ac:dyDescent="0.25">
      <c r="E7406" s="27"/>
      <c r="F7406" s="27"/>
      <c r="G7406" s="7"/>
    </row>
    <row r="7407" spans="5:7" x14ac:dyDescent="0.25">
      <c r="E7407" s="27"/>
      <c r="F7407" s="27"/>
      <c r="G7407" s="7"/>
    </row>
    <row r="7408" spans="5:7" x14ac:dyDescent="0.25">
      <c r="E7408" s="27"/>
      <c r="F7408" s="27"/>
      <c r="G7408" s="7"/>
    </row>
    <row r="7409" spans="5:7" x14ac:dyDescent="0.25">
      <c r="E7409" s="27"/>
      <c r="F7409" s="27"/>
      <c r="G7409" s="7"/>
    </row>
    <row r="7410" spans="5:7" x14ac:dyDescent="0.25">
      <c r="E7410" s="27"/>
      <c r="F7410" s="27"/>
      <c r="G7410" s="7"/>
    </row>
    <row r="7411" spans="5:7" x14ac:dyDescent="0.25">
      <c r="E7411" s="27"/>
      <c r="F7411" s="27"/>
      <c r="G7411" s="7"/>
    </row>
    <row r="7412" spans="5:7" x14ac:dyDescent="0.25">
      <c r="E7412" s="27"/>
      <c r="F7412" s="27"/>
      <c r="G7412" s="7"/>
    </row>
    <row r="7413" spans="5:7" x14ac:dyDescent="0.25">
      <c r="E7413" s="27"/>
      <c r="F7413" s="27"/>
      <c r="G7413" s="7"/>
    </row>
    <row r="7414" spans="5:7" x14ac:dyDescent="0.25">
      <c r="E7414" s="27"/>
      <c r="F7414" s="27"/>
      <c r="G7414" s="7"/>
    </row>
    <row r="7415" spans="5:7" x14ac:dyDescent="0.25">
      <c r="E7415" s="27"/>
      <c r="F7415" s="27"/>
      <c r="G7415" s="7"/>
    </row>
    <row r="7416" spans="5:7" x14ac:dyDescent="0.25">
      <c r="E7416" s="27"/>
      <c r="F7416" s="27"/>
      <c r="G7416" s="7"/>
    </row>
    <row r="7417" spans="5:7" x14ac:dyDescent="0.25">
      <c r="E7417" s="27"/>
      <c r="F7417" s="27"/>
      <c r="G7417" s="7"/>
    </row>
    <row r="7418" spans="5:7" x14ac:dyDescent="0.25">
      <c r="E7418" s="27"/>
      <c r="F7418" s="27"/>
      <c r="G7418" s="7"/>
    </row>
    <row r="7419" spans="5:7" x14ac:dyDescent="0.25">
      <c r="E7419" s="27"/>
      <c r="F7419" s="27"/>
      <c r="G7419" s="7"/>
    </row>
    <row r="7420" spans="5:7" x14ac:dyDescent="0.25">
      <c r="E7420" s="27"/>
      <c r="F7420" s="27"/>
      <c r="G7420" s="7"/>
    </row>
    <row r="7421" spans="5:7" x14ac:dyDescent="0.25">
      <c r="E7421" s="27"/>
      <c r="F7421" s="27"/>
      <c r="G7421" s="7"/>
    </row>
    <row r="7422" spans="5:7" x14ac:dyDescent="0.25">
      <c r="E7422" s="27"/>
      <c r="F7422" s="27"/>
      <c r="G7422" s="7"/>
    </row>
    <row r="7423" spans="5:7" x14ac:dyDescent="0.25">
      <c r="E7423" s="27"/>
      <c r="F7423" s="27"/>
      <c r="G7423" s="7"/>
    </row>
    <row r="7424" spans="5:7" x14ac:dyDescent="0.25">
      <c r="E7424" s="27"/>
      <c r="F7424" s="27"/>
      <c r="G7424" s="7"/>
    </row>
    <row r="7425" spans="5:7" x14ac:dyDescent="0.25">
      <c r="E7425" s="27"/>
      <c r="F7425" s="27"/>
      <c r="G7425" s="7"/>
    </row>
    <row r="7426" spans="5:7" x14ac:dyDescent="0.25">
      <c r="E7426" s="27"/>
      <c r="F7426" s="27"/>
      <c r="G7426" s="7"/>
    </row>
    <row r="7427" spans="5:7" x14ac:dyDescent="0.25">
      <c r="E7427" s="27"/>
      <c r="F7427" s="27"/>
      <c r="G7427" s="7"/>
    </row>
    <row r="7428" spans="5:7" x14ac:dyDescent="0.25">
      <c r="E7428" s="27"/>
      <c r="F7428" s="27"/>
      <c r="G7428" s="7"/>
    </row>
    <row r="7429" spans="5:7" x14ac:dyDescent="0.25">
      <c r="E7429" s="27"/>
      <c r="F7429" s="27"/>
      <c r="G7429" s="7"/>
    </row>
    <row r="7430" spans="5:7" x14ac:dyDescent="0.25">
      <c r="E7430" s="27"/>
      <c r="F7430" s="27"/>
      <c r="G7430" s="7"/>
    </row>
    <row r="7431" spans="5:7" x14ac:dyDescent="0.25">
      <c r="E7431" s="27"/>
      <c r="F7431" s="27"/>
      <c r="G7431" s="7"/>
    </row>
    <row r="7432" spans="5:7" x14ac:dyDescent="0.25">
      <c r="E7432" s="27"/>
      <c r="F7432" s="27"/>
      <c r="G7432" s="7"/>
    </row>
    <row r="7433" spans="5:7" x14ac:dyDescent="0.25">
      <c r="E7433" s="27"/>
      <c r="F7433" s="27"/>
      <c r="G7433" s="7"/>
    </row>
    <row r="7434" spans="5:7" x14ac:dyDescent="0.25">
      <c r="E7434" s="27"/>
      <c r="F7434" s="27"/>
      <c r="G7434" s="7"/>
    </row>
    <row r="7435" spans="5:7" x14ac:dyDescent="0.25">
      <c r="E7435" s="27"/>
      <c r="F7435" s="27"/>
      <c r="G7435" s="7"/>
    </row>
    <row r="7436" spans="5:7" x14ac:dyDescent="0.25">
      <c r="E7436" s="27"/>
      <c r="F7436" s="27"/>
      <c r="G7436" s="7"/>
    </row>
    <row r="7437" spans="5:7" x14ac:dyDescent="0.25">
      <c r="E7437" s="27"/>
      <c r="F7437" s="27"/>
      <c r="G7437" s="7"/>
    </row>
    <row r="7438" spans="5:7" x14ac:dyDescent="0.25">
      <c r="E7438" s="27"/>
      <c r="F7438" s="27"/>
      <c r="G7438" s="7"/>
    </row>
    <row r="7439" spans="5:7" x14ac:dyDescent="0.25">
      <c r="E7439" s="27"/>
      <c r="F7439" s="27"/>
      <c r="G7439" s="7"/>
    </row>
    <row r="7440" spans="5:7" x14ac:dyDescent="0.25">
      <c r="E7440" s="27"/>
      <c r="F7440" s="27"/>
      <c r="G7440" s="7"/>
    </row>
    <row r="7441" spans="5:7" x14ac:dyDescent="0.25">
      <c r="E7441" s="27"/>
      <c r="F7441" s="27"/>
      <c r="G7441" s="7"/>
    </row>
    <row r="7442" spans="5:7" x14ac:dyDescent="0.25">
      <c r="E7442" s="27"/>
      <c r="F7442" s="27"/>
      <c r="G7442" s="7"/>
    </row>
    <row r="7443" spans="5:7" x14ac:dyDescent="0.25">
      <c r="E7443" s="27"/>
      <c r="F7443" s="27"/>
      <c r="G7443" s="7"/>
    </row>
    <row r="7444" spans="5:7" x14ac:dyDescent="0.25">
      <c r="E7444" s="27"/>
      <c r="F7444" s="27"/>
      <c r="G7444" s="7"/>
    </row>
    <row r="7445" spans="5:7" x14ac:dyDescent="0.25">
      <c r="E7445" s="27"/>
      <c r="F7445" s="27"/>
      <c r="G7445" s="7"/>
    </row>
    <row r="7446" spans="5:7" x14ac:dyDescent="0.25">
      <c r="E7446" s="27"/>
      <c r="F7446" s="27"/>
      <c r="G7446" s="7"/>
    </row>
    <row r="7447" spans="5:7" x14ac:dyDescent="0.25">
      <c r="E7447" s="27"/>
      <c r="F7447" s="27"/>
      <c r="G7447" s="7"/>
    </row>
    <row r="7448" spans="5:7" x14ac:dyDescent="0.25">
      <c r="E7448" s="27"/>
      <c r="F7448" s="27"/>
      <c r="G7448" s="7"/>
    </row>
    <row r="7449" spans="5:7" x14ac:dyDescent="0.25">
      <c r="E7449" s="27"/>
      <c r="F7449" s="27"/>
      <c r="G7449" s="7"/>
    </row>
    <row r="7450" spans="5:7" x14ac:dyDescent="0.25">
      <c r="E7450" s="27"/>
      <c r="F7450" s="27"/>
      <c r="G7450" s="7"/>
    </row>
    <row r="7451" spans="5:7" x14ac:dyDescent="0.25">
      <c r="E7451" s="27"/>
      <c r="F7451" s="27"/>
      <c r="G7451" s="7"/>
    </row>
    <row r="7452" spans="5:7" x14ac:dyDescent="0.25">
      <c r="E7452" s="27"/>
      <c r="F7452" s="27"/>
      <c r="G7452" s="7"/>
    </row>
    <row r="7453" spans="5:7" x14ac:dyDescent="0.25">
      <c r="E7453" s="27"/>
      <c r="F7453" s="27"/>
      <c r="G7453" s="7"/>
    </row>
    <row r="7454" spans="5:7" x14ac:dyDescent="0.25">
      <c r="E7454" s="27"/>
      <c r="F7454" s="27"/>
      <c r="G7454" s="7"/>
    </row>
    <row r="7455" spans="5:7" x14ac:dyDescent="0.25">
      <c r="E7455" s="27"/>
      <c r="F7455" s="27"/>
      <c r="G7455" s="7"/>
    </row>
    <row r="7456" spans="5:7" x14ac:dyDescent="0.25">
      <c r="E7456" s="27"/>
      <c r="F7456" s="27"/>
      <c r="G7456" s="7"/>
    </row>
    <row r="7457" spans="5:7" x14ac:dyDescent="0.25">
      <c r="E7457" s="27"/>
      <c r="F7457" s="27"/>
      <c r="G7457" s="7"/>
    </row>
    <row r="7458" spans="5:7" x14ac:dyDescent="0.25">
      <c r="E7458" s="27"/>
      <c r="F7458" s="27"/>
      <c r="G7458" s="7"/>
    </row>
    <row r="7459" spans="5:7" x14ac:dyDescent="0.25">
      <c r="E7459" s="27"/>
      <c r="F7459" s="27"/>
      <c r="G7459" s="7"/>
    </row>
    <row r="7460" spans="5:7" x14ac:dyDescent="0.25">
      <c r="E7460" s="27"/>
      <c r="F7460" s="27"/>
      <c r="G7460" s="7"/>
    </row>
    <row r="7461" spans="5:7" x14ac:dyDescent="0.25">
      <c r="E7461" s="27"/>
      <c r="F7461" s="27"/>
      <c r="G7461" s="7"/>
    </row>
    <row r="7462" spans="5:7" x14ac:dyDescent="0.25">
      <c r="E7462" s="27"/>
      <c r="F7462" s="27"/>
      <c r="G7462" s="7"/>
    </row>
    <row r="7463" spans="5:7" x14ac:dyDescent="0.25">
      <c r="E7463" s="27"/>
      <c r="F7463" s="27"/>
      <c r="G7463" s="7"/>
    </row>
    <row r="7464" spans="5:7" x14ac:dyDescent="0.25">
      <c r="E7464" s="27"/>
      <c r="F7464" s="27"/>
      <c r="G7464" s="7"/>
    </row>
    <row r="7465" spans="5:7" x14ac:dyDescent="0.25">
      <c r="E7465" s="27"/>
      <c r="F7465" s="27"/>
      <c r="G7465" s="7"/>
    </row>
    <row r="7466" spans="5:7" x14ac:dyDescent="0.25">
      <c r="E7466" s="27"/>
      <c r="F7466" s="27"/>
      <c r="G7466" s="7"/>
    </row>
    <row r="7467" spans="5:7" x14ac:dyDescent="0.25">
      <c r="E7467" s="27"/>
      <c r="F7467" s="27"/>
      <c r="G7467" s="7"/>
    </row>
    <row r="7468" spans="5:7" x14ac:dyDescent="0.25">
      <c r="E7468" s="27"/>
      <c r="F7468" s="27"/>
      <c r="G7468" s="7"/>
    </row>
    <row r="7469" spans="5:7" x14ac:dyDescent="0.25">
      <c r="E7469" s="27"/>
      <c r="F7469" s="27"/>
      <c r="G7469" s="7"/>
    </row>
    <row r="7470" spans="5:7" x14ac:dyDescent="0.25">
      <c r="E7470" s="27"/>
      <c r="F7470" s="27"/>
      <c r="G7470" s="7"/>
    </row>
    <row r="7471" spans="5:7" x14ac:dyDescent="0.25">
      <c r="E7471" s="27"/>
      <c r="F7471" s="27"/>
      <c r="G7471" s="7"/>
    </row>
    <row r="7472" spans="5:7" x14ac:dyDescent="0.25">
      <c r="E7472" s="27"/>
      <c r="F7472" s="27"/>
      <c r="G7472" s="7"/>
    </row>
    <row r="7473" spans="5:7" x14ac:dyDescent="0.25">
      <c r="E7473" s="27"/>
      <c r="F7473" s="27"/>
      <c r="G7473" s="7"/>
    </row>
    <row r="7474" spans="5:7" x14ac:dyDescent="0.25">
      <c r="E7474" s="27"/>
      <c r="F7474" s="27"/>
      <c r="G7474" s="7"/>
    </row>
    <row r="7475" spans="5:7" x14ac:dyDescent="0.25">
      <c r="E7475" s="27"/>
      <c r="F7475" s="27"/>
      <c r="G7475" s="7"/>
    </row>
    <row r="7476" spans="5:7" x14ac:dyDescent="0.25">
      <c r="E7476" s="27"/>
      <c r="F7476" s="27"/>
      <c r="G7476" s="7"/>
    </row>
    <row r="7477" spans="5:7" x14ac:dyDescent="0.25">
      <c r="E7477" s="27"/>
      <c r="F7477" s="27"/>
      <c r="G7477" s="7"/>
    </row>
    <row r="7478" spans="5:7" x14ac:dyDescent="0.25">
      <c r="E7478" s="27"/>
      <c r="F7478" s="27"/>
      <c r="G7478" s="7"/>
    </row>
    <row r="7479" spans="5:7" x14ac:dyDescent="0.25">
      <c r="E7479" s="27"/>
      <c r="F7479" s="27"/>
      <c r="G7479" s="7"/>
    </row>
    <row r="7480" spans="5:7" x14ac:dyDescent="0.25">
      <c r="E7480" s="27"/>
      <c r="F7480" s="27"/>
      <c r="G7480" s="7"/>
    </row>
    <row r="7481" spans="5:7" x14ac:dyDescent="0.25">
      <c r="E7481" s="27"/>
      <c r="F7481" s="27"/>
      <c r="G7481" s="7"/>
    </row>
    <row r="7482" spans="5:7" x14ac:dyDescent="0.25">
      <c r="E7482" s="27"/>
      <c r="F7482" s="27"/>
      <c r="G7482" s="7"/>
    </row>
    <row r="7483" spans="5:7" x14ac:dyDescent="0.25">
      <c r="E7483" s="27"/>
      <c r="F7483" s="27"/>
      <c r="G7483" s="7"/>
    </row>
    <row r="7484" spans="5:7" x14ac:dyDescent="0.25">
      <c r="E7484" s="27"/>
      <c r="F7484" s="27"/>
      <c r="G7484" s="7"/>
    </row>
    <row r="7485" spans="5:7" x14ac:dyDescent="0.25">
      <c r="E7485" s="27"/>
      <c r="F7485" s="27"/>
      <c r="G7485" s="7"/>
    </row>
    <row r="7486" spans="5:7" x14ac:dyDescent="0.25">
      <c r="E7486" s="27"/>
      <c r="F7486" s="27"/>
      <c r="G7486" s="7"/>
    </row>
    <row r="7487" spans="5:7" x14ac:dyDescent="0.25">
      <c r="E7487" s="27"/>
      <c r="F7487" s="27"/>
      <c r="G7487" s="7"/>
    </row>
    <row r="7488" spans="5:7" x14ac:dyDescent="0.25">
      <c r="E7488" s="27"/>
      <c r="F7488" s="27"/>
      <c r="G7488" s="7"/>
    </row>
    <row r="7489" spans="5:7" x14ac:dyDescent="0.25">
      <c r="E7489" s="27"/>
      <c r="F7489" s="27"/>
      <c r="G7489" s="7"/>
    </row>
    <row r="7490" spans="5:7" x14ac:dyDescent="0.25">
      <c r="E7490" s="27"/>
      <c r="F7490" s="27"/>
      <c r="G7490" s="7"/>
    </row>
    <row r="7491" spans="5:7" x14ac:dyDescent="0.25">
      <c r="E7491" s="27"/>
      <c r="F7491" s="27"/>
      <c r="G7491" s="7"/>
    </row>
    <row r="7492" spans="5:7" x14ac:dyDescent="0.25">
      <c r="E7492" s="27"/>
      <c r="F7492" s="27"/>
      <c r="G7492" s="7"/>
    </row>
    <row r="7493" spans="5:7" x14ac:dyDescent="0.25">
      <c r="E7493" s="27"/>
      <c r="F7493" s="27"/>
      <c r="G7493" s="7"/>
    </row>
    <row r="7494" spans="5:7" x14ac:dyDescent="0.25">
      <c r="E7494" s="27"/>
      <c r="F7494" s="27"/>
      <c r="G7494" s="7"/>
    </row>
    <row r="7495" spans="5:7" x14ac:dyDescent="0.25">
      <c r="E7495" s="27"/>
      <c r="F7495" s="27"/>
      <c r="G7495" s="7"/>
    </row>
    <row r="7496" spans="5:7" x14ac:dyDescent="0.25">
      <c r="E7496" s="27"/>
      <c r="F7496" s="27"/>
      <c r="G7496" s="7"/>
    </row>
    <row r="7497" spans="5:7" x14ac:dyDescent="0.25">
      <c r="E7497" s="27"/>
      <c r="F7497" s="27"/>
      <c r="G7497" s="7"/>
    </row>
    <row r="7498" spans="5:7" x14ac:dyDescent="0.25">
      <c r="E7498" s="27"/>
      <c r="F7498" s="27"/>
      <c r="G7498" s="7"/>
    </row>
    <row r="7499" spans="5:7" x14ac:dyDescent="0.25">
      <c r="E7499" s="27"/>
      <c r="F7499" s="27"/>
      <c r="G7499" s="7"/>
    </row>
    <row r="7500" spans="5:7" x14ac:dyDescent="0.25">
      <c r="E7500" s="27"/>
      <c r="F7500" s="27"/>
      <c r="G7500" s="7"/>
    </row>
    <row r="7501" spans="5:7" x14ac:dyDescent="0.25">
      <c r="E7501" s="27"/>
      <c r="F7501" s="27"/>
      <c r="G7501" s="7"/>
    </row>
    <row r="7502" spans="5:7" x14ac:dyDescent="0.25">
      <c r="E7502" s="27"/>
      <c r="F7502" s="27"/>
      <c r="G7502" s="7"/>
    </row>
    <row r="7503" spans="5:7" x14ac:dyDescent="0.25">
      <c r="E7503" s="27"/>
      <c r="F7503" s="27"/>
      <c r="G7503" s="7"/>
    </row>
    <row r="7504" spans="5:7" x14ac:dyDescent="0.25">
      <c r="E7504" s="27"/>
      <c r="F7504" s="27"/>
      <c r="G7504" s="7"/>
    </row>
    <row r="7505" spans="5:7" x14ac:dyDescent="0.25">
      <c r="E7505" s="27"/>
      <c r="F7505" s="27"/>
      <c r="G7505" s="7"/>
    </row>
    <row r="7506" spans="5:7" x14ac:dyDescent="0.25">
      <c r="E7506" s="27"/>
      <c r="F7506" s="27"/>
      <c r="G7506" s="7"/>
    </row>
    <row r="7507" spans="5:7" x14ac:dyDescent="0.25">
      <c r="E7507" s="27"/>
      <c r="F7507" s="27"/>
      <c r="G7507" s="7"/>
    </row>
    <row r="7508" spans="5:7" x14ac:dyDescent="0.25">
      <c r="E7508" s="27"/>
      <c r="F7508" s="27"/>
      <c r="G7508" s="7"/>
    </row>
    <row r="7509" spans="5:7" x14ac:dyDescent="0.25">
      <c r="E7509" s="27"/>
      <c r="F7509" s="27"/>
      <c r="G7509" s="7"/>
    </row>
    <row r="7510" spans="5:7" x14ac:dyDescent="0.25">
      <c r="E7510" s="27"/>
      <c r="F7510" s="27"/>
      <c r="G7510" s="7"/>
    </row>
    <row r="7511" spans="5:7" x14ac:dyDescent="0.25">
      <c r="E7511" s="27"/>
      <c r="F7511" s="27"/>
      <c r="G7511" s="7"/>
    </row>
    <row r="7512" spans="5:7" x14ac:dyDescent="0.25">
      <c r="E7512" s="27"/>
      <c r="F7512" s="27"/>
      <c r="G7512" s="7"/>
    </row>
    <row r="7513" spans="5:7" x14ac:dyDescent="0.25">
      <c r="E7513" s="27"/>
      <c r="F7513" s="27"/>
      <c r="G7513" s="7"/>
    </row>
    <row r="7514" spans="5:7" x14ac:dyDescent="0.25">
      <c r="E7514" s="27"/>
      <c r="F7514" s="27"/>
      <c r="G7514" s="7"/>
    </row>
    <row r="7515" spans="5:7" x14ac:dyDescent="0.25">
      <c r="E7515" s="27"/>
      <c r="F7515" s="27"/>
      <c r="G7515" s="7"/>
    </row>
    <row r="7516" spans="5:7" x14ac:dyDescent="0.25">
      <c r="E7516" s="27"/>
      <c r="F7516" s="27"/>
      <c r="G7516" s="7"/>
    </row>
    <row r="7517" spans="5:7" x14ac:dyDescent="0.25">
      <c r="E7517" s="27"/>
      <c r="F7517" s="27"/>
      <c r="G7517" s="7"/>
    </row>
    <row r="7518" spans="5:7" x14ac:dyDescent="0.25">
      <c r="E7518" s="27"/>
      <c r="F7518" s="27"/>
      <c r="G7518" s="7"/>
    </row>
    <row r="7519" spans="5:7" x14ac:dyDescent="0.25">
      <c r="E7519" s="27"/>
      <c r="F7519" s="27"/>
      <c r="G7519" s="7"/>
    </row>
    <row r="7520" spans="5:7" x14ac:dyDescent="0.25">
      <c r="E7520" s="27"/>
      <c r="F7520" s="27"/>
      <c r="G7520" s="7"/>
    </row>
    <row r="7521" spans="5:7" x14ac:dyDescent="0.25">
      <c r="E7521" s="27"/>
      <c r="F7521" s="27"/>
      <c r="G7521" s="7"/>
    </row>
    <row r="7522" spans="5:7" x14ac:dyDescent="0.25">
      <c r="E7522" s="27"/>
      <c r="F7522" s="27"/>
      <c r="G7522" s="7"/>
    </row>
    <row r="7523" spans="5:7" x14ac:dyDescent="0.25">
      <c r="E7523" s="27"/>
      <c r="F7523" s="27"/>
      <c r="G7523" s="7"/>
    </row>
    <row r="7524" spans="5:7" x14ac:dyDescent="0.25">
      <c r="E7524" s="27"/>
      <c r="F7524" s="27"/>
      <c r="G7524" s="7"/>
    </row>
    <row r="7525" spans="5:7" x14ac:dyDescent="0.25">
      <c r="E7525" s="27"/>
      <c r="F7525" s="27"/>
      <c r="G7525" s="7"/>
    </row>
    <row r="7526" spans="5:7" x14ac:dyDescent="0.25">
      <c r="E7526" s="27"/>
      <c r="F7526" s="27"/>
      <c r="G7526" s="7"/>
    </row>
    <row r="7527" spans="5:7" x14ac:dyDescent="0.25">
      <c r="E7527" s="27"/>
      <c r="F7527" s="27"/>
      <c r="G7527" s="7"/>
    </row>
    <row r="7528" spans="5:7" x14ac:dyDescent="0.25">
      <c r="E7528" s="27"/>
      <c r="F7528" s="27"/>
      <c r="G7528" s="7"/>
    </row>
    <row r="7529" spans="5:7" x14ac:dyDescent="0.25">
      <c r="E7529" s="27"/>
      <c r="F7529" s="27"/>
      <c r="G7529" s="7"/>
    </row>
    <row r="7530" spans="5:7" x14ac:dyDescent="0.25">
      <c r="E7530" s="27"/>
      <c r="F7530" s="27"/>
      <c r="G7530" s="7"/>
    </row>
    <row r="7531" spans="5:7" x14ac:dyDescent="0.25">
      <c r="E7531" s="27"/>
      <c r="F7531" s="27"/>
      <c r="G7531" s="7"/>
    </row>
    <row r="7532" spans="5:7" x14ac:dyDescent="0.25">
      <c r="E7532" s="27"/>
      <c r="F7532" s="27"/>
      <c r="G7532" s="7"/>
    </row>
    <row r="7533" spans="5:7" x14ac:dyDescent="0.25">
      <c r="E7533" s="27"/>
      <c r="F7533" s="27"/>
      <c r="G7533" s="7"/>
    </row>
    <row r="7534" spans="5:7" x14ac:dyDescent="0.25">
      <c r="E7534" s="27"/>
      <c r="F7534" s="27"/>
      <c r="G7534" s="7"/>
    </row>
    <row r="7535" spans="5:7" x14ac:dyDescent="0.25">
      <c r="E7535" s="27"/>
      <c r="F7535" s="27"/>
      <c r="G7535" s="7"/>
    </row>
    <row r="7536" spans="5:7" x14ac:dyDescent="0.25">
      <c r="E7536" s="27"/>
      <c r="F7536" s="27"/>
      <c r="G7536" s="7"/>
    </row>
    <row r="7537" spans="5:7" x14ac:dyDescent="0.25">
      <c r="E7537" s="27"/>
      <c r="F7537" s="27"/>
      <c r="G7537" s="7"/>
    </row>
    <row r="7538" spans="5:7" x14ac:dyDescent="0.25">
      <c r="E7538" s="27"/>
      <c r="F7538" s="27"/>
      <c r="G7538" s="7"/>
    </row>
    <row r="7539" spans="5:7" x14ac:dyDescent="0.25">
      <c r="E7539" s="27"/>
      <c r="F7539" s="27"/>
      <c r="G7539" s="7"/>
    </row>
    <row r="7540" spans="5:7" x14ac:dyDescent="0.25">
      <c r="E7540" s="27"/>
      <c r="F7540" s="27"/>
      <c r="G7540" s="7"/>
    </row>
    <row r="7541" spans="5:7" x14ac:dyDescent="0.25">
      <c r="E7541" s="27"/>
      <c r="F7541" s="27"/>
      <c r="G7541" s="7"/>
    </row>
    <row r="7542" spans="5:7" x14ac:dyDescent="0.25">
      <c r="E7542" s="27"/>
      <c r="F7542" s="27"/>
      <c r="G7542" s="7"/>
    </row>
    <row r="7543" spans="5:7" x14ac:dyDescent="0.25">
      <c r="E7543" s="27"/>
      <c r="F7543" s="27"/>
      <c r="G7543" s="7"/>
    </row>
    <row r="7544" spans="5:7" x14ac:dyDescent="0.25">
      <c r="E7544" s="27"/>
      <c r="F7544" s="27"/>
      <c r="G7544" s="7"/>
    </row>
    <row r="7545" spans="5:7" x14ac:dyDescent="0.25">
      <c r="E7545" s="27"/>
      <c r="F7545" s="27"/>
      <c r="G7545" s="7"/>
    </row>
    <row r="7546" spans="5:7" x14ac:dyDescent="0.25">
      <c r="E7546" s="27"/>
      <c r="F7546" s="27"/>
      <c r="G7546" s="7"/>
    </row>
    <row r="7547" spans="5:7" x14ac:dyDescent="0.25">
      <c r="E7547" s="27"/>
      <c r="F7547" s="27"/>
      <c r="G7547" s="7"/>
    </row>
    <row r="7548" spans="5:7" x14ac:dyDescent="0.25">
      <c r="E7548" s="27"/>
      <c r="F7548" s="27"/>
      <c r="G7548" s="7"/>
    </row>
    <row r="7549" spans="5:7" x14ac:dyDescent="0.25">
      <c r="E7549" s="27"/>
      <c r="F7549" s="27"/>
      <c r="G7549" s="7"/>
    </row>
    <row r="7550" spans="5:7" x14ac:dyDescent="0.25">
      <c r="E7550" s="27"/>
      <c r="F7550" s="27"/>
      <c r="G7550" s="7"/>
    </row>
    <row r="7551" spans="5:7" x14ac:dyDescent="0.25">
      <c r="E7551" s="27"/>
      <c r="F7551" s="27"/>
      <c r="G7551" s="7"/>
    </row>
    <row r="7552" spans="5:7" x14ac:dyDescent="0.25">
      <c r="E7552" s="27"/>
      <c r="F7552" s="27"/>
      <c r="G7552" s="7"/>
    </row>
    <row r="7553" spans="5:7" x14ac:dyDescent="0.25">
      <c r="E7553" s="27"/>
      <c r="F7553" s="27"/>
      <c r="G7553" s="7"/>
    </row>
    <row r="7554" spans="5:7" x14ac:dyDescent="0.25">
      <c r="E7554" s="27"/>
      <c r="F7554" s="27"/>
      <c r="G7554" s="7"/>
    </row>
    <row r="7555" spans="5:7" x14ac:dyDescent="0.25">
      <c r="E7555" s="27"/>
      <c r="F7555" s="27"/>
      <c r="G7555" s="7"/>
    </row>
    <row r="7556" spans="5:7" x14ac:dyDescent="0.25">
      <c r="E7556" s="27"/>
      <c r="F7556" s="27"/>
      <c r="G7556" s="7"/>
    </row>
    <row r="7557" spans="5:7" x14ac:dyDescent="0.25">
      <c r="E7557" s="27"/>
      <c r="F7557" s="27"/>
      <c r="G7557" s="7"/>
    </row>
    <row r="7558" spans="5:7" x14ac:dyDescent="0.25">
      <c r="E7558" s="27"/>
      <c r="F7558" s="27"/>
      <c r="G7558" s="7"/>
    </row>
    <row r="7559" spans="5:7" x14ac:dyDescent="0.25">
      <c r="E7559" s="27"/>
      <c r="F7559" s="27"/>
      <c r="G7559" s="7"/>
    </row>
    <row r="7560" spans="5:7" x14ac:dyDescent="0.25">
      <c r="E7560" s="27"/>
      <c r="F7560" s="27"/>
      <c r="G7560" s="7"/>
    </row>
    <row r="7561" spans="5:7" x14ac:dyDescent="0.25">
      <c r="E7561" s="27"/>
      <c r="F7561" s="27"/>
      <c r="G7561" s="7"/>
    </row>
    <row r="7562" spans="5:7" x14ac:dyDescent="0.25">
      <c r="E7562" s="27"/>
      <c r="F7562" s="27"/>
      <c r="G7562" s="7"/>
    </row>
    <row r="7563" spans="5:7" x14ac:dyDescent="0.25">
      <c r="E7563" s="27"/>
      <c r="F7563" s="27"/>
      <c r="G7563" s="7"/>
    </row>
    <row r="7564" spans="5:7" x14ac:dyDescent="0.25">
      <c r="E7564" s="27"/>
      <c r="F7564" s="27"/>
      <c r="G7564" s="7"/>
    </row>
    <row r="7565" spans="5:7" x14ac:dyDescent="0.25">
      <c r="E7565" s="27"/>
      <c r="F7565" s="27"/>
      <c r="G7565" s="7"/>
    </row>
    <row r="7566" spans="5:7" x14ac:dyDescent="0.25">
      <c r="E7566" s="27"/>
      <c r="F7566" s="27"/>
      <c r="G7566" s="7"/>
    </row>
    <row r="7567" spans="5:7" x14ac:dyDescent="0.25">
      <c r="E7567" s="27"/>
      <c r="F7567" s="27"/>
      <c r="G7567" s="7"/>
    </row>
    <row r="7568" spans="5:7" x14ac:dyDescent="0.25">
      <c r="E7568" s="27"/>
      <c r="F7568" s="27"/>
      <c r="G7568" s="7"/>
    </row>
    <row r="7569" spans="5:7" x14ac:dyDescent="0.25">
      <c r="E7569" s="27"/>
      <c r="F7569" s="27"/>
      <c r="G7569" s="7"/>
    </row>
    <row r="7570" spans="5:7" x14ac:dyDescent="0.25">
      <c r="E7570" s="27"/>
      <c r="F7570" s="27"/>
      <c r="G7570" s="7"/>
    </row>
    <row r="7571" spans="5:7" x14ac:dyDescent="0.25">
      <c r="E7571" s="27"/>
      <c r="F7571" s="27"/>
      <c r="G7571" s="7"/>
    </row>
    <row r="7572" spans="5:7" x14ac:dyDescent="0.25">
      <c r="E7572" s="27"/>
      <c r="F7572" s="27"/>
      <c r="G7572" s="7"/>
    </row>
    <row r="7573" spans="5:7" x14ac:dyDescent="0.25">
      <c r="E7573" s="27"/>
      <c r="F7573" s="27"/>
      <c r="G7573" s="7"/>
    </row>
    <row r="7574" spans="5:7" x14ac:dyDescent="0.25">
      <c r="E7574" s="27"/>
      <c r="F7574" s="27"/>
      <c r="G7574" s="7"/>
    </row>
    <row r="7575" spans="5:7" x14ac:dyDescent="0.25">
      <c r="E7575" s="27"/>
      <c r="F7575" s="27"/>
      <c r="G7575" s="7"/>
    </row>
    <row r="7576" spans="5:7" x14ac:dyDescent="0.25">
      <c r="E7576" s="27"/>
      <c r="F7576" s="27"/>
      <c r="G7576" s="7"/>
    </row>
    <row r="7577" spans="5:7" x14ac:dyDescent="0.25">
      <c r="E7577" s="27"/>
      <c r="F7577" s="27"/>
      <c r="G7577" s="7"/>
    </row>
    <row r="7578" spans="5:7" x14ac:dyDescent="0.25">
      <c r="E7578" s="27"/>
      <c r="F7578" s="27"/>
      <c r="G7578" s="7"/>
    </row>
    <row r="7579" spans="5:7" x14ac:dyDescent="0.25">
      <c r="E7579" s="27"/>
      <c r="F7579" s="27"/>
      <c r="G7579" s="7"/>
    </row>
    <row r="7580" spans="5:7" x14ac:dyDescent="0.25">
      <c r="E7580" s="27"/>
      <c r="F7580" s="27"/>
      <c r="G7580" s="7"/>
    </row>
    <row r="7581" spans="5:7" x14ac:dyDescent="0.25">
      <c r="E7581" s="27"/>
      <c r="F7581" s="27"/>
      <c r="G7581" s="7"/>
    </row>
    <row r="7582" spans="5:7" x14ac:dyDescent="0.25">
      <c r="E7582" s="27"/>
      <c r="F7582" s="27"/>
      <c r="G7582" s="7"/>
    </row>
    <row r="7583" spans="5:7" x14ac:dyDescent="0.25">
      <c r="E7583" s="27"/>
      <c r="F7583" s="27"/>
      <c r="G7583" s="7"/>
    </row>
    <row r="7584" spans="5:7" x14ac:dyDescent="0.25">
      <c r="E7584" s="27"/>
      <c r="F7584" s="27"/>
      <c r="G7584" s="7"/>
    </row>
    <row r="7585" spans="5:7" x14ac:dyDescent="0.25">
      <c r="E7585" s="27"/>
      <c r="F7585" s="27"/>
      <c r="G7585" s="7"/>
    </row>
    <row r="7586" spans="5:7" x14ac:dyDescent="0.25">
      <c r="E7586" s="27"/>
      <c r="F7586" s="27"/>
      <c r="G7586" s="7"/>
    </row>
    <row r="7587" spans="5:7" x14ac:dyDescent="0.25">
      <c r="E7587" s="27"/>
      <c r="F7587" s="27"/>
      <c r="G7587" s="7"/>
    </row>
    <row r="7588" spans="5:7" x14ac:dyDescent="0.25">
      <c r="E7588" s="27"/>
      <c r="F7588" s="27"/>
      <c r="G7588" s="7"/>
    </row>
    <row r="7589" spans="5:7" x14ac:dyDescent="0.25">
      <c r="E7589" s="27"/>
      <c r="F7589" s="27"/>
      <c r="G7589" s="7"/>
    </row>
    <row r="7590" spans="5:7" x14ac:dyDescent="0.25">
      <c r="E7590" s="27"/>
      <c r="F7590" s="27"/>
      <c r="G7590" s="7"/>
    </row>
    <row r="7591" spans="5:7" x14ac:dyDescent="0.25">
      <c r="E7591" s="27"/>
      <c r="F7591" s="27"/>
      <c r="G7591" s="7"/>
    </row>
    <row r="7592" spans="5:7" x14ac:dyDescent="0.25">
      <c r="E7592" s="27"/>
      <c r="F7592" s="27"/>
      <c r="G7592" s="7"/>
    </row>
    <row r="7593" spans="5:7" x14ac:dyDescent="0.25">
      <c r="E7593" s="27"/>
      <c r="F7593" s="27"/>
      <c r="G7593" s="7"/>
    </row>
    <row r="7594" spans="5:7" x14ac:dyDescent="0.25">
      <c r="E7594" s="27"/>
      <c r="F7594" s="27"/>
      <c r="G7594" s="7"/>
    </row>
    <row r="7595" spans="5:7" x14ac:dyDescent="0.25">
      <c r="E7595" s="27"/>
      <c r="F7595" s="27"/>
      <c r="G7595" s="7"/>
    </row>
    <row r="7596" spans="5:7" x14ac:dyDescent="0.25">
      <c r="E7596" s="27"/>
      <c r="F7596" s="27"/>
      <c r="G7596" s="7"/>
    </row>
    <row r="7597" spans="5:7" x14ac:dyDescent="0.25">
      <c r="E7597" s="27"/>
      <c r="F7597" s="27"/>
      <c r="G7597" s="7"/>
    </row>
    <row r="7598" spans="5:7" x14ac:dyDescent="0.25">
      <c r="E7598" s="27"/>
      <c r="F7598" s="27"/>
      <c r="G7598" s="7"/>
    </row>
    <row r="7599" spans="5:7" x14ac:dyDescent="0.25">
      <c r="E7599" s="27"/>
      <c r="F7599" s="27"/>
      <c r="G7599" s="7"/>
    </row>
    <row r="7600" spans="5:7" x14ac:dyDescent="0.25">
      <c r="E7600" s="27"/>
      <c r="F7600" s="27"/>
      <c r="G7600" s="7"/>
    </row>
    <row r="7601" spans="5:7" x14ac:dyDescent="0.25">
      <c r="E7601" s="27"/>
      <c r="F7601" s="27"/>
      <c r="G7601" s="7"/>
    </row>
    <row r="7602" spans="5:7" x14ac:dyDescent="0.25">
      <c r="E7602" s="27"/>
      <c r="F7602" s="27"/>
      <c r="G7602" s="7"/>
    </row>
    <row r="7603" spans="5:7" x14ac:dyDescent="0.25">
      <c r="E7603" s="27"/>
      <c r="F7603" s="27"/>
      <c r="G7603" s="7"/>
    </row>
    <row r="7604" spans="5:7" x14ac:dyDescent="0.25">
      <c r="E7604" s="27"/>
      <c r="F7604" s="27"/>
      <c r="G7604" s="7"/>
    </row>
    <row r="7605" spans="5:7" x14ac:dyDescent="0.25">
      <c r="E7605" s="27"/>
      <c r="F7605" s="27"/>
      <c r="G7605" s="7"/>
    </row>
    <row r="7606" spans="5:7" x14ac:dyDescent="0.25">
      <c r="E7606" s="27"/>
      <c r="F7606" s="27"/>
      <c r="G7606" s="7"/>
    </row>
    <row r="7607" spans="5:7" x14ac:dyDescent="0.25">
      <c r="E7607" s="27"/>
      <c r="F7607" s="27"/>
      <c r="G7607" s="7"/>
    </row>
    <row r="7608" spans="5:7" x14ac:dyDescent="0.25">
      <c r="E7608" s="27"/>
      <c r="F7608" s="27"/>
      <c r="G7608" s="7"/>
    </row>
    <row r="7609" spans="5:7" x14ac:dyDescent="0.25">
      <c r="E7609" s="27"/>
      <c r="F7609" s="27"/>
      <c r="G7609" s="7"/>
    </row>
    <row r="7610" spans="5:7" x14ac:dyDescent="0.25">
      <c r="E7610" s="27"/>
      <c r="F7610" s="27"/>
      <c r="G7610" s="7"/>
    </row>
    <row r="7611" spans="5:7" x14ac:dyDescent="0.25">
      <c r="E7611" s="27"/>
      <c r="F7611" s="27"/>
      <c r="G7611" s="7"/>
    </row>
    <row r="7612" spans="5:7" x14ac:dyDescent="0.25">
      <c r="E7612" s="27"/>
      <c r="F7612" s="27"/>
      <c r="G7612" s="7"/>
    </row>
    <row r="7613" spans="5:7" x14ac:dyDescent="0.25">
      <c r="E7613" s="27"/>
      <c r="F7613" s="27"/>
      <c r="G7613" s="7"/>
    </row>
    <row r="7614" spans="5:7" x14ac:dyDescent="0.25">
      <c r="E7614" s="27"/>
      <c r="F7614" s="27"/>
      <c r="G7614" s="7"/>
    </row>
    <row r="7615" spans="5:7" x14ac:dyDescent="0.25">
      <c r="E7615" s="27"/>
      <c r="F7615" s="27"/>
      <c r="G7615" s="7"/>
    </row>
    <row r="7616" spans="5:7" x14ac:dyDescent="0.25">
      <c r="E7616" s="27"/>
      <c r="F7616" s="27"/>
      <c r="G7616" s="7"/>
    </row>
    <row r="7617" spans="5:7" x14ac:dyDescent="0.25">
      <c r="E7617" s="27"/>
      <c r="F7617" s="27"/>
      <c r="G7617" s="7"/>
    </row>
    <row r="7618" spans="5:7" x14ac:dyDescent="0.25">
      <c r="E7618" s="27"/>
      <c r="F7618" s="27"/>
      <c r="G7618" s="7"/>
    </row>
    <row r="7619" spans="5:7" x14ac:dyDescent="0.25">
      <c r="E7619" s="27"/>
      <c r="F7619" s="27"/>
      <c r="G7619" s="7"/>
    </row>
    <row r="7620" spans="5:7" x14ac:dyDescent="0.25">
      <c r="E7620" s="27"/>
      <c r="F7620" s="27"/>
      <c r="G7620" s="7"/>
    </row>
    <row r="7621" spans="5:7" x14ac:dyDescent="0.25">
      <c r="E7621" s="27"/>
      <c r="F7621" s="27"/>
      <c r="G7621" s="7"/>
    </row>
    <row r="7622" spans="5:7" x14ac:dyDescent="0.25">
      <c r="E7622" s="27"/>
      <c r="F7622" s="27"/>
      <c r="G7622" s="7"/>
    </row>
    <row r="7623" spans="5:7" x14ac:dyDescent="0.25">
      <c r="E7623" s="27"/>
      <c r="F7623" s="27"/>
      <c r="G7623" s="7"/>
    </row>
    <row r="7624" spans="5:7" x14ac:dyDescent="0.25">
      <c r="E7624" s="27"/>
      <c r="F7624" s="27"/>
      <c r="G7624" s="7"/>
    </row>
    <row r="7625" spans="5:7" x14ac:dyDescent="0.25">
      <c r="E7625" s="27"/>
      <c r="F7625" s="27"/>
      <c r="G7625" s="7"/>
    </row>
    <row r="7626" spans="5:7" x14ac:dyDescent="0.25">
      <c r="E7626" s="27"/>
      <c r="F7626" s="27"/>
      <c r="G7626" s="7"/>
    </row>
    <row r="7627" spans="5:7" x14ac:dyDescent="0.25">
      <c r="E7627" s="27"/>
      <c r="F7627" s="27"/>
      <c r="G7627" s="7"/>
    </row>
    <row r="7628" spans="5:7" x14ac:dyDescent="0.25">
      <c r="E7628" s="27"/>
      <c r="F7628" s="27"/>
      <c r="G7628" s="7"/>
    </row>
    <row r="7629" spans="5:7" x14ac:dyDescent="0.25">
      <c r="E7629" s="27"/>
      <c r="F7629" s="27"/>
      <c r="G7629" s="7"/>
    </row>
    <row r="7630" spans="5:7" x14ac:dyDescent="0.25">
      <c r="E7630" s="27"/>
      <c r="F7630" s="27"/>
      <c r="G7630" s="7"/>
    </row>
    <row r="7631" spans="5:7" x14ac:dyDescent="0.25">
      <c r="E7631" s="27"/>
      <c r="F7631" s="27"/>
      <c r="G7631" s="7"/>
    </row>
    <row r="7632" spans="5:7" x14ac:dyDescent="0.25">
      <c r="E7632" s="27"/>
      <c r="F7632" s="27"/>
      <c r="G7632" s="7"/>
    </row>
    <row r="7633" spans="5:7" x14ac:dyDescent="0.25">
      <c r="E7633" s="27"/>
      <c r="F7633" s="27"/>
      <c r="G7633" s="7"/>
    </row>
    <row r="7634" spans="5:7" x14ac:dyDescent="0.25">
      <c r="E7634" s="27"/>
      <c r="F7634" s="27"/>
      <c r="G7634" s="7"/>
    </row>
    <row r="7635" spans="5:7" x14ac:dyDescent="0.25">
      <c r="E7635" s="27"/>
      <c r="F7635" s="27"/>
      <c r="G7635" s="7"/>
    </row>
    <row r="7636" spans="5:7" x14ac:dyDescent="0.25">
      <c r="E7636" s="27"/>
      <c r="F7636" s="27"/>
      <c r="G7636" s="7"/>
    </row>
    <row r="7637" spans="5:7" x14ac:dyDescent="0.25">
      <c r="E7637" s="27"/>
      <c r="F7637" s="27"/>
      <c r="G7637" s="7"/>
    </row>
    <row r="7638" spans="5:7" x14ac:dyDescent="0.25">
      <c r="E7638" s="27"/>
      <c r="F7638" s="27"/>
      <c r="G7638" s="7"/>
    </row>
    <row r="7639" spans="5:7" x14ac:dyDescent="0.25">
      <c r="E7639" s="27"/>
      <c r="F7639" s="27"/>
      <c r="G7639" s="7"/>
    </row>
    <row r="7640" spans="5:7" x14ac:dyDescent="0.25">
      <c r="E7640" s="27"/>
      <c r="F7640" s="27"/>
      <c r="G7640" s="7"/>
    </row>
    <row r="7641" spans="5:7" x14ac:dyDescent="0.25">
      <c r="E7641" s="27"/>
      <c r="F7641" s="27"/>
      <c r="G7641" s="7"/>
    </row>
    <row r="7642" spans="5:7" x14ac:dyDescent="0.25">
      <c r="E7642" s="27"/>
      <c r="F7642" s="27"/>
      <c r="G7642" s="7"/>
    </row>
    <row r="7643" spans="5:7" x14ac:dyDescent="0.25">
      <c r="E7643" s="27"/>
      <c r="F7643" s="27"/>
      <c r="G7643" s="7"/>
    </row>
    <row r="7644" spans="5:7" x14ac:dyDescent="0.25">
      <c r="E7644" s="27"/>
      <c r="F7644" s="27"/>
      <c r="G7644" s="7"/>
    </row>
    <row r="7645" spans="5:7" x14ac:dyDescent="0.25">
      <c r="E7645" s="27"/>
      <c r="F7645" s="27"/>
      <c r="G7645" s="7"/>
    </row>
    <row r="7646" spans="5:7" x14ac:dyDescent="0.25">
      <c r="E7646" s="27"/>
      <c r="F7646" s="27"/>
      <c r="G7646" s="7"/>
    </row>
    <row r="7647" spans="5:7" x14ac:dyDescent="0.25">
      <c r="E7647" s="27"/>
      <c r="F7647" s="27"/>
      <c r="G7647" s="7"/>
    </row>
    <row r="7648" spans="5:7" x14ac:dyDescent="0.25">
      <c r="E7648" s="27"/>
      <c r="F7648" s="27"/>
      <c r="G7648" s="7"/>
    </row>
    <row r="7649" spans="5:7" x14ac:dyDescent="0.25">
      <c r="E7649" s="27"/>
      <c r="F7649" s="27"/>
      <c r="G7649" s="7"/>
    </row>
    <row r="7650" spans="5:7" x14ac:dyDescent="0.25">
      <c r="E7650" s="27"/>
      <c r="F7650" s="27"/>
      <c r="G7650" s="7"/>
    </row>
    <row r="7651" spans="5:7" x14ac:dyDescent="0.25">
      <c r="E7651" s="27"/>
      <c r="F7651" s="27"/>
      <c r="G7651" s="7"/>
    </row>
    <row r="7652" spans="5:7" x14ac:dyDescent="0.25">
      <c r="E7652" s="27"/>
      <c r="F7652" s="27"/>
      <c r="G7652" s="7"/>
    </row>
    <row r="7653" spans="5:7" x14ac:dyDescent="0.25">
      <c r="E7653" s="27"/>
      <c r="F7653" s="27"/>
      <c r="G7653" s="7"/>
    </row>
    <row r="7654" spans="5:7" x14ac:dyDescent="0.25">
      <c r="E7654" s="27"/>
      <c r="F7654" s="27"/>
      <c r="G7654" s="7"/>
    </row>
    <row r="7655" spans="5:7" x14ac:dyDescent="0.25">
      <c r="E7655" s="27"/>
      <c r="F7655" s="27"/>
      <c r="G7655" s="7"/>
    </row>
    <row r="7656" spans="5:7" x14ac:dyDescent="0.25">
      <c r="E7656" s="27"/>
      <c r="F7656" s="27"/>
      <c r="G7656" s="7"/>
    </row>
    <row r="7657" spans="5:7" x14ac:dyDescent="0.25">
      <c r="E7657" s="27"/>
      <c r="F7657" s="27"/>
      <c r="G7657" s="7"/>
    </row>
    <row r="7658" spans="5:7" x14ac:dyDescent="0.25">
      <c r="E7658" s="27"/>
      <c r="F7658" s="27"/>
      <c r="G7658" s="7"/>
    </row>
    <row r="7659" spans="5:7" x14ac:dyDescent="0.25">
      <c r="E7659" s="27"/>
      <c r="F7659" s="27"/>
      <c r="G7659" s="7"/>
    </row>
    <row r="7660" spans="5:7" x14ac:dyDescent="0.25">
      <c r="E7660" s="27"/>
      <c r="F7660" s="27"/>
      <c r="G7660" s="7"/>
    </row>
    <row r="7661" spans="5:7" x14ac:dyDescent="0.25">
      <c r="E7661" s="27"/>
      <c r="F7661" s="27"/>
      <c r="G7661" s="7"/>
    </row>
    <row r="7662" spans="5:7" x14ac:dyDescent="0.25">
      <c r="E7662" s="27"/>
      <c r="F7662" s="27"/>
      <c r="G7662" s="7"/>
    </row>
    <row r="7663" spans="5:7" x14ac:dyDescent="0.25">
      <c r="E7663" s="27"/>
      <c r="F7663" s="27"/>
      <c r="G7663" s="7"/>
    </row>
    <row r="7664" spans="5:7" x14ac:dyDescent="0.25">
      <c r="E7664" s="27"/>
      <c r="F7664" s="27"/>
      <c r="G7664" s="7"/>
    </row>
    <row r="7665" spans="5:7" x14ac:dyDescent="0.25">
      <c r="E7665" s="27"/>
      <c r="F7665" s="27"/>
      <c r="G7665" s="7"/>
    </row>
    <row r="7666" spans="5:7" x14ac:dyDescent="0.25">
      <c r="E7666" s="27"/>
      <c r="F7666" s="27"/>
      <c r="G7666" s="7"/>
    </row>
    <row r="7667" spans="5:7" x14ac:dyDescent="0.25">
      <c r="E7667" s="27"/>
      <c r="F7667" s="27"/>
      <c r="G7667" s="7"/>
    </row>
    <row r="7668" spans="5:7" x14ac:dyDescent="0.25">
      <c r="E7668" s="27"/>
      <c r="F7668" s="27"/>
      <c r="G7668" s="7"/>
    </row>
    <row r="7669" spans="5:7" x14ac:dyDescent="0.25">
      <c r="E7669" s="27"/>
      <c r="F7669" s="27"/>
      <c r="G7669" s="7"/>
    </row>
    <row r="7670" spans="5:7" x14ac:dyDescent="0.25">
      <c r="E7670" s="27"/>
      <c r="F7670" s="27"/>
      <c r="G7670" s="7"/>
    </row>
    <row r="7671" spans="5:7" x14ac:dyDescent="0.25">
      <c r="E7671" s="27"/>
      <c r="F7671" s="27"/>
      <c r="G7671" s="7"/>
    </row>
    <row r="7672" spans="5:7" x14ac:dyDescent="0.25">
      <c r="E7672" s="27"/>
      <c r="F7672" s="27"/>
      <c r="G7672" s="7"/>
    </row>
    <row r="7673" spans="5:7" x14ac:dyDescent="0.25">
      <c r="E7673" s="27"/>
      <c r="F7673" s="27"/>
      <c r="G7673" s="7"/>
    </row>
    <row r="7674" spans="5:7" x14ac:dyDescent="0.25">
      <c r="E7674" s="27"/>
      <c r="F7674" s="27"/>
      <c r="G7674" s="7"/>
    </row>
    <row r="7675" spans="5:7" x14ac:dyDescent="0.25">
      <c r="E7675" s="27"/>
      <c r="F7675" s="27"/>
      <c r="G7675" s="7"/>
    </row>
    <row r="7676" spans="5:7" x14ac:dyDescent="0.25">
      <c r="E7676" s="27"/>
      <c r="F7676" s="27"/>
      <c r="G7676" s="7"/>
    </row>
    <row r="7677" spans="5:7" x14ac:dyDescent="0.25">
      <c r="E7677" s="27"/>
      <c r="F7677" s="27"/>
      <c r="G7677" s="7"/>
    </row>
    <row r="7678" spans="5:7" x14ac:dyDescent="0.25">
      <c r="E7678" s="27"/>
      <c r="F7678" s="27"/>
      <c r="G7678" s="7"/>
    </row>
    <row r="7679" spans="5:7" x14ac:dyDescent="0.25">
      <c r="E7679" s="27"/>
      <c r="F7679" s="27"/>
      <c r="G7679" s="7"/>
    </row>
    <row r="7680" spans="5:7" x14ac:dyDescent="0.25">
      <c r="E7680" s="27"/>
      <c r="F7680" s="27"/>
      <c r="G7680" s="7"/>
    </row>
    <row r="7681" spans="5:7" x14ac:dyDescent="0.25">
      <c r="E7681" s="27"/>
      <c r="F7681" s="27"/>
      <c r="G7681" s="7"/>
    </row>
    <row r="7682" spans="5:7" x14ac:dyDescent="0.25">
      <c r="E7682" s="27"/>
      <c r="F7682" s="27"/>
      <c r="G7682" s="7"/>
    </row>
    <row r="7683" spans="5:7" x14ac:dyDescent="0.25">
      <c r="E7683" s="27"/>
      <c r="F7683" s="27"/>
      <c r="G7683" s="7"/>
    </row>
    <row r="7684" spans="5:7" x14ac:dyDescent="0.25">
      <c r="E7684" s="27"/>
      <c r="F7684" s="27"/>
      <c r="G7684" s="7"/>
    </row>
    <row r="7685" spans="5:7" x14ac:dyDescent="0.25">
      <c r="E7685" s="27"/>
      <c r="F7685" s="27"/>
      <c r="G7685" s="7"/>
    </row>
    <row r="7686" spans="5:7" x14ac:dyDescent="0.25">
      <c r="E7686" s="27"/>
      <c r="F7686" s="27"/>
      <c r="G7686" s="7"/>
    </row>
    <row r="7687" spans="5:7" x14ac:dyDescent="0.25">
      <c r="E7687" s="27"/>
      <c r="F7687" s="27"/>
      <c r="G7687" s="7"/>
    </row>
    <row r="7688" spans="5:7" x14ac:dyDescent="0.25">
      <c r="E7688" s="27"/>
      <c r="F7688" s="27"/>
      <c r="G7688" s="7"/>
    </row>
    <row r="7689" spans="5:7" x14ac:dyDescent="0.25">
      <c r="E7689" s="27"/>
      <c r="F7689" s="27"/>
      <c r="G7689" s="7"/>
    </row>
    <row r="7690" spans="5:7" x14ac:dyDescent="0.25">
      <c r="E7690" s="27"/>
      <c r="F7690" s="27"/>
      <c r="G7690" s="7"/>
    </row>
    <row r="7691" spans="5:7" x14ac:dyDescent="0.25">
      <c r="E7691" s="27"/>
      <c r="F7691" s="27"/>
      <c r="G7691" s="7"/>
    </row>
    <row r="7692" spans="5:7" x14ac:dyDescent="0.25">
      <c r="E7692" s="27"/>
      <c r="F7692" s="27"/>
      <c r="G7692" s="7"/>
    </row>
    <row r="7693" spans="5:7" x14ac:dyDescent="0.25">
      <c r="E7693" s="27"/>
      <c r="F7693" s="27"/>
      <c r="G7693" s="7"/>
    </row>
    <row r="7694" spans="5:7" x14ac:dyDescent="0.25">
      <c r="E7694" s="27"/>
      <c r="F7694" s="27"/>
      <c r="G7694" s="7"/>
    </row>
    <row r="7695" spans="5:7" x14ac:dyDescent="0.25">
      <c r="E7695" s="27"/>
      <c r="F7695" s="27"/>
      <c r="G7695" s="7"/>
    </row>
    <row r="7696" spans="5:7" x14ac:dyDescent="0.25">
      <c r="E7696" s="27"/>
      <c r="F7696" s="27"/>
      <c r="G7696" s="7"/>
    </row>
    <row r="7697" spans="5:7" x14ac:dyDescent="0.25">
      <c r="E7697" s="27"/>
      <c r="F7697" s="27"/>
      <c r="G7697" s="7"/>
    </row>
    <row r="7698" spans="5:7" x14ac:dyDescent="0.25">
      <c r="E7698" s="27"/>
      <c r="F7698" s="27"/>
      <c r="G7698" s="7"/>
    </row>
    <row r="7699" spans="5:7" x14ac:dyDescent="0.25">
      <c r="E7699" s="27"/>
      <c r="F7699" s="27"/>
      <c r="G7699" s="7"/>
    </row>
    <row r="7700" spans="5:7" x14ac:dyDescent="0.25">
      <c r="E7700" s="27"/>
      <c r="F7700" s="27"/>
      <c r="G7700" s="7"/>
    </row>
    <row r="7701" spans="5:7" x14ac:dyDescent="0.25">
      <c r="E7701" s="27"/>
      <c r="F7701" s="27"/>
      <c r="G7701" s="7"/>
    </row>
    <row r="7702" spans="5:7" x14ac:dyDescent="0.25">
      <c r="E7702" s="27"/>
      <c r="F7702" s="27"/>
      <c r="G7702" s="7"/>
    </row>
    <row r="7703" spans="5:7" x14ac:dyDescent="0.25">
      <c r="E7703" s="27"/>
      <c r="F7703" s="27"/>
      <c r="G7703" s="7"/>
    </row>
    <row r="7704" spans="5:7" x14ac:dyDescent="0.25">
      <c r="E7704" s="27"/>
      <c r="F7704" s="27"/>
      <c r="G7704" s="7"/>
    </row>
    <row r="7705" spans="5:7" x14ac:dyDescent="0.25">
      <c r="E7705" s="27"/>
      <c r="F7705" s="27"/>
      <c r="G7705" s="7"/>
    </row>
    <row r="7706" spans="5:7" x14ac:dyDescent="0.25">
      <c r="E7706" s="27"/>
      <c r="F7706" s="27"/>
      <c r="G7706" s="7"/>
    </row>
    <row r="7707" spans="5:7" x14ac:dyDescent="0.25">
      <c r="E7707" s="27"/>
      <c r="F7707" s="27"/>
      <c r="G7707" s="7"/>
    </row>
    <row r="7708" spans="5:7" x14ac:dyDescent="0.25">
      <c r="E7708" s="27"/>
      <c r="F7708" s="27"/>
      <c r="G7708" s="7"/>
    </row>
    <row r="7709" spans="5:7" x14ac:dyDescent="0.25">
      <c r="E7709" s="27"/>
      <c r="F7709" s="27"/>
      <c r="G7709" s="7"/>
    </row>
    <row r="7710" spans="5:7" x14ac:dyDescent="0.25">
      <c r="E7710" s="27"/>
      <c r="F7710" s="27"/>
      <c r="G7710" s="7"/>
    </row>
    <row r="7711" spans="5:7" x14ac:dyDescent="0.25">
      <c r="E7711" s="27"/>
      <c r="F7711" s="27"/>
      <c r="G7711" s="7"/>
    </row>
    <row r="7712" spans="5:7" x14ac:dyDescent="0.25">
      <c r="E7712" s="27"/>
      <c r="F7712" s="27"/>
      <c r="G7712" s="7"/>
    </row>
    <row r="7713" spans="5:7" x14ac:dyDescent="0.25">
      <c r="E7713" s="27"/>
      <c r="F7713" s="27"/>
      <c r="G7713" s="7"/>
    </row>
    <row r="7714" spans="5:7" x14ac:dyDescent="0.25">
      <c r="E7714" s="27"/>
      <c r="F7714" s="27"/>
      <c r="G7714" s="7"/>
    </row>
    <row r="7715" spans="5:7" x14ac:dyDescent="0.25">
      <c r="E7715" s="27"/>
      <c r="F7715" s="27"/>
      <c r="G7715" s="7"/>
    </row>
    <row r="7716" spans="5:7" x14ac:dyDescent="0.25">
      <c r="E7716" s="27"/>
      <c r="F7716" s="27"/>
      <c r="G7716" s="7"/>
    </row>
    <row r="7717" spans="5:7" x14ac:dyDescent="0.25">
      <c r="E7717" s="27"/>
      <c r="F7717" s="27"/>
      <c r="G7717" s="7"/>
    </row>
    <row r="7718" spans="5:7" x14ac:dyDescent="0.25">
      <c r="E7718" s="27"/>
      <c r="F7718" s="27"/>
      <c r="G7718" s="7"/>
    </row>
    <row r="7719" spans="5:7" x14ac:dyDescent="0.25">
      <c r="E7719" s="27"/>
      <c r="F7719" s="27"/>
      <c r="G7719" s="7"/>
    </row>
    <row r="7720" spans="5:7" x14ac:dyDescent="0.25">
      <c r="E7720" s="27"/>
      <c r="F7720" s="27"/>
      <c r="G7720" s="7"/>
    </row>
    <row r="7721" spans="5:7" x14ac:dyDescent="0.25">
      <c r="E7721" s="27"/>
      <c r="F7721" s="27"/>
      <c r="G7721" s="7"/>
    </row>
    <row r="7722" spans="5:7" x14ac:dyDescent="0.25">
      <c r="E7722" s="27"/>
      <c r="F7722" s="27"/>
      <c r="G7722" s="7"/>
    </row>
    <row r="7723" spans="5:7" x14ac:dyDescent="0.25">
      <c r="E7723" s="27"/>
      <c r="F7723" s="27"/>
      <c r="G7723" s="7"/>
    </row>
    <row r="7724" spans="5:7" x14ac:dyDescent="0.25">
      <c r="E7724" s="27"/>
      <c r="F7724" s="27"/>
      <c r="G7724" s="7"/>
    </row>
    <row r="7725" spans="5:7" x14ac:dyDescent="0.25">
      <c r="E7725" s="27"/>
      <c r="F7725" s="27"/>
      <c r="G7725" s="7"/>
    </row>
    <row r="7726" spans="5:7" x14ac:dyDescent="0.25">
      <c r="E7726" s="27"/>
      <c r="F7726" s="27"/>
      <c r="G7726" s="7"/>
    </row>
    <row r="7727" spans="5:7" x14ac:dyDescent="0.25">
      <c r="E7727" s="27"/>
      <c r="F7727" s="27"/>
      <c r="G7727" s="7"/>
    </row>
    <row r="7728" spans="5:7" x14ac:dyDescent="0.25">
      <c r="E7728" s="27"/>
      <c r="F7728" s="27"/>
      <c r="G7728" s="7"/>
    </row>
    <row r="7729" spans="5:7" x14ac:dyDescent="0.25">
      <c r="E7729" s="27"/>
      <c r="F7729" s="27"/>
      <c r="G7729" s="7"/>
    </row>
    <row r="7730" spans="5:7" x14ac:dyDescent="0.25">
      <c r="E7730" s="27"/>
      <c r="F7730" s="27"/>
      <c r="G7730" s="7"/>
    </row>
    <row r="7731" spans="5:7" x14ac:dyDescent="0.25">
      <c r="E7731" s="27"/>
      <c r="F7731" s="27"/>
      <c r="G7731" s="7"/>
    </row>
    <row r="7732" spans="5:7" x14ac:dyDescent="0.25">
      <c r="E7732" s="27"/>
      <c r="F7732" s="27"/>
      <c r="G7732" s="7"/>
    </row>
    <row r="7733" spans="5:7" x14ac:dyDescent="0.25">
      <c r="E7733" s="27"/>
      <c r="F7733" s="27"/>
      <c r="G7733" s="7"/>
    </row>
    <row r="7734" spans="5:7" x14ac:dyDescent="0.25">
      <c r="E7734" s="27"/>
      <c r="F7734" s="27"/>
      <c r="G7734" s="7"/>
    </row>
    <row r="7735" spans="5:7" x14ac:dyDescent="0.25">
      <c r="E7735" s="27"/>
      <c r="F7735" s="27"/>
      <c r="G7735" s="7"/>
    </row>
    <row r="7736" spans="5:7" x14ac:dyDescent="0.25">
      <c r="E7736" s="27"/>
      <c r="F7736" s="27"/>
      <c r="G7736" s="7"/>
    </row>
    <row r="7737" spans="5:7" x14ac:dyDescent="0.25">
      <c r="E7737" s="27"/>
      <c r="F7737" s="27"/>
      <c r="G7737" s="7"/>
    </row>
    <row r="7738" spans="5:7" x14ac:dyDescent="0.25">
      <c r="E7738" s="27"/>
      <c r="F7738" s="27"/>
      <c r="G7738" s="7"/>
    </row>
    <row r="7739" spans="5:7" x14ac:dyDescent="0.25">
      <c r="E7739" s="27"/>
      <c r="F7739" s="27"/>
      <c r="G7739" s="7"/>
    </row>
    <row r="7740" spans="5:7" x14ac:dyDescent="0.25">
      <c r="E7740" s="27"/>
      <c r="F7740" s="27"/>
      <c r="G7740" s="7"/>
    </row>
    <row r="7741" spans="5:7" x14ac:dyDescent="0.25">
      <c r="E7741" s="27"/>
      <c r="F7741" s="27"/>
      <c r="G7741" s="7"/>
    </row>
    <row r="7742" spans="5:7" x14ac:dyDescent="0.25">
      <c r="E7742" s="27"/>
      <c r="F7742" s="27"/>
      <c r="G7742" s="7"/>
    </row>
    <row r="7743" spans="5:7" x14ac:dyDescent="0.25">
      <c r="E7743" s="27"/>
      <c r="F7743" s="27"/>
      <c r="G7743" s="7"/>
    </row>
    <row r="7744" spans="5:7" x14ac:dyDescent="0.25">
      <c r="E7744" s="27"/>
      <c r="F7744" s="27"/>
      <c r="G7744" s="7"/>
    </row>
    <row r="7745" spans="5:7" x14ac:dyDescent="0.25">
      <c r="E7745" s="27"/>
      <c r="F7745" s="27"/>
      <c r="G7745" s="7"/>
    </row>
    <row r="7746" spans="5:7" x14ac:dyDescent="0.25">
      <c r="E7746" s="27"/>
      <c r="F7746" s="27"/>
      <c r="G7746" s="7"/>
    </row>
    <row r="7747" spans="5:7" x14ac:dyDescent="0.25">
      <c r="E7747" s="27"/>
      <c r="F7747" s="27"/>
      <c r="G7747" s="7"/>
    </row>
    <row r="7748" spans="5:7" x14ac:dyDescent="0.25">
      <c r="E7748" s="27"/>
      <c r="F7748" s="27"/>
      <c r="G7748" s="7"/>
    </row>
    <row r="7749" spans="5:7" x14ac:dyDescent="0.25">
      <c r="E7749" s="27"/>
      <c r="F7749" s="27"/>
      <c r="G7749" s="7"/>
    </row>
    <row r="7750" spans="5:7" x14ac:dyDescent="0.25">
      <c r="E7750" s="27"/>
      <c r="F7750" s="27"/>
      <c r="G7750" s="7"/>
    </row>
    <row r="7751" spans="5:7" x14ac:dyDescent="0.25">
      <c r="E7751" s="27"/>
      <c r="F7751" s="27"/>
      <c r="G7751" s="7"/>
    </row>
    <row r="7752" spans="5:7" x14ac:dyDescent="0.25">
      <c r="E7752" s="27"/>
      <c r="F7752" s="27"/>
      <c r="G7752" s="7"/>
    </row>
    <row r="7753" spans="5:7" x14ac:dyDescent="0.25">
      <c r="E7753" s="27"/>
      <c r="F7753" s="27"/>
      <c r="G7753" s="7"/>
    </row>
    <row r="7754" spans="5:7" x14ac:dyDescent="0.25">
      <c r="E7754" s="27"/>
      <c r="F7754" s="27"/>
      <c r="G7754" s="7"/>
    </row>
    <row r="7755" spans="5:7" x14ac:dyDescent="0.25">
      <c r="E7755" s="27"/>
      <c r="F7755" s="27"/>
      <c r="G7755" s="7"/>
    </row>
    <row r="7756" spans="5:7" x14ac:dyDescent="0.25">
      <c r="E7756" s="27"/>
      <c r="F7756" s="27"/>
      <c r="G7756" s="7"/>
    </row>
    <row r="7757" spans="5:7" x14ac:dyDescent="0.25">
      <c r="E7757" s="27"/>
      <c r="F7757" s="27"/>
      <c r="G7757" s="7"/>
    </row>
    <row r="7758" spans="5:7" x14ac:dyDescent="0.25">
      <c r="E7758" s="27"/>
      <c r="F7758" s="27"/>
      <c r="G7758" s="7"/>
    </row>
    <row r="7759" spans="5:7" x14ac:dyDescent="0.25">
      <c r="E7759" s="27"/>
      <c r="F7759" s="27"/>
      <c r="G7759" s="7"/>
    </row>
    <row r="7760" spans="5:7" x14ac:dyDescent="0.25">
      <c r="E7760" s="27"/>
      <c r="F7760" s="27"/>
      <c r="G7760" s="7"/>
    </row>
    <row r="7761" spans="5:7" x14ac:dyDescent="0.25">
      <c r="E7761" s="27"/>
      <c r="F7761" s="27"/>
      <c r="G7761" s="7"/>
    </row>
    <row r="7762" spans="5:7" x14ac:dyDescent="0.25">
      <c r="E7762" s="27"/>
      <c r="F7762" s="27"/>
      <c r="G7762" s="7"/>
    </row>
    <row r="7763" spans="5:7" x14ac:dyDescent="0.25">
      <c r="E7763" s="27"/>
      <c r="F7763" s="27"/>
      <c r="G7763" s="7"/>
    </row>
    <row r="7764" spans="5:7" x14ac:dyDescent="0.25">
      <c r="E7764" s="27"/>
      <c r="F7764" s="27"/>
      <c r="G7764" s="7"/>
    </row>
    <row r="7765" spans="5:7" x14ac:dyDescent="0.25">
      <c r="E7765" s="27"/>
      <c r="F7765" s="27"/>
      <c r="G7765" s="7"/>
    </row>
    <row r="7766" spans="5:7" x14ac:dyDescent="0.25">
      <c r="E7766" s="27"/>
      <c r="F7766" s="27"/>
      <c r="G7766" s="7"/>
    </row>
    <row r="7767" spans="5:7" x14ac:dyDescent="0.25">
      <c r="E7767" s="27"/>
      <c r="F7767" s="27"/>
      <c r="G7767" s="7"/>
    </row>
    <row r="7768" spans="5:7" x14ac:dyDescent="0.25">
      <c r="E7768" s="27"/>
      <c r="F7768" s="27"/>
      <c r="G7768" s="7"/>
    </row>
    <row r="7769" spans="5:7" x14ac:dyDescent="0.25">
      <c r="E7769" s="27"/>
      <c r="F7769" s="27"/>
      <c r="G7769" s="7"/>
    </row>
    <row r="7770" spans="5:7" x14ac:dyDescent="0.25">
      <c r="E7770" s="27"/>
      <c r="F7770" s="27"/>
      <c r="G7770" s="7"/>
    </row>
    <row r="7771" spans="5:7" x14ac:dyDescent="0.25">
      <c r="E7771" s="27"/>
      <c r="F7771" s="27"/>
      <c r="G7771" s="7"/>
    </row>
    <row r="7772" spans="5:7" x14ac:dyDescent="0.25">
      <c r="E7772" s="27"/>
      <c r="F7772" s="27"/>
      <c r="G7772" s="7"/>
    </row>
    <row r="7773" spans="5:7" x14ac:dyDescent="0.25">
      <c r="E7773" s="27"/>
      <c r="F7773" s="27"/>
      <c r="G7773" s="7"/>
    </row>
    <row r="7774" spans="5:7" x14ac:dyDescent="0.25">
      <c r="E7774" s="27"/>
      <c r="F7774" s="27"/>
      <c r="G7774" s="7"/>
    </row>
    <row r="7775" spans="5:7" x14ac:dyDescent="0.25">
      <c r="E7775" s="27"/>
      <c r="F7775" s="27"/>
      <c r="G7775" s="7"/>
    </row>
    <row r="7776" spans="5:7" x14ac:dyDescent="0.25">
      <c r="E7776" s="27"/>
      <c r="F7776" s="27"/>
      <c r="G7776" s="7"/>
    </row>
    <row r="7777" spans="5:7" x14ac:dyDescent="0.25">
      <c r="E7777" s="27"/>
      <c r="F7777" s="27"/>
      <c r="G7777" s="7"/>
    </row>
    <row r="7778" spans="5:7" x14ac:dyDescent="0.25">
      <c r="E7778" s="27"/>
      <c r="F7778" s="27"/>
      <c r="G7778" s="7"/>
    </row>
    <row r="7779" spans="5:7" x14ac:dyDescent="0.25">
      <c r="E7779" s="27"/>
      <c r="F7779" s="27"/>
      <c r="G7779" s="7"/>
    </row>
    <row r="7780" spans="5:7" x14ac:dyDescent="0.25">
      <c r="E7780" s="27"/>
      <c r="F7780" s="27"/>
      <c r="G7780" s="7"/>
    </row>
    <row r="7781" spans="5:7" x14ac:dyDescent="0.25">
      <c r="E7781" s="27"/>
      <c r="F7781" s="27"/>
      <c r="G7781" s="7"/>
    </row>
    <row r="7782" spans="5:7" x14ac:dyDescent="0.25">
      <c r="E7782" s="27"/>
      <c r="F7782" s="27"/>
      <c r="G7782" s="7"/>
    </row>
    <row r="7783" spans="5:7" x14ac:dyDescent="0.25">
      <c r="E7783" s="27"/>
      <c r="F7783" s="27"/>
      <c r="G7783" s="7"/>
    </row>
    <row r="7784" spans="5:7" x14ac:dyDescent="0.25">
      <c r="E7784" s="27"/>
      <c r="F7784" s="27"/>
      <c r="G7784" s="7"/>
    </row>
    <row r="7785" spans="5:7" x14ac:dyDescent="0.25">
      <c r="E7785" s="27"/>
      <c r="F7785" s="27"/>
      <c r="G7785" s="7"/>
    </row>
    <row r="7786" spans="5:7" x14ac:dyDescent="0.25">
      <c r="E7786" s="27"/>
      <c r="F7786" s="27"/>
      <c r="G7786" s="7"/>
    </row>
    <row r="7787" spans="5:7" x14ac:dyDescent="0.25">
      <c r="E7787" s="27"/>
      <c r="F7787" s="27"/>
      <c r="G7787" s="7"/>
    </row>
    <row r="7788" spans="5:7" x14ac:dyDescent="0.25">
      <c r="E7788" s="27"/>
      <c r="F7788" s="27"/>
      <c r="G7788" s="7"/>
    </row>
    <row r="7789" spans="5:7" x14ac:dyDescent="0.25">
      <c r="E7789" s="27"/>
      <c r="F7789" s="27"/>
      <c r="G7789" s="7"/>
    </row>
    <row r="7790" spans="5:7" x14ac:dyDescent="0.25">
      <c r="E7790" s="27"/>
      <c r="F7790" s="27"/>
      <c r="G7790" s="7"/>
    </row>
    <row r="7791" spans="5:7" x14ac:dyDescent="0.25">
      <c r="E7791" s="27"/>
      <c r="F7791" s="27"/>
      <c r="G7791" s="7"/>
    </row>
    <row r="7792" spans="5:7" x14ac:dyDescent="0.25">
      <c r="E7792" s="27"/>
      <c r="F7792" s="27"/>
      <c r="G7792" s="7"/>
    </row>
    <row r="7793" spans="5:7" x14ac:dyDescent="0.25">
      <c r="E7793" s="27"/>
      <c r="F7793" s="27"/>
      <c r="G7793" s="7"/>
    </row>
    <row r="7794" spans="5:7" x14ac:dyDescent="0.25">
      <c r="E7794" s="27"/>
      <c r="F7794" s="27"/>
      <c r="G7794" s="7"/>
    </row>
    <row r="7795" spans="5:7" x14ac:dyDescent="0.25">
      <c r="E7795" s="27"/>
      <c r="F7795" s="27"/>
      <c r="G7795" s="7"/>
    </row>
    <row r="7796" spans="5:7" x14ac:dyDescent="0.25">
      <c r="E7796" s="27"/>
      <c r="F7796" s="27"/>
      <c r="G7796" s="7"/>
    </row>
    <row r="7797" spans="5:7" x14ac:dyDescent="0.25">
      <c r="E7797" s="27"/>
      <c r="F7797" s="27"/>
      <c r="G7797" s="7"/>
    </row>
    <row r="7798" spans="5:7" x14ac:dyDescent="0.25">
      <c r="E7798" s="27"/>
      <c r="F7798" s="27"/>
      <c r="G7798" s="7"/>
    </row>
    <row r="7799" spans="5:7" x14ac:dyDescent="0.25">
      <c r="E7799" s="27"/>
      <c r="F7799" s="27"/>
      <c r="G7799" s="7"/>
    </row>
    <row r="7800" spans="5:7" x14ac:dyDescent="0.25">
      <c r="E7800" s="27"/>
      <c r="F7800" s="27"/>
      <c r="G7800" s="7"/>
    </row>
    <row r="7801" spans="5:7" x14ac:dyDescent="0.25">
      <c r="E7801" s="27"/>
      <c r="F7801" s="27"/>
      <c r="G7801" s="7"/>
    </row>
    <row r="7802" spans="5:7" x14ac:dyDescent="0.25">
      <c r="E7802" s="27"/>
      <c r="F7802" s="27"/>
      <c r="G7802" s="7"/>
    </row>
    <row r="7803" spans="5:7" x14ac:dyDescent="0.25">
      <c r="E7803" s="27"/>
      <c r="F7803" s="27"/>
      <c r="G7803" s="7"/>
    </row>
    <row r="7804" spans="5:7" x14ac:dyDescent="0.25">
      <c r="E7804" s="27"/>
      <c r="F7804" s="27"/>
      <c r="G7804" s="7"/>
    </row>
    <row r="7805" spans="5:7" x14ac:dyDescent="0.25">
      <c r="E7805" s="27"/>
      <c r="F7805" s="27"/>
      <c r="G7805" s="7"/>
    </row>
    <row r="7806" spans="5:7" x14ac:dyDescent="0.25">
      <c r="E7806" s="27"/>
      <c r="F7806" s="27"/>
      <c r="G7806" s="7"/>
    </row>
    <row r="7807" spans="5:7" x14ac:dyDescent="0.25">
      <c r="E7807" s="27"/>
      <c r="F7807" s="27"/>
      <c r="G7807" s="7"/>
    </row>
    <row r="7808" spans="5:7" x14ac:dyDescent="0.25">
      <c r="E7808" s="27"/>
      <c r="F7808" s="27"/>
      <c r="G7808" s="7"/>
    </row>
    <row r="7809" spans="5:7" x14ac:dyDescent="0.25">
      <c r="E7809" s="27"/>
      <c r="F7809" s="27"/>
      <c r="G7809" s="7"/>
    </row>
    <row r="7810" spans="5:7" x14ac:dyDescent="0.25">
      <c r="E7810" s="27"/>
      <c r="F7810" s="27"/>
      <c r="G7810" s="7"/>
    </row>
    <row r="7811" spans="5:7" x14ac:dyDescent="0.25">
      <c r="E7811" s="27"/>
      <c r="F7811" s="27"/>
      <c r="G7811" s="7"/>
    </row>
    <row r="7812" spans="5:7" x14ac:dyDescent="0.25">
      <c r="E7812" s="27"/>
      <c r="F7812" s="27"/>
      <c r="G7812" s="7"/>
    </row>
    <row r="7813" spans="5:7" x14ac:dyDescent="0.25">
      <c r="E7813" s="27"/>
      <c r="F7813" s="27"/>
      <c r="G7813" s="7"/>
    </row>
    <row r="7814" spans="5:7" x14ac:dyDescent="0.25">
      <c r="E7814" s="27"/>
      <c r="F7814" s="27"/>
      <c r="G7814" s="7"/>
    </row>
    <row r="7815" spans="5:7" x14ac:dyDescent="0.25">
      <c r="E7815" s="27"/>
      <c r="F7815" s="27"/>
      <c r="G7815" s="7"/>
    </row>
    <row r="7816" spans="5:7" x14ac:dyDescent="0.25">
      <c r="E7816" s="27"/>
      <c r="F7816" s="27"/>
      <c r="G7816" s="7"/>
    </row>
    <row r="7817" spans="5:7" x14ac:dyDescent="0.25">
      <c r="E7817" s="27"/>
      <c r="F7817" s="27"/>
      <c r="G7817" s="7"/>
    </row>
    <row r="7818" spans="5:7" x14ac:dyDescent="0.25">
      <c r="E7818" s="27"/>
      <c r="F7818" s="27"/>
      <c r="G7818" s="7"/>
    </row>
    <row r="7819" spans="5:7" x14ac:dyDescent="0.25">
      <c r="E7819" s="27"/>
      <c r="F7819" s="27"/>
      <c r="G7819" s="7"/>
    </row>
    <row r="7820" spans="5:7" x14ac:dyDescent="0.25">
      <c r="E7820" s="27"/>
      <c r="F7820" s="27"/>
      <c r="G7820" s="7"/>
    </row>
    <row r="7821" spans="5:7" x14ac:dyDescent="0.25">
      <c r="E7821" s="27"/>
      <c r="F7821" s="27"/>
      <c r="G7821" s="7"/>
    </row>
    <row r="7822" spans="5:7" x14ac:dyDescent="0.25">
      <c r="E7822" s="27"/>
      <c r="F7822" s="27"/>
      <c r="G7822" s="7"/>
    </row>
    <row r="7823" spans="5:7" x14ac:dyDescent="0.25">
      <c r="E7823" s="27"/>
      <c r="F7823" s="27"/>
      <c r="G7823" s="7"/>
    </row>
    <row r="7824" spans="5:7" x14ac:dyDescent="0.25">
      <c r="E7824" s="27"/>
      <c r="F7824" s="27"/>
      <c r="G7824" s="7"/>
    </row>
    <row r="7825" spans="5:7" x14ac:dyDescent="0.25">
      <c r="E7825" s="27"/>
      <c r="F7825" s="27"/>
      <c r="G7825" s="7"/>
    </row>
    <row r="7826" spans="5:7" x14ac:dyDescent="0.25">
      <c r="E7826" s="27"/>
      <c r="F7826" s="27"/>
      <c r="G7826" s="7"/>
    </row>
    <row r="7827" spans="5:7" x14ac:dyDescent="0.25">
      <c r="E7827" s="27"/>
      <c r="F7827" s="27"/>
      <c r="G7827" s="7"/>
    </row>
    <row r="7828" spans="5:7" x14ac:dyDescent="0.25">
      <c r="E7828" s="27"/>
      <c r="F7828" s="27"/>
      <c r="G7828" s="7"/>
    </row>
    <row r="7829" spans="5:7" x14ac:dyDescent="0.25">
      <c r="E7829" s="27"/>
      <c r="F7829" s="27"/>
      <c r="G7829" s="7"/>
    </row>
    <row r="7830" spans="5:7" x14ac:dyDescent="0.25">
      <c r="E7830" s="27"/>
      <c r="F7830" s="27"/>
      <c r="G7830" s="7"/>
    </row>
    <row r="7831" spans="5:7" x14ac:dyDescent="0.25">
      <c r="E7831" s="27"/>
      <c r="F7831" s="27"/>
      <c r="G7831" s="7"/>
    </row>
    <row r="7832" spans="5:7" x14ac:dyDescent="0.25">
      <c r="E7832" s="27"/>
      <c r="F7832" s="27"/>
      <c r="G7832" s="7"/>
    </row>
    <row r="7833" spans="5:7" x14ac:dyDescent="0.25">
      <c r="E7833" s="27"/>
      <c r="F7833" s="27"/>
      <c r="G7833" s="7"/>
    </row>
    <row r="7834" spans="5:7" x14ac:dyDescent="0.25">
      <c r="E7834" s="27"/>
      <c r="F7834" s="27"/>
      <c r="G7834" s="7"/>
    </row>
    <row r="7835" spans="5:7" x14ac:dyDescent="0.25">
      <c r="E7835" s="27"/>
      <c r="F7835" s="27"/>
      <c r="G7835" s="7"/>
    </row>
    <row r="7836" spans="5:7" x14ac:dyDescent="0.25">
      <c r="E7836" s="27"/>
      <c r="F7836" s="27"/>
      <c r="G7836" s="7"/>
    </row>
    <row r="7837" spans="5:7" x14ac:dyDescent="0.25">
      <c r="E7837" s="27"/>
      <c r="F7837" s="27"/>
      <c r="G7837" s="7"/>
    </row>
    <row r="7838" spans="5:7" x14ac:dyDescent="0.25">
      <c r="E7838" s="27"/>
      <c r="F7838" s="27"/>
      <c r="G7838" s="7"/>
    </row>
    <row r="7839" spans="5:7" x14ac:dyDescent="0.25">
      <c r="E7839" s="27"/>
      <c r="F7839" s="27"/>
      <c r="G7839" s="7"/>
    </row>
    <row r="7840" spans="5:7" x14ac:dyDescent="0.25">
      <c r="E7840" s="27"/>
      <c r="F7840" s="27"/>
      <c r="G7840" s="7"/>
    </row>
    <row r="7841" spans="5:7" x14ac:dyDescent="0.25">
      <c r="E7841" s="27"/>
      <c r="F7841" s="27"/>
      <c r="G7841" s="7"/>
    </row>
    <row r="7842" spans="5:7" x14ac:dyDescent="0.25">
      <c r="E7842" s="27"/>
      <c r="F7842" s="27"/>
      <c r="G7842" s="7"/>
    </row>
    <row r="7843" spans="5:7" x14ac:dyDescent="0.25">
      <c r="E7843" s="27"/>
      <c r="F7843" s="27"/>
      <c r="G7843" s="7"/>
    </row>
    <row r="7844" spans="5:7" x14ac:dyDescent="0.25">
      <c r="E7844" s="27"/>
      <c r="F7844" s="27"/>
      <c r="G7844" s="7"/>
    </row>
    <row r="7845" spans="5:7" x14ac:dyDescent="0.25">
      <c r="E7845" s="27"/>
      <c r="F7845" s="27"/>
      <c r="G7845" s="7"/>
    </row>
    <row r="7846" spans="5:7" x14ac:dyDescent="0.25">
      <c r="E7846" s="27"/>
      <c r="F7846" s="27"/>
      <c r="G7846" s="7"/>
    </row>
    <row r="7847" spans="5:7" x14ac:dyDescent="0.25">
      <c r="E7847" s="27"/>
      <c r="F7847" s="27"/>
      <c r="G7847" s="7"/>
    </row>
    <row r="7848" spans="5:7" x14ac:dyDescent="0.25">
      <c r="E7848" s="27"/>
      <c r="F7848" s="27"/>
      <c r="G7848" s="7"/>
    </row>
    <row r="7849" spans="5:7" x14ac:dyDescent="0.25">
      <c r="E7849" s="27"/>
      <c r="F7849" s="27"/>
      <c r="G7849" s="7"/>
    </row>
    <row r="7850" spans="5:7" x14ac:dyDescent="0.25">
      <c r="E7850" s="27"/>
      <c r="F7850" s="27"/>
      <c r="G7850" s="7"/>
    </row>
    <row r="7851" spans="5:7" x14ac:dyDescent="0.25">
      <c r="E7851" s="27"/>
      <c r="F7851" s="27"/>
      <c r="G7851" s="7"/>
    </row>
    <row r="7852" spans="5:7" x14ac:dyDescent="0.25">
      <c r="E7852" s="27"/>
      <c r="F7852" s="27"/>
      <c r="G7852" s="7"/>
    </row>
    <row r="7853" spans="5:7" x14ac:dyDescent="0.25">
      <c r="E7853" s="27"/>
      <c r="F7853" s="27"/>
      <c r="G7853" s="7"/>
    </row>
    <row r="7854" spans="5:7" x14ac:dyDescent="0.25">
      <c r="E7854" s="27"/>
      <c r="F7854" s="27"/>
      <c r="G7854" s="7"/>
    </row>
    <row r="7855" spans="5:7" x14ac:dyDescent="0.25">
      <c r="E7855" s="27"/>
      <c r="F7855" s="27"/>
      <c r="G7855" s="7"/>
    </row>
    <row r="7856" spans="5:7" x14ac:dyDescent="0.25">
      <c r="E7856" s="27"/>
      <c r="F7856" s="27"/>
      <c r="G7856" s="7"/>
    </row>
    <row r="7857" spans="5:7" x14ac:dyDescent="0.25">
      <c r="E7857" s="27"/>
      <c r="F7857" s="27"/>
      <c r="G7857" s="7"/>
    </row>
    <row r="7858" spans="5:7" x14ac:dyDescent="0.25">
      <c r="E7858" s="27"/>
      <c r="F7858" s="27"/>
      <c r="G7858" s="7"/>
    </row>
    <row r="7859" spans="5:7" x14ac:dyDescent="0.25">
      <c r="E7859" s="27"/>
      <c r="F7859" s="27"/>
      <c r="G7859" s="7"/>
    </row>
    <row r="7860" spans="5:7" x14ac:dyDescent="0.25">
      <c r="E7860" s="27"/>
      <c r="F7860" s="27"/>
      <c r="G7860" s="7"/>
    </row>
    <row r="7861" spans="5:7" x14ac:dyDescent="0.25">
      <c r="E7861" s="27"/>
      <c r="F7861" s="27"/>
      <c r="G7861" s="7"/>
    </row>
    <row r="7862" spans="5:7" x14ac:dyDescent="0.25">
      <c r="E7862" s="27"/>
      <c r="F7862" s="27"/>
      <c r="G7862" s="7"/>
    </row>
    <row r="7863" spans="5:7" x14ac:dyDescent="0.25">
      <c r="E7863" s="27"/>
      <c r="F7863" s="27"/>
      <c r="G7863" s="7"/>
    </row>
    <row r="7864" spans="5:7" x14ac:dyDescent="0.25">
      <c r="E7864" s="27"/>
      <c r="F7864" s="27"/>
      <c r="G7864" s="7"/>
    </row>
    <row r="7865" spans="5:7" x14ac:dyDescent="0.25">
      <c r="E7865" s="27"/>
      <c r="F7865" s="27"/>
      <c r="G7865" s="7"/>
    </row>
    <row r="7866" spans="5:7" x14ac:dyDescent="0.25">
      <c r="E7866" s="27"/>
      <c r="F7866" s="27"/>
      <c r="G7866" s="7"/>
    </row>
    <row r="7867" spans="5:7" x14ac:dyDescent="0.25">
      <c r="E7867" s="27"/>
      <c r="F7867" s="27"/>
      <c r="G7867" s="7"/>
    </row>
    <row r="7868" spans="5:7" x14ac:dyDescent="0.25">
      <c r="E7868" s="27"/>
      <c r="F7868" s="27"/>
      <c r="G7868" s="7"/>
    </row>
    <row r="7869" spans="5:7" x14ac:dyDescent="0.25">
      <c r="E7869" s="27"/>
      <c r="F7869" s="27"/>
      <c r="G7869" s="7"/>
    </row>
    <row r="7870" spans="5:7" x14ac:dyDescent="0.25">
      <c r="E7870" s="27"/>
      <c r="F7870" s="27"/>
      <c r="G7870" s="7"/>
    </row>
    <row r="7871" spans="5:7" x14ac:dyDescent="0.25">
      <c r="E7871" s="27"/>
      <c r="F7871" s="27"/>
      <c r="G7871" s="7"/>
    </row>
    <row r="7872" spans="5:7" x14ac:dyDescent="0.25">
      <c r="E7872" s="27"/>
      <c r="F7872" s="27"/>
      <c r="G7872" s="7"/>
    </row>
    <row r="7873" spans="5:7" x14ac:dyDescent="0.25">
      <c r="E7873" s="27"/>
      <c r="F7873" s="27"/>
      <c r="G7873" s="7"/>
    </row>
    <row r="7874" spans="5:7" x14ac:dyDescent="0.25">
      <c r="E7874" s="27"/>
      <c r="F7874" s="27"/>
      <c r="G7874" s="7"/>
    </row>
    <row r="7875" spans="5:7" x14ac:dyDescent="0.25">
      <c r="E7875" s="27"/>
      <c r="F7875" s="27"/>
      <c r="G7875" s="7"/>
    </row>
    <row r="7876" spans="5:7" x14ac:dyDescent="0.25">
      <c r="E7876" s="27"/>
      <c r="F7876" s="27"/>
      <c r="G7876" s="7"/>
    </row>
    <row r="7877" spans="5:7" x14ac:dyDescent="0.25">
      <c r="E7877" s="27"/>
      <c r="F7877" s="27"/>
      <c r="G7877" s="7"/>
    </row>
    <row r="7878" spans="5:7" x14ac:dyDescent="0.25">
      <c r="E7878" s="27"/>
      <c r="F7878" s="27"/>
      <c r="G7878" s="7"/>
    </row>
    <row r="7879" spans="5:7" x14ac:dyDescent="0.25">
      <c r="E7879" s="27"/>
      <c r="F7879" s="27"/>
      <c r="G7879" s="7"/>
    </row>
    <row r="7880" spans="5:7" x14ac:dyDescent="0.25">
      <c r="E7880" s="27"/>
      <c r="F7880" s="27"/>
      <c r="G7880" s="7"/>
    </row>
    <row r="7881" spans="5:7" x14ac:dyDescent="0.25">
      <c r="E7881" s="27"/>
      <c r="F7881" s="27"/>
      <c r="G7881" s="7"/>
    </row>
    <row r="7882" spans="5:7" x14ac:dyDescent="0.25">
      <c r="E7882" s="27"/>
      <c r="F7882" s="27"/>
      <c r="G7882" s="7"/>
    </row>
    <row r="7883" spans="5:7" x14ac:dyDescent="0.25">
      <c r="E7883" s="27"/>
      <c r="F7883" s="27"/>
      <c r="G7883" s="7"/>
    </row>
    <row r="7884" spans="5:7" x14ac:dyDescent="0.25">
      <c r="E7884" s="27"/>
      <c r="F7884" s="27"/>
      <c r="G7884" s="7"/>
    </row>
    <row r="7885" spans="5:7" x14ac:dyDescent="0.25">
      <c r="E7885" s="27"/>
      <c r="F7885" s="27"/>
      <c r="G7885" s="7"/>
    </row>
    <row r="7886" spans="5:7" x14ac:dyDescent="0.25">
      <c r="E7886" s="27"/>
      <c r="F7886" s="27"/>
      <c r="G7886" s="7"/>
    </row>
    <row r="7887" spans="5:7" x14ac:dyDescent="0.25">
      <c r="E7887" s="27"/>
      <c r="F7887" s="27"/>
      <c r="G7887" s="7"/>
    </row>
    <row r="7888" spans="5:7" x14ac:dyDescent="0.25">
      <c r="E7888" s="27"/>
      <c r="F7888" s="27"/>
      <c r="G7888" s="7"/>
    </row>
    <row r="7889" spans="5:7" x14ac:dyDescent="0.25">
      <c r="E7889" s="27"/>
      <c r="F7889" s="27"/>
      <c r="G7889" s="7"/>
    </row>
    <row r="7890" spans="5:7" x14ac:dyDescent="0.25">
      <c r="E7890" s="27"/>
      <c r="F7890" s="27"/>
      <c r="G7890" s="7"/>
    </row>
    <row r="7891" spans="5:7" x14ac:dyDescent="0.25">
      <c r="E7891" s="27"/>
      <c r="F7891" s="27"/>
      <c r="G7891" s="7"/>
    </row>
    <row r="7892" spans="5:7" x14ac:dyDescent="0.25">
      <c r="E7892" s="27"/>
      <c r="F7892" s="27"/>
      <c r="G7892" s="7"/>
    </row>
    <row r="7893" spans="5:7" x14ac:dyDescent="0.25">
      <c r="E7893" s="27"/>
      <c r="F7893" s="27"/>
      <c r="G7893" s="7"/>
    </row>
    <row r="7894" spans="5:7" x14ac:dyDescent="0.25">
      <c r="E7894" s="27"/>
      <c r="F7894" s="27"/>
      <c r="G7894" s="7"/>
    </row>
    <row r="7895" spans="5:7" x14ac:dyDescent="0.25">
      <c r="E7895" s="27"/>
      <c r="F7895" s="27"/>
      <c r="G7895" s="7"/>
    </row>
    <row r="7896" spans="5:7" x14ac:dyDescent="0.25">
      <c r="E7896" s="27"/>
      <c r="F7896" s="27"/>
      <c r="G7896" s="7"/>
    </row>
    <row r="7897" spans="5:7" x14ac:dyDescent="0.25">
      <c r="E7897" s="27"/>
      <c r="F7897" s="27"/>
      <c r="G7897" s="7"/>
    </row>
    <row r="7898" spans="5:7" x14ac:dyDescent="0.25">
      <c r="E7898" s="27"/>
      <c r="F7898" s="27"/>
      <c r="G7898" s="7"/>
    </row>
    <row r="7899" spans="5:7" x14ac:dyDescent="0.25">
      <c r="E7899" s="27"/>
      <c r="F7899" s="27"/>
      <c r="G7899" s="7"/>
    </row>
    <row r="7900" spans="5:7" x14ac:dyDescent="0.25">
      <c r="E7900" s="27"/>
      <c r="F7900" s="27"/>
      <c r="G7900" s="7"/>
    </row>
    <row r="7901" spans="5:7" x14ac:dyDescent="0.25">
      <c r="E7901" s="27"/>
      <c r="F7901" s="27"/>
      <c r="G7901" s="7"/>
    </row>
    <row r="7902" spans="5:7" x14ac:dyDescent="0.25">
      <c r="E7902" s="27"/>
      <c r="F7902" s="27"/>
      <c r="G7902" s="7"/>
    </row>
    <row r="7903" spans="5:7" x14ac:dyDescent="0.25">
      <c r="E7903" s="27"/>
      <c r="F7903" s="27"/>
      <c r="G7903" s="7"/>
    </row>
    <row r="7904" spans="5:7" x14ac:dyDescent="0.25">
      <c r="E7904" s="27"/>
      <c r="F7904" s="27"/>
      <c r="G7904" s="7"/>
    </row>
    <row r="7905" spans="5:7" x14ac:dyDescent="0.25">
      <c r="E7905" s="27"/>
      <c r="F7905" s="27"/>
      <c r="G7905" s="7"/>
    </row>
    <row r="7906" spans="5:7" x14ac:dyDescent="0.25">
      <c r="E7906" s="27"/>
      <c r="F7906" s="27"/>
      <c r="G7906" s="7"/>
    </row>
    <row r="7907" spans="5:7" x14ac:dyDescent="0.25">
      <c r="E7907" s="27"/>
      <c r="F7907" s="27"/>
      <c r="G7907" s="7"/>
    </row>
    <row r="7908" spans="5:7" x14ac:dyDescent="0.25">
      <c r="E7908" s="27"/>
      <c r="F7908" s="27"/>
      <c r="G7908" s="7"/>
    </row>
    <row r="7909" spans="5:7" x14ac:dyDescent="0.25">
      <c r="E7909" s="27"/>
      <c r="F7909" s="27"/>
      <c r="G7909" s="7"/>
    </row>
    <row r="7910" spans="5:7" x14ac:dyDescent="0.25">
      <c r="E7910" s="27"/>
      <c r="F7910" s="27"/>
      <c r="G7910" s="7"/>
    </row>
    <row r="7911" spans="5:7" x14ac:dyDescent="0.25">
      <c r="E7911" s="27"/>
      <c r="F7911" s="27"/>
      <c r="G7911" s="7"/>
    </row>
    <row r="7912" spans="5:7" x14ac:dyDescent="0.25">
      <c r="E7912" s="27"/>
      <c r="F7912" s="27"/>
      <c r="G7912" s="7"/>
    </row>
    <row r="7913" spans="5:7" x14ac:dyDescent="0.25">
      <c r="E7913" s="27"/>
      <c r="F7913" s="27"/>
      <c r="G7913" s="7"/>
    </row>
    <row r="7914" spans="5:7" x14ac:dyDescent="0.25">
      <c r="E7914" s="27"/>
      <c r="F7914" s="27"/>
      <c r="G7914" s="7"/>
    </row>
    <row r="7915" spans="5:7" x14ac:dyDescent="0.25">
      <c r="E7915" s="27"/>
      <c r="F7915" s="27"/>
      <c r="G7915" s="7"/>
    </row>
    <row r="7916" spans="5:7" x14ac:dyDescent="0.25">
      <c r="E7916" s="27"/>
      <c r="F7916" s="27"/>
      <c r="G7916" s="7"/>
    </row>
    <row r="7917" spans="5:7" x14ac:dyDescent="0.25">
      <c r="E7917" s="27"/>
      <c r="F7917" s="27"/>
      <c r="G7917" s="7"/>
    </row>
    <row r="7918" spans="5:7" x14ac:dyDescent="0.25">
      <c r="E7918" s="27"/>
      <c r="F7918" s="27"/>
      <c r="G7918" s="7"/>
    </row>
    <row r="7919" spans="5:7" x14ac:dyDescent="0.25">
      <c r="E7919" s="27"/>
      <c r="F7919" s="27"/>
      <c r="G7919" s="7"/>
    </row>
    <row r="7920" spans="5:7" x14ac:dyDescent="0.25">
      <c r="E7920" s="27"/>
      <c r="F7920" s="27"/>
      <c r="G7920" s="7"/>
    </row>
    <row r="7921" spans="5:7" x14ac:dyDescent="0.25">
      <c r="E7921" s="27"/>
      <c r="F7921" s="27"/>
      <c r="G7921" s="7"/>
    </row>
    <row r="7922" spans="5:7" x14ac:dyDescent="0.25">
      <c r="E7922" s="27"/>
      <c r="F7922" s="27"/>
      <c r="G7922" s="7"/>
    </row>
    <row r="7923" spans="5:7" x14ac:dyDescent="0.25">
      <c r="E7923" s="27"/>
      <c r="F7923" s="27"/>
      <c r="G7923" s="7"/>
    </row>
    <row r="7924" spans="5:7" x14ac:dyDescent="0.25">
      <c r="E7924" s="27"/>
      <c r="F7924" s="27"/>
      <c r="G7924" s="7"/>
    </row>
    <row r="7925" spans="5:7" x14ac:dyDescent="0.25">
      <c r="E7925" s="27"/>
      <c r="F7925" s="27"/>
      <c r="G7925" s="7"/>
    </row>
    <row r="7926" spans="5:7" x14ac:dyDescent="0.25">
      <c r="E7926" s="27"/>
      <c r="F7926" s="27"/>
      <c r="G7926" s="7"/>
    </row>
    <row r="7927" spans="5:7" x14ac:dyDescent="0.25">
      <c r="E7927" s="27"/>
      <c r="F7927" s="27"/>
      <c r="G7927" s="7"/>
    </row>
    <row r="7928" spans="5:7" x14ac:dyDescent="0.25">
      <c r="E7928" s="27"/>
      <c r="F7928" s="27"/>
      <c r="G7928" s="7"/>
    </row>
    <row r="7929" spans="5:7" x14ac:dyDescent="0.25">
      <c r="E7929" s="27"/>
      <c r="F7929" s="27"/>
      <c r="G7929" s="7"/>
    </row>
    <row r="7930" spans="5:7" x14ac:dyDescent="0.25">
      <c r="E7930" s="27"/>
      <c r="F7930" s="27"/>
      <c r="G7930" s="7"/>
    </row>
    <row r="7931" spans="5:7" x14ac:dyDescent="0.25">
      <c r="E7931" s="27"/>
      <c r="F7931" s="27"/>
      <c r="G7931" s="7"/>
    </row>
    <row r="7932" spans="5:7" x14ac:dyDescent="0.25">
      <c r="E7932" s="27"/>
      <c r="F7932" s="27"/>
      <c r="G7932" s="7"/>
    </row>
    <row r="7933" spans="5:7" x14ac:dyDescent="0.25">
      <c r="E7933" s="27"/>
      <c r="F7933" s="27"/>
      <c r="G7933" s="7"/>
    </row>
    <row r="7934" spans="5:7" x14ac:dyDescent="0.25">
      <c r="E7934" s="27"/>
      <c r="F7934" s="27"/>
      <c r="G7934" s="7"/>
    </row>
    <row r="7935" spans="5:7" x14ac:dyDescent="0.25">
      <c r="E7935" s="27"/>
      <c r="F7935" s="27"/>
      <c r="G7935" s="7"/>
    </row>
    <row r="7936" spans="5:7" x14ac:dyDescent="0.25">
      <c r="E7936" s="27"/>
      <c r="F7936" s="27"/>
      <c r="G7936" s="7"/>
    </row>
    <row r="7937" spans="5:7" x14ac:dyDescent="0.25">
      <c r="E7937" s="27"/>
      <c r="F7937" s="27"/>
      <c r="G7937" s="7"/>
    </row>
    <row r="7938" spans="5:7" x14ac:dyDescent="0.25">
      <c r="E7938" s="27"/>
      <c r="F7938" s="27"/>
      <c r="G7938" s="7"/>
    </row>
    <row r="7939" spans="5:7" x14ac:dyDescent="0.25">
      <c r="E7939" s="27"/>
      <c r="F7939" s="27"/>
      <c r="G7939" s="7"/>
    </row>
    <row r="7940" spans="5:7" x14ac:dyDescent="0.25">
      <c r="E7940" s="27"/>
      <c r="F7940" s="27"/>
      <c r="G7940" s="7"/>
    </row>
    <row r="7941" spans="5:7" x14ac:dyDescent="0.25">
      <c r="E7941" s="27"/>
      <c r="F7941" s="27"/>
      <c r="G7941" s="7"/>
    </row>
    <row r="7942" spans="5:7" x14ac:dyDescent="0.25">
      <c r="E7942" s="27"/>
      <c r="F7942" s="27"/>
      <c r="G7942" s="7"/>
    </row>
    <row r="7943" spans="5:7" x14ac:dyDescent="0.25">
      <c r="E7943" s="27"/>
      <c r="F7943" s="27"/>
      <c r="G7943" s="7"/>
    </row>
    <row r="7944" spans="5:7" x14ac:dyDescent="0.25">
      <c r="E7944" s="27"/>
      <c r="F7944" s="27"/>
      <c r="G7944" s="7"/>
    </row>
    <row r="7945" spans="5:7" x14ac:dyDescent="0.25">
      <c r="E7945" s="27"/>
      <c r="F7945" s="27"/>
      <c r="G7945" s="7"/>
    </row>
    <row r="7946" spans="5:7" x14ac:dyDescent="0.25">
      <c r="E7946" s="27"/>
      <c r="F7946" s="27"/>
      <c r="G7946" s="7"/>
    </row>
    <row r="7947" spans="5:7" x14ac:dyDescent="0.25">
      <c r="E7947" s="27"/>
      <c r="F7947" s="27"/>
      <c r="G7947" s="7"/>
    </row>
    <row r="7948" spans="5:7" x14ac:dyDescent="0.25">
      <c r="E7948" s="27"/>
      <c r="F7948" s="27"/>
      <c r="G7948" s="7"/>
    </row>
    <row r="7949" spans="5:7" x14ac:dyDescent="0.25">
      <c r="E7949" s="27"/>
      <c r="F7949" s="27"/>
      <c r="G7949" s="7"/>
    </row>
    <row r="7950" spans="5:7" x14ac:dyDescent="0.25">
      <c r="E7950" s="27"/>
      <c r="F7950" s="27"/>
      <c r="G7950" s="7"/>
    </row>
    <row r="7951" spans="5:7" x14ac:dyDescent="0.25">
      <c r="E7951" s="27"/>
      <c r="F7951" s="27"/>
      <c r="G7951" s="7"/>
    </row>
    <row r="7952" spans="5:7" x14ac:dyDescent="0.25">
      <c r="E7952" s="27"/>
      <c r="F7952" s="27"/>
      <c r="G7952" s="7"/>
    </row>
    <row r="7953" spans="5:7" x14ac:dyDescent="0.25">
      <c r="E7953" s="27"/>
      <c r="F7953" s="27"/>
      <c r="G7953" s="7"/>
    </row>
    <row r="7954" spans="5:7" x14ac:dyDescent="0.25">
      <c r="E7954" s="27"/>
      <c r="F7954" s="27"/>
      <c r="G7954" s="7"/>
    </row>
    <row r="7955" spans="5:7" x14ac:dyDescent="0.25">
      <c r="E7955" s="27"/>
      <c r="F7955" s="27"/>
      <c r="G7955" s="7"/>
    </row>
    <row r="7956" spans="5:7" x14ac:dyDescent="0.25">
      <c r="E7956" s="27"/>
      <c r="F7956" s="27"/>
      <c r="G7956" s="7"/>
    </row>
    <row r="7957" spans="5:7" x14ac:dyDescent="0.25">
      <c r="E7957" s="27"/>
      <c r="F7957" s="27"/>
      <c r="G7957" s="7"/>
    </row>
    <row r="7958" spans="5:7" x14ac:dyDescent="0.25">
      <c r="E7958" s="27"/>
      <c r="F7958" s="27"/>
      <c r="G7958" s="7"/>
    </row>
    <row r="7959" spans="5:7" x14ac:dyDescent="0.25">
      <c r="E7959" s="27"/>
      <c r="F7959" s="27"/>
      <c r="G7959" s="7"/>
    </row>
    <row r="7960" spans="5:7" x14ac:dyDescent="0.25">
      <c r="E7960" s="27"/>
      <c r="F7960" s="27"/>
      <c r="G7960" s="7"/>
    </row>
    <row r="7961" spans="5:7" x14ac:dyDescent="0.25">
      <c r="E7961" s="27"/>
      <c r="F7961" s="27"/>
      <c r="G7961" s="7"/>
    </row>
    <row r="7962" spans="5:7" x14ac:dyDescent="0.25">
      <c r="E7962" s="27"/>
      <c r="F7962" s="27"/>
      <c r="G7962" s="7"/>
    </row>
    <row r="7963" spans="5:7" x14ac:dyDescent="0.25">
      <c r="E7963" s="27"/>
      <c r="F7963" s="27"/>
      <c r="G7963" s="7"/>
    </row>
    <row r="7964" spans="5:7" x14ac:dyDescent="0.25">
      <c r="E7964" s="27"/>
      <c r="F7964" s="27"/>
      <c r="G7964" s="7"/>
    </row>
    <row r="7965" spans="5:7" x14ac:dyDescent="0.25">
      <c r="E7965" s="27"/>
      <c r="F7965" s="27"/>
      <c r="G7965" s="7"/>
    </row>
    <row r="7966" spans="5:7" x14ac:dyDescent="0.25">
      <c r="E7966" s="27"/>
      <c r="F7966" s="27"/>
      <c r="G7966" s="7"/>
    </row>
    <row r="7967" spans="5:7" x14ac:dyDescent="0.25">
      <c r="E7967" s="27"/>
      <c r="F7967" s="27"/>
      <c r="G7967" s="7"/>
    </row>
    <row r="7968" spans="5:7" x14ac:dyDescent="0.25">
      <c r="E7968" s="27"/>
      <c r="F7968" s="27"/>
      <c r="G7968" s="7"/>
    </row>
    <row r="7969" spans="5:7" x14ac:dyDescent="0.25">
      <c r="E7969" s="27"/>
      <c r="F7969" s="27"/>
      <c r="G7969" s="7"/>
    </row>
    <row r="7970" spans="5:7" x14ac:dyDescent="0.25">
      <c r="E7970" s="27"/>
      <c r="F7970" s="27"/>
      <c r="G7970" s="7"/>
    </row>
    <row r="7971" spans="5:7" x14ac:dyDescent="0.25">
      <c r="E7971" s="27"/>
      <c r="F7971" s="27"/>
      <c r="G7971" s="7"/>
    </row>
    <row r="7972" spans="5:7" x14ac:dyDescent="0.25">
      <c r="E7972" s="27"/>
      <c r="F7972" s="27"/>
      <c r="G7972" s="7"/>
    </row>
    <row r="7973" spans="5:7" x14ac:dyDescent="0.25">
      <c r="E7973" s="27"/>
      <c r="F7973" s="27"/>
      <c r="G7973" s="7"/>
    </row>
    <row r="7974" spans="5:7" x14ac:dyDescent="0.25">
      <c r="E7974" s="27"/>
      <c r="F7974" s="27"/>
      <c r="G7974" s="7"/>
    </row>
    <row r="7975" spans="5:7" x14ac:dyDescent="0.25">
      <c r="E7975" s="27"/>
      <c r="F7975" s="27"/>
      <c r="G7975" s="7"/>
    </row>
    <row r="7976" spans="5:7" x14ac:dyDescent="0.25">
      <c r="E7976" s="27"/>
      <c r="F7976" s="27"/>
      <c r="G7976" s="7"/>
    </row>
    <row r="7977" spans="5:7" x14ac:dyDescent="0.25">
      <c r="E7977" s="27"/>
      <c r="F7977" s="27"/>
      <c r="G7977" s="7"/>
    </row>
    <row r="7978" spans="5:7" x14ac:dyDescent="0.25">
      <c r="E7978" s="27"/>
      <c r="F7978" s="27"/>
      <c r="G7978" s="7"/>
    </row>
    <row r="7979" spans="5:7" x14ac:dyDescent="0.25">
      <c r="E7979" s="27"/>
      <c r="F7979" s="27"/>
      <c r="G7979" s="7"/>
    </row>
    <row r="7980" spans="5:7" x14ac:dyDescent="0.25">
      <c r="E7980" s="27"/>
      <c r="F7980" s="27"/>
      <c r="G7980" s="7"/>
    </row>
    <row r="7981" spans="5:7" x14ac:dyDescent="0.25">
      <c r="E7981" s="27"/>
      <c r="F7981" s="27"/>
      <c r="G7981" s="7"/>
    </row>
    <row r="7982" spans="5:7" x14ac:dyDescent="0.25">
      <c r="E7982" s="27"/>
      <c r="F7982" s="27"/>
      <c r="G7982" s="7"/>
    </row>
    <row r="7983" spans="5:7" x14ac:dyDescent="0.25">
      <c r="E7983" s="27"/>
      <c r="F7983" s="27"/>
      <c r="G7983" s="7"/>
    </row>
    <row r="7984" spans="5:7" x14ac:dyDescent="0.25">
      <c r="E7984" s="27"/>
      <c r="F7984" s="27"/>
      <c r="G7984" s="7"/>
    </row>
    <row r="7985" spans="5:7" x14ac:dyDescent="0.25">
      <c r="E7985" s="27"/>
      <c r="F7985" s="27"/>
      <c r="G7985" s="7"/>
    </row>
    <row r="7986" spans="5:7" x14ac:dyDescent="0.25">
      <c r="E7986" s="27"/>
      <c r="F7986" s="27"/>
      <c r="G7986" s="7"/>
    </row>
    <row r="7987" spans="5:7" x14ac:dyDescent="0.25">
      <c r="E7987" s="27"/>
      <c r="F7987" s="27"/>
      <c r="G7987" s="7"/>
    </row>
    <row r="7988" spans="5:7" x14ac:dyDescent="0.25">
      <c r="E7988" s="27"/>
      <c r="F7988" s="27"/>
      <c r="G7988" s="7"/>
    </row>
    <row r="7989" spans="5:7" x14ac:dyDescent="0.25">
      <c r="E7989" s="27"/>
      <c r="F7989" s="27"/>
      <c r="G7989" s="7"/>
    </row>
    <row r="7990" spans="5:7" x14ac:dyDescent="0.25">
      <c r="E7990" s="27"/>
      <c r="F7990" s="27"/>
      <c r="G7990" s="7"/>
    </row>
    <row r="7991" spans="5:7" x14ac:dyDescent="0.25">
      <c r="E7991" s="27"/>
      <c r="F7991" s="27"/>
      <c r="G7991" s="7"/>
    </row>
    <row r="7992" spans="5:7" x14ac:dyDescent="0.25">
      <c r="E7992" s="27"/>
      <c r="F7992" s="27"/>
      <c r="G7992" s="7"/>
    </row>
    <row r="7993" spans="5:7" x14ac:dyDescent="0.25">
      <c r="E7993" s="27"/>
      <c r="F7993" s="27"/>
      <c r="G7993" s="7"/>
    </row>
    <row r="7994" spans="5:7" x14ac:dyDescent="0.25">
      <c r="E7994" s="27"/>
      <c r="F7994" s="27"/>
      <c r="G7994" s="7"/>
    </row>
    <row r="7995" spans="5:7" x14ac:dyDescent="0.25">
      <c r="E7995" s="27"/>
      <c r="F7995" s="27"/>
      <c r="G7995" s="7"/>
    </row>
    <row r="7996" spans="5:7" x14ac:dyDescent="0.25">
      <c r="E7996" s="27"/>
      <c r="F7996" s="27"/>
      <c r="G7996" s="7"/>
    </row>
    <row r="7997" spans="5:7" x14ac:dyDescent="0.25">
      <c r="E7997" s="27"/>
      <c r="F7997" s="27"/>
      <c r="G7997" s="7"/>
    </row>
    <row r="7998" spans="5:7" x14ac:dyDescent="0.25">
      <c r="E7998" s="27"/>
      <c r="F7998" s="27"/>
      <c r="G7998" s="7"/>
    </row>
    <row r="7999" spans="5:7" x14ac:dyDescent="0.25">
      <c r="E7999" s="27"/>
      <c r="F7999" s="27"/>
      <c r="G7999" s="7"/>
    </row>
    <row r="8000" spans="5:7" x14ac:dyDescent="0.25">
      <c r="E8000" s="27"/>
      <c r="F8000" s="27"/>
      <c r="G8000" s="7"/>
    </row>
    <row r="8001" spans="5:7" x14ac:dyDescent="0.25">
      <c r="E8001" s="27"/>
      <c r="F8001" s="27"/>
      <c r="G8001" s="7"/>
    </row>
    <row r="8002" spans="5:7" x14ac:dyDescent="0.25">
      <c r="E8002" s="27"/>
      <c r="F8002" s="27"/>
      <c r="G8002" s="7"/>
    </row>
    <row r="8003" spans="5:7" x14ac:dyDescent="0.25">
      <c r="E8003" s="27"/>
      <c r="F8003" s="27"/>
      <c r="G8003" s="7"/>
    </row>
    <row r="8004" spans="5:7" x14ac:dyDescent="0.25">
      <c r="E8004" s="27"/>
      <c r="F8004" s="27"/>
      <c r="G8004" s="7"/>
    </row>
    <row r="8005" spans="5:7" x14ac:dyDescent="0.25">
      <c r="E8005" s="27"/>
      <c r="F8005" s="27"/>
      <c r="G8005" s="7"/>
    </row>
    <row r="8006" spans="5:7" x14ac:dyDescent="0.25">
      <c r="E8006" s="27"/>
      <c r="F8006" s="27"/>
      <c r="G8006" s="7"/>
    </row>
    <row r="8007" spans="5:7" x14ac:dyDescent="0.25">
      <c r="E8007" s="27"/>
      <c r="F8007" s="27"/>
      <c r="G8007" s="7"/>
    </row>
    <row r="8008" spans="5:7" x14ac:dyDescent="0.25">
      <c r="E8008" s="27"/>
      <c r="F8008" s="27"/>
      <c r="G8008" s="7"/>
    </row>
    <row r="8009" spans="5:7" x14ac:dyDescent="0.25">
      <c r="E8009" s="27"/>
      <c r="F8009" s="27"/>
      <c r="G8009" s="7"/>
    </row>
    <row r="8010" spans="5:7" x14ac:dyDescent="0.25">
      <c r="E8010" s="27"/>
      <c r="F8010" s="27"/>
      <c r="G8010" s="7"/>
    </row>
    <row r="8011" spans="5:7" x14ac:dyDescent="0.25">
      <c r="E8011" s="27"/>
      <c r="F8011" s="27"/>
      <c r="G8011" s="7"/>
    </row>
    <row r="8012" spans="5:7" x14ac:dyDescent="0.25">
      <c r="E8012" s="27"/>
      <c r="F8012" s="27"/>
      <c r="G8012" s="7"/>
    </row>
    <row r="8013" spans="5:7" x14ac:dyDescent="0.25">
      <c r="E8013" s="27"/>
      <c r="F8013" s="27"/>
      <c r="G8013" s="7"/>
    </row>
    <row r="8014" spans="5:7" x14ac:dyDescent="0.25">
      <c r="E8014" s="27"/>
      <c r="F8014" s="27"/>
      <c r="G8014" s="7"/>
    </row>
    <row r="8015" spans="5:7" x14ac:dyDescent="0.25">
      <c r="E8015" s="27"/>
      <c r="F8015" s="27"/>
      <c r="G8015" s="7"/>
    </row>
    <row r="8016" spans="5:7" x14ac:dyDescent="0.25">
      <c r="E8016" s="27"/>
      <c r="F8016" s="27"/>
      <c r="G8016" s="7"/>
    </row>
    <row r="8017" spans="5:7" x14ac:dyDescent="0.25">
      <c r="E8017" s="27"/>
      <c r="F8017" s="27"/>
      <c r="G8017" s="7"/>
    </row>
    <row r="8018" spans="5:7" x14ac:dyDescent="0.25">
      <c r="E8018" s="27"/>
      <c r="F8018" s="27"/>
      <c r="G8018" s="7"/>
    </row>
    <row r="8019" spans="5:7" x14ac:dyDescent="0.25">
      <c r="E8019" s="27"/>
      <c r="F8019" s="27"/>
      <c r="G8019" s="7"/>
    </row>
    <row r="8020" spans="5:7" x14ac:dyDescent="0.25">
      <c r="E8020" s="27"/>
      <c r="F8020" s="27"/>
      <c r="G8020" s="7"/>
    </row>
    <row r="8021" spans="5:7" x14ac:dyDescent="0.25">
      <c r="E8021" s="27"/>
      <c r="F8021" s="27"/>
      <c r="G8021" s="7"/>
    </row>
    <row r="8022" spans="5:7" x14ac:dyDescent="0.25">
      <c r="E8022" s="27"/>
      <c r="F8022" s="27"/>
      <c r="G8022" s="7"/>
    </row>
    <row r="8023" spans="5:7" x14ac:dyDescent="0.25">
      <c r="E8023" s="27"/>
      <c r="F8023" s="27"/>
      <c r="G8023" s="7"/>
    </row>
    <row r="8024" spans="5:7" x14ac:dyDescent="0.25">
      <c r="E8024" s="27"/>
      <c r="F8024" s="27"/>
      <c r="G8024" s="7"/>
    </row>
    <row r="8025" spans="5:7" x14ac:dyDescent="0.25">
      <c r="E8025" s="27"/>
      <c r="F8025" s="27"/>
      <c r="G8025" s="7"/>
    </row>
    <row r="8026" spans="5:7" x14ac:dyDescent="0.25">
      <c r="E8026" s="27"/>
      <c r="F8026" s="27"/>
      <c r="G8026" s="7"/>
    </row>
    <row r="8027" spans="5:7" x14ac:dyDescent="0.25">
      <c r="E8027" s="27"/>
      <c r="F8027" s="27"/>
      <c r="G8027" s="7"/>
    </row>
    <row r="8028" spans="5:7" x14ac:dyDescent="0.25">
      <c r="E8028" s="27"/>
      <c r="F8028" s="27"/>
      <c r="G8028" s="7"/>
    </row>
    <row r="8029" spans="5:7" x14ac:dyDescent="0.25">
      <c r="E8029" s="27"/>
      <c r="F8029" s="27"/>
      <c r="G8029" s="7"/>
    </row>
    <row r="8030" spans="5:7" x14ac:dyDescent="0.25">
      <c r="E8030" s="27"/>
      <c r="F8030" s="27"/>
      <c r="G8030" s="7"/>
    </row>
    <row r="8031" spans="5:7" x14ac:dyDescent="0.25">
      <c r="E8031" s="27"/>
      <c r="F8031" s="27"/>
      <c r="G8031" s="7"/>
    </row>
    <row r="8032" spans="5:7" x14ac:dyDescent="0.25">
      <c r="E8032" s="27"/>
      <c r="F8032" s="27"/>
      <c r="G8032" s="7"/>
    </row>
    <row r="8033" spans="5:7" x14ac:dyDescent="0.25">
      <c r="E8033" s="27"/>
      <c r="F8033" s="27"/>
      <c r="G8033" s="7"/>
    </row>
    <row r="8034" spans="5:7" x14ac:dyDescent="0.25">
      <c r="E8034" s="27"/>
      <c r="F8034" s="27"/>
      <c r="G8034" s="7"/>
    </row>
    <row r="8035" spans="5:7" x14ac:dyDescent="0.25">
      <c r="E8035" s="27"/>
      <c r="F8035" s="27"/>
      <c r="G8035" s="7"/>
    </row>
    <row r="8036" spans="5:7" x14ac:dyDescent="0.25">
      <c r="E8036" s="27"/>
      <c r="F8036" s="27"/>
      <c r="G8036" s="7"/>
    </row>
    <row r="8037" spans="5:7" x14ac:dyDescent="0.25">
      <c r="E8037" s="27"/>
      <c r="F8037" s="27"/>
      <c r="G8037" s="7"/>
    </row>
    <row r="8038" spans="5:7" x14ac:dyDescent="0.25">
      <c r="E8038" s="27"/>
      <c r="F8038" s="27"/>
      <c r="G8038" s="7"/>
    </row>
    <row r="8039" spans="5:7" x14ac:dyDescent="0.25">
      <c r="E8039" s="27"/>
      <c r="F8039" s="27"/>
      <c r="G8039" s="7"/>
    </row>
    <row r="8040" spans="5:7" x14ac:dyDescent="0.25">
      <c r="E8040" s="27"/>
      <c r="F8040" s="27"/>
      <c r="G8040" s="7"/>
    </row>
    <row r="8041" spans="5:7" x14ac:dyDescent="0.25">
      <c r="E8041" s="27"/>
      <c r="F8041" s="27"/>
      <c r="G8041" s="7"/>
    </row>
    <row r="8042" spans="5:7" x14ac:dyDescent="0.25">
      <c r="E8042" s="27"/>
      <c r="F8042" s="27"/>
      <c r="G8042" s="7"/>
    </row>
    <row r="8043" spans="5:7" x14ac:dyDescent="0.25">
      <c r="E8043" s="27"/>
      <c r="F8043" s="27"/>
      <c r="G8043" s="7"/>
    </row>
    <row r="8044" spans="5:7" x14ac:dyDescent="0.25">
      <c r="E8044" s="27"/>
      <c r="F8044" s="27"/>
      <c r="G8044" s="7"/>
    </row>
    <row r="8045" spans="5:7" x14ac:dyDescent="0.25">
      <c r="E8045" s="27"/>
      <c r="F8045" s="27"/>
      <c r="G8045" s="7"/>
    </row>
    <row r="8046" spans="5:7" x14ac:dyDescent="0.25">
      <c r="E8046" s="27"/>
      <c r="F8046" s="27"/>
      <c r="G8046" s="7"/>
    </row>
    <row r="8047" spans="5:7" x14ac:dyDescent="0.25">
      <c r="E8047" s="27"/>
      <c r="F8047" s="27"/>
      <c r="G8047" s="7"/>
    </row>
    <row r="8048" spans="5:7" x14ac:dyDescent="0.25">
      <c r="E8048" s="27"/>
      <c r="F8048" s="27"/>
      <c r="G8048" s="7"/>
    </row>
    <row r="8049" spans="5:7" x14ac:dyDescent="0.25">
      <c r="E8049" s="27"/>
      <c r="F8049" s="27"/>
      <c r="G8049" s="7"/>
    </row>
    <row r="8050" spans="5:7" x14ac:dyDescent="0.25">
      <c r="E8050" s="27"/>
      <c r="F8050" s="27"/>
      <c r="G8050" s="7"/>
    </row>
    <row r="8051" spans="5:7" x14ac:dyDescent="0.25">
      <c r="E8051" s="27"/>
      <c r="F8051" s="27"/>
      <c r="G8051" s="7"/>
    </row>
    <row r="8052" spans="5:7" x14ac:dyDescent="0.25">
      <c r="E8052" s="27"/>
      <c r="F8052" s="27"/>
      <c r="G8052" s="7"/>
    </row>
    <row r="8053" spans="5:7" x14ac:dyDescent="0.25">
      <c r="E8053" s="27"/>
      <c r="F8053" s="27"/>
      <c r="G8053" s="7"/>
    </row>
    <row r="8054" spans="5:7" x14ac:dyDescent="0.25">
      <c r="E8054" s="27"/>
      <c r="F8054" s="27"/>
      <c r="G8054" s="7"/>
    </row>
    <row r="8055" spans="5:7" x14ac:dyDescent="0.25">
      <c r="E8055" s="27"/>
      <c r="F8055" s="27"/>
      <c r="G8055" s="7"/>
    </row>
    <row r="8056" spans="5:7" x14ac:dyDescent="0.25">
      <c r="E8056" s="27"/>
      <c r="F8056" s="27"/>
      <c r="G8056" s="7"/>
    </row>
    <row r="8057" spans="5:7" x14ac:dyDescent="0.25">
      <c r="E8057" s="27"/>
      <c r="F8057" s="27"/>
      <c r="G8057" s="7"/>
    </row>
    <row r="8058" spans="5:7" x14ac:dyDescent="0.25">
      <c r="E8058" s="27"/>
      <c r="F8058" s="27"/>
      <c r="G8058" s="7"/>
    </row>
    <row r="8059" spans="5:7" x14ac:dyDescent="0.25">
      <c r="E8059" s="27"/>
      <c r="F8059" s="27"/>
      <c r="G8059" s="7"/>
    </row>
    <row r="8060" spans="5:7" x14ac:dyDescent="0.25">
      <c r="E8060" s="27"/>
      <c r="F8060" s="27"/>
      <c r="G8060" s="7"/>
    </row>
    <row r="8061" spans="5:7" x14ac:dyDescent="0.25">
      <c r="E8061" s="27"/>
      <c r="F8061" s="27"/>
      <c r="G8061" s="7"/>
    </row>
    <row r="8062" spans="5:7" x14ac:dyDescent="0.25">
      <c r="E8062" s="27"/>
      <c r="F8062" s="27"/>
      <c r="G8062" s="7"/>
    </row>
    <row r="8063" spans="5:7" x14ac:dyDescent="0.25">
      <c r="E8063" s="27"/>
      <c r="F8063" s="27"/>
      <c r="G8063" s="7"/>
    </row>
    <row r="8064" spans="5:7" x14ac:dyDescent="0.25">
      <c r="E8064" s="27"/>
      <c r="F8064" s="27"/>
      <c r="G8064" s="7"/>
    </row>
    <row r="8065" spans="5:7" x14ac:dyDescent="0.25">
      <c r="E8065" s="27"/>
      <c r="F8065" s="27"/>
      <c r="G8065" s="7"/>
    </row>
    <row r="8066" spans="5:7" x14ac:dyDescent="0.25">
      <c r="E8066" s="27"/>
      <c r="F8066" s="27"/>
      <c r="G8066" s="7"/>
    </row>
    <row r="8067" spans="5:7" x14ac:dyDescent="0.25">
      <c r="E8067" s="27"/>
      <c r="F8067" s="27"/>
      <c r="G8067" s="7"/>
    </row>
    <row r="8068" spans="5:7" x14ac:dyDescent="0.25">
      <c r="E8068" s="27"/>
      <c r="F8068" s="27"/>
      <c r="G8068" s="7"/>
    </row>
    <row r="8069" spans="5:7" x14ac:dyDescent="0.25">
      <c r="E8069" s="27"/>
      <c r="F8069" s="27"/>
      <c r="G8069" s="7"/>
    </row>
    <row r="8070" spans="5:7" x14ac:dyDescent="0.25">
      <c r="E8070" s="27"/>
      <c r="F8070" s="27"/>
      <c r="G8070" s="7"/>
    </row>
    <row r="8071" spans="5:7" x14ac:dyDescent="0.25">
      <c r="E8071" s="27"/>
      <c r="F8071" s="27"/>
      <c r="G8071" s="7"/>
    </row>
    <row r="8072" spans="5:7" x14ac:dyDescent="0.25">
      <c r="E8072" s="27"/>
      <c r="F8072" s="27"/>
      <c r="G8072" s="7"/>
    </row>
    <row r="8073" spans="5:7" x14ac:dyDescent="0.25">
      <c r="E8073" s="27"/>
      <c r="F8073" s="27"/>
      <c r="G8073" s="7"/>
    </row>
    <row r="8074" spans="5:7" x14ac:dyDescent="0.25">
      <c r="E8074" s="27"/>
      <c r="F8074" s="27"/>
      <c r="G8074" s="7"/>
    </row>
    <row r="8075" spans="5:7" x14ac:dyDescent="0.25">
      <c r="E8075" s="27"/>
      <c r="F8075" s="27"/>
      <c r="G8075" s="7"/>
    </row>
    <row r="8076" spans="5:7" x14ac:dyDescent="0.25">
      <c r="E8076" s="27"/>
      <c r="F8076" s="27"/>
      <c r="G8076" s="7"/>
    </row>
    <row r="8077" spans="5:7" x14ac:dyDescent="0.25">
      <c r="E8077" s="27"/>
      <c r="F8077" s="27"/>
      <c r="G8077" s="7"/>
    </row>
    <row r="8078" spans="5:7" x14ac:dyDescent="0.25">
      <c r="E8078" s="27"/>
      <c r="F8078" s="27"/>
      <c r="G8078" s="7"/>
    </row>
    <row r="8079" spans="5:7" x14ac:dyDescent="0.25">
      <c r="E8079" s="27"/>
      <c r="F8079" s="27"/>
      <c r="G8079" s="7"/>
    </row>
    <row r="8080" spans="5:7" x14ac:dyDescent="0.25">
      <c r="E8080" s="27"/>
      <c r="F8080" s="27"/>
      <c r="G8080" s="7"/>
    </row>
    <row r="8081" spans="5:7" x14ac:dyDescent="0.25">
      <c r="E8081" s="27"/>
      <c r="F8081" s="27"/>
      <c r="G8081" s="7"/>
    </row>
    <row r="8082" spans="5:7" x14ac:dyDescent="0.25">
      <c r="E8082" s="27"/>
      <c r="F8082" s="27"/>
      <c r="G8082" s="7"/>
    </row>
    <row r="8083" spans="5:7" x14ac:dyDescent="0.25">
      <c r="E8083" s="27"/>
      <c r="F8083" s="27"/>
      <c r="G8083" s="7"/>
    </row>
    <row r="8084" spans="5:7" x14ac:dyDescent="0.25">
      <c r="E8084" s="27"/>
      <c r="F8084" s="27"/>
      <c r="G8084" s="7"/>
    </row>
    <row r="8085" spans="5:7" x14ac:dyDescent="0.25">
      <c r="E8085" s="27"/>
      <c r="F8085" s="27"/>
      <c r="G8085" s="7"/>
    </row>
    <row r="8086" spans="5:7" x14ac:dyDescent="0.25">
      <c r="E8086" s="27"/>
      <c r="F8086" s="27"/>
      <c r="G8086" s="7"/>
    </row>
    <row r="8087" spans="5:7" x14ac:dyDescent="0.25">
      <c r="E8087" s="27"/>
      <c r="F8087" s="27"/>
      <c r="G8087" s="7"/>
    </row>
    <row r="8088" spans="5:7" x14ac:dyDescent="0.25">
      <c r="E8088" s="27"/>
      <c r="F8088" s="27"/>
      <c r="G8088" s="7"/>
    </row>
    <row r="8089" spans="5:7" x14ac:dyDescent="0.25">
      <c r="E8089" s="27"/>
      <c r="F8089" s="27"/>
      <c r="G8089" s="7"/>
    </row>
    <row r="8090" spans="5:7" x14ac:dyDescent="0.25">
      <c r="E8090" s="27"/>
      <c r="F8090" s="27"/>
      <c r="G8090" s="7"/>
    </row>
    <row r="8091" spans="5:7" x14ac:dyDescent="0.25">
      <c r="E8091" s="27"/>
      <c r="F8091" s="27"/>
      <c r="G8091" s="7"/>
    </row>
    <row r="8092" spans="5:7" x14ac:dyDescent="0.25">
      <c r="E8092" s="27"/>
      <c r="F8092" s="27"/>
      <c r="G8092" s="7"/>
    </row>
    <row r="8093" spans="5:7" x14ac:dyDescent="0.25">
      <c r="E8093" s="27"/>
      <c r="F8093" s="27"/>
      <c r="G8093" s="7"/>
    </row>
    <row r="8094" spans="5:7" x14ac:dyDescent="0.25">
      <c r="E8094" s="27"/>
      <c r="F8094" s="27"/>
      <c r="G8094" s="7"/>
    </row>
    <row r="8095" spans="5:7" x14ac:dyDescent="0.25">
      <c r="E8095" s="27"/>
      <c r="F8095" s="27"/>
      <c r="G8095" s="7"/>
    </row>
    <row r="8096" spans="5:7" x14ac:dyDescent="0.25">
      <c r="E8096" s="27"/>
      <c r="F8096" s="27"/>
      <c r="G8096" s="7"/>
    </row>
    <row r="8097" spans="5:7" x14ac:dyDescent="0.25">
      <c r="E8097" s="27"/>
      <c r="F8097" s="27"/>
      <c r="G8097" s="7"/>
    </row>
    <row r="8098" spans="5:7" x14ac:dyDescent="0.25">
      <c r="E8098" s="27"/>
      <c r="F8098" s="27"/>
      <c r="G8098" s="7"/>
    </row>
    <row r="8099" spans="5:7" x14ac:dyDescent="0.25">
      <c r="E8099" s="27"/>
      <c r="F8099" s="27"/>
      <c r="G8099" s="7"/>
    </row>
    <row r="8100" spans="5:7" x14ac:dyDescent="0.25">
      <c r="E8100" s="27"/>
      <c r="F8100" s="27"/>
      <c r="G8100" s="7"/>
    </row>
    <row r="8101" spans="5:7" x14ac:dyDescent="0.25">
      <c r="E8101" s="27"/>
      <c r="F8101" s="27"/>
      <c r="G8101" s="7"/>
    </row>
    <row r="8102" spans="5:7" x14ac:dyDescent="0.25">
      <c r="E8102" s="27"/>
      <c r="F8102" s="27"/>
      <c r="G8102" s="7"/>
    </row>
    <row r="8103" spans="5:7" x14ac:dyDescent="0.25">
      <c r="E8103" s="27"/>
      <c r="F8103" s="27"/>
      <c r="G8103" s="7"/>
    </row>
    <row r="8104" spans="5:7" x14ac:dyDescent="0.25">
      <c r="E8104" s="27"/>
      <c r="F8104" s="27"/>
      <c r="G8104" s="7"/>
    </row>
    <row r="8105" spans="5:7" x14ac:dyDescent="0.25">
      <c r="E8105" s="27"/>
      <c r="F8105" s="27"/>
      <c r="G8105" s="7"/>
    </row>
    <row r="8106" spans="5:7" x14ac:dyDescent="0.25">
      <c r="E8106" s="27"/>
      <c r="F8106" s="27"/>
      <c r="G8106" s="7"/>
    </row>
    <row r="8107" spans="5:7" x14ac:dyDescent="0.25">
      <c r="E8107" s="27"/>
      <c r="F8107" s="27"/>
      <c r="G8107" s="7"/>
    </row>
    <row r="8108" spans="5:7" x14ac:dyDescent="0.25">
      <c r="E8108" s="27"/>
      <c r="F8108" s="27"/>
      <c r="G8108" s="7"/>
    </row>
    <row r="8109" spans="5:7" x14ac:dyDescent="0.25">
      <c r="E8109" s="27"/>
      <c r="F8109" s="27"/>
      <c r="G8109" s="7"/>
    </row>
    <row r="8110" spans="5:7" x14ac:dyDescent="0.25">
      <c r="E8110" s="27"/>
      <c r="F8110" s="27"/>
      <c r="G8110" s="7"/>
    </row>
    <row r="8111" spans="5:7" x14ac:dyDescent="0.25">
      <c r="E8111" s="27"/>
      <c r="F8111" s="27"/>
      <c r="G8111" s="7"/>
    </row>
    <row r="8112" spans="5:7" x14ac:dyDescent="0.25">
      <c r="E8112" s="27"/>
      <c r="F8112" s="27"/>
      <c r="G8112" s="7"/>
    </row>
    <row r="8113" spans="5:7" x14ac:dyDescent="0.25">
      <c r="E8113" s="27"/>
      <c r="F8113" s="27"/>
      <c r="G8113" s="7"/>
    </row>
    <row r="8114" spans="5:7" x14ac:dyDescent="0.25">
      <c r="E8114" s="27"/>
      <c r="F8114" s="27"/>
      <c r="G8114" s="7"/>
    </row>
    <row r="8115" spans="5:7" x14ac:dyDescent="0.25">
      <c r="E8115" s="27"/>
      <c r="F8115" s="27"/>
      <c r="G8115" s="7"/>
    </row>
    <row r="8116" spans="5:7" x14ac:dyDescent="0.25">
      <c r="E8116" s="27"/>
      <c r="F8116" s="27"/>
      <c r="G8116" s="7"/>
    </row>
    <row r="8117" spans="5:7" x14ac:dyDescent="0.25">
      <c r="E8117" s="27"/>
      <c r="F8117" s="27"/>
      <c r="G8117" s="7"/>
    </row>
    <row r="8118" spans="5:7" x14ac:dyDescent="0.25">
      <c r="E8118" s="27"/>
      <c r="F8118" s="27"/>
      <c r="G8118" s="7"/>
    </row>
    <row r="8119" spans="5:7" x14ac:dyDescent="0.25">
      <c r="E8119" s="27"/>
      <c r="F8119" s="27"/>
      <c r="G8119" s="7"/>
    </row>
    <row r="8120" spans="5:7" x14ac:dyDescent="0.25">
      <c r="E8120" s="27"/>
      <c r="F8120" s="27"/>
      <c r="G8120" s="7"/>
    </row>
    <row r="8121" spans="5:7" x14ac:dyDescent="0.25">
      <c r="E8121" s="27"/>
      <c r="F8121" s="27"/>
      <c r="G8121" s="7"/>
    </row>
    <row r="8122" spans="5:7" x14ac:dyDescent="0.25">
      <c r="E8122" s="27"/>
      <c r="F8122" s="27"/>
      <c r="G8122" s="7"/>
    </row>
    <row r="8123" spans="5:7" x14ac:dyDescent="0.25">
      <c r="E8123" s="27"/>
      <c r="F8123" s="27"/>
      <c r="G8123" s="7"/>
    </row>
    <row r="8124" spans="5:7" x14ac:dyDescent="0.25">
      <c r="E8124" s="27"/>
      <c r="F8124" s="27"/>
      <c r="G8124" s="7"/>
    </row>
    <row r="8125" spans="5:7" x14ac:dyDescent="0.25">
      <c r="E8125" s="27"/>
      <c r="F8125" s="27"/>
      <c r="G8125" s="7"/>
    </row>
    <row r="8126" spans="5:7" x14ac:dyDescent="0.25">
      <c r="E8126" s="27"/>
      <c r="F8126" s="27"/>
      <c r="G8126" s="7"/>
    </row>
    <row r="8127" spans="5:7" x14ac:dyDescent="0.25">
      <c r="E8127" s="27"/>
      <c r="F8127" s="27"/>
      <c r="G8127" s="7"/>
    </row>
    <row r="8128" spans="5:7" x14ac:dyDescent="0.25">
      <c r="E8128" s="27"/>
      <c r="F8128" s="27"/>
      <c r="G8128" s="7"/>
    </row>
    <row r="8129" spans="5:7" x14ac:dyDescent="0.25">
      <c r="E8129" s="27"/>
      <c r="F8129" s="27"/>
      <c r="G8129" s="7"/>
    </row>
    <row r="8130" spans="5:7" x14ac:dyDescent="0.25">
      <c r="E8130" s="27"/>
      <c r="F8130" s="27"/>
      <c r="G8130" s="7"/>
    </row>
    <row r="8131" spans="5:7" x14ac:dyDescent="0.25">
      <c r="E8131" s="27"/>
      <c r="F8131" s="27"/>
      <c r="G8131" s="7"/>
    </row>
    <row r="8132" spans="5:7" x14ac:dyDescent="0.25">
      <c r="E8132" s="27"/>
      <c r="F8132" s="27"/>
      <c r="G8132" s="7"/>
    </row>
    <row r="8133" spans="5:7" x14ac:dyDescent="0.25">
      <c r="E8133" s="27"/>
      <c r="F8133" s="27"/>
      <c r="G8133" s="7"/>
    </row>
    <row r="8134" spans="5:7" x14ac:dyDescent="0.25">
      <c r="E8134" s="27"/>
      <c r="F8134" s="27"/>
      <c r="G8134" s="7"/>
    </row>
    <row r="8135" spans="5:7" x14ac:dyDescent="0.25">
      <c r="E8135" s="27"/>
      <c r="F8135" s="27"/>
      <c r="G8135" s="7"/>
    </row>
    <row r="8136" spans="5:7" x14ac:dyDescent="0.25">
      <c r="E8136" s="27"/>
      <c r="F8136" s="27"/>
      <c r="G8136" s="7"/>
    </row>
    <row r="8137" spans="5:7" x14ac:dyDescent="0.25">
      <c r="E8137" s="27"/>
      <c r="F8137" s="27"/>
      <c r="G8137" s="7"/>
    </row>
    <row r="8138" spans="5:7" x14ac:dyDescent="0.25">
      <c r="E8138" s="27"/>
      <c r="F8138" s="27"/>
      <c r="G8138" s="7"/>
    </row>
    <row r="8139" spans="5:7" x14ac:dyDescent="0.25">
      <c r="E8139" s="27"/>
      <c r="F8139" s="27"/>
      <c r="G8139" s="7"/>
    </row>
    <row r="8140" spans="5:7" x14ac:dyDescent="0.25">
      <c r="E8140" s="27"/>
      <c r="F8140" s="27"/>
      <c r="G8140" s="7"/>
    </row>
    <row r="8141" spans="5:7" x14ac:dyDescent="0.25">
      <c r="E8141" s="27"/>
      <c r="F8141" s="27"/>
      <c r="G8141" s="7"/>
    </row>
    <row r="8142" spans="5:7" x14ac:dyDescent="0.25">
      <c r="E8142" s="27"/>
      <c r="F8142" s="27"/>
      <c r="G8142" s="7"/>
    </row>
    <row r="8143" spans="5:7" x14ac:dyDescent="0.25">
      <c r="E8143" s="27"/>
      <c r="F8143" s="27"/>
      <c r="G8143" s="7"/>
    </row>
    <row r="8144" spans="5:7" x14ac:dyDescent="0.25">
      <c r="E8144" s="27"/>
      <c r="F8144" s="27"/>
      <c r="G8144" s="7"/>
    </row>
    <row r="8145" spans="5:7" x14ac:dyDescent="0.25">
      <c r="E8145" s="27"/>
      <c r="F8145" s="27"/>
      <c r="G8145" s="7"/>
    </row>
    <row r="8146" spans="5:7" x14ac:dyDescent="0.25">
      <c r="E8146" s="27"/>
      <c r="F8146" s="27"/>
      <c r="G8146" s="7"/>
    </row>
    <row r="8147" spans="5:7" x14ac:dyDescent="0.25">
      <c r="E8147" s="27"/>
      <c r="F8147" s="27"/>
      <c r="G8147" s="7"/>
    </row>
    <row r="8148" spans="5:7" x14ac:dyDescent="0.25">
      <c r="E8148" s="27"/>
      <c r="F8148" s="27"/>
      <c r="G8148" s="7"/>
    </row>
    <row r="8149" spans="5:7" x14ac:dyDescent="0.25">
      <c r="E8149" s="27"/>
      <c r="F8149" s="27"/>
      <c r="G8149" s="7"/>
    </row>
    <row r="8150" spans="5:7" x14ac:dyDescent="0.25">
      <c r="E8150" s="27"/>
      <c r="F8150" s="27"/>
      <c r="G8150" s="7"/>
    </row>
    <row r="8151" spans="5:7" x14ac:dyDescent="0.25">
      <c r="E8151" s="27"/>
      <c r="F8151" s="27"/>
      <c r="G8151" s="7"/>
    </row>
    <row r="8152" spans="5:7" x14ac:dyDescent="0.25">
      <c r="E8152" s="27"/>
      <c r="F8152" s="27"/>
      <c r="G8152" s="7"/>
    </row>
    <row r="8153" spans="5:7" x14ac:dyDescent="0.25">
      <c r="E8153" s="27"/>
      <c r="F8153" s="27"/>
      <c r="G8153" s="7"/>
    </row>
    <row r="8154" spans="5:7" x14ac:dyDescent="0.25">
      <c r="E8154" s="27"/>
      <c r="F8154" s="27"/>
      <c r="G8154" s="7"/>
    </row>
    <row r="8155" spans="5:7" x14ac:dyDescent="0.25">
      <c r="E8155" s="27"/>
      <c r="F8155" s="27"/>
      <c r="G8155" s="7"/>
    </row>
    <row r="8156" spans="5:7" x14ac:dyDescent="0.25">
      <c r="E8156" s="27"/>
      <c r="F8156" s="27"/>
      <c r="G8156" s="7"/>
    </row>
    <row r="8157" spans="5:7" x14ac:dyDescent="0.25">
      <c r="E8157" s="27"/>
      <c r="F8157" s="27"/>
      <c r="G8157" s="7"/>
    </row>
    <row r="8158" spans="5:7" x14ac:dyDescent="0.25">
      <c r="E8158" s="27"/>
      <c r="F8158" s="27"/>
      <c r="G8158" s="7"/>
    </row>
    <row r="8159" spans="5:7" x14ac:dyDescent="0.25">
      <c r="E8159" s="27"/>
      <c r="F8159" s="27"/>
      <c r="G8159" s="7"/>
    </row>
    <row r="8160" spans="5:7" x14ac:dyDescent="0.25">
      <c r="E8160" s="27"/>
      <c r="F8160" s="27"/>
      <c r="G8160" s="7"/>
    </row>
    <row r="8161" spans="5:7" x14ac:dyDescent="0.25">
      <c r="E8161" s="27"/>
      <c r="F8161" s="27"/>
      <c r="G8161" s="7"/>
    </row>
    <row r="8162" spans="5:7" x14ac:dyDescent="0.25">
      <c r="E8162" s="27"/>
      <c r="F8162" s="27"/>
      <c r="G8162" s="7"/>
    </row>
    <row r="8163" spans="5:7" x14ac:dyDescent="0.25">
      <c r="E8163" s="27"/>
      <c r="F8163" s="27"/>
      <c r="G8163" s="7"/>
    </row>
    <row r="8164" spans="5:7" x14ac:dyDescent="0.25">
      <c r="E8164" s="27"/>
      <c r="F8164" s="27"/>
      <c r="G8164" s="7"/>
    </row>
    <row r="8165" spans="5:7" x14ac:dyDescent="0.25">
      <c r="E8165" s="27"/>
      <c r="F8165" s="27"/>
      <c r="G8165" s="7"/>
    </row>
    <row r="8166" spans="5:7" x14ac:dyDescent="0.25">
      <c r="E8166" s="27"/>
      <c r="F8166" s="27"/>
      <c r="G8166" s="7"/>
    </row>
    <row r="8167" spans="5:7" x14ac:dyDescent="0.25">
      <c r="E8167" s="27"/>
      <c r="F8167" s="27"/>
      <c r="G8167" s="7"/>
    </row>
    <row r="8168" spans="5:7" x14ac:dyDescent="0.25">
      <c r="E8168" s="27"/>
      <c r="F8168" s="27"/>
      <c r="G8168" s="7"/>
    </row>
    <row r="8169" spans="5:7" x14ac:dyDescent="0.25">
      <c r="E8169" s="27"/>
      <c r="F8169" s="27"/>
      <c r="G8169" s="7"/>
    </row>
    <row r="8170" spans="5:7" x14ac:dyDescent="0.25">
      <c r="E8170" s="27"/>
      <c r="F8170" s="27"/>
      <c r="G8170" s="7"/>
    </row>
    <row r="8171" spans="5:7" x14ac:dyDescent="0.25">
      <c r="E8171" s="27"/>
      <c r="F8171" s="27"/>
      <c r="G8171" s="7"/>
    </row>
    <row r="8172" spans="5:7" x14ac:dyDescent="0.25">
      <c r="E8172" s="27"/>
      <c r="F8172" s="27"/>
      <c r="G8172" s="7"/>
    </row>
    <row r="8173" spans="5:7" x14ac:dyDescent="0.25">
      <c r="E8173" s="27"/>
      <c r="F8173" s="27"/>
      <c r="G8173" s="7"/>
    </row>
    <row r="8174" spans="5:7" x14ac:dyDescent="0.25">
      <c r="E8174" s="27"/>
      <c r="F8174" s="27"/>
      <c r="G8174" s="7"/>
    </row>
    <row r="8175" spans="5:7" x14ac:dyDescent="0.25">
      <c r="E8175" s="27"/>
      <c r="F8175" s="27"/>
      <c r="G8175" s="7"/>
    </row>
    <row r="8176" spans="5:7" x14ac:dyDescent="0.25">
      <c r="E8176" s="27"/>
      <c r="F8176" s="27"/>
      <c r="G8176" s="7"/>
    </row>
    <row r="8177" spans="5:7" x14ac:dyDescent="0.25">
      <c r="E8177" s="27"/>
      <c r="F8177" s="27"/>
      <c r="G8177" s="7"/>
    </row>
    <row r="8178" spans="5:7" x14ac:dyDescent="0.25">
      <c r="E8178" s="27"/>
      <c r="F8178" s="27"/>
      <c r="G8178" s="7"/>
    </row>
    <row r="8179" spans="5:7" x14ac:dyDescent="0.25">
      <c r="E8179" s="27"/>
      <c r="F8179" s="27"/>
      <c r="G8179" s="7"/>
    </row>
    <row r="8180" spans="5:7" x14ac:dyDescent="0.25">
      <c r="E8180" s="27"/>
      <c r="F8180" s="27"/>
      <c r="G8180" s="7"/>
    </row>
    <row r="8181" spans="5:7" x14ac:dyDescent="0.25">
      <c r="E8181" s="27"/>
      <c r="F8181" s="27"/>
      <c r="G8181" s="7"/>
    </row>
    <row r="8182" spans="5:7" x14ac:dyDescent="0.25">
      <c r="E8182" s="27"/>
      <c r="F8182" s="27"/>
      <c r="G8182" s="7"/>
    </row>
    <row r="8183" spans="5:7" x14ac:dyDescent="0.25">
      <c r="E8183" s="27"/>
      <c r="F8183" s="27"/>
      <c r="G8183" s="7"/>
    </row>
    <row r="8184" spans="5:7" x14ac:dyDescent="0.25">
      <c r="E8184" s="27"/>
      <c r="F8184" s="27"/>
      <c r="G8184" s="7"/>
    </row>
    <row r="8185" spans="5:7" x14ac:dyDescent="0.25">
      <c r="E8185" s="27"/>
      <c r="F8185" s="27"/>
      <c r="G8185" s="7"/>
    </row>
    <row r="8186" spans="5:7" x14ac:dyDescent="0.25">
      <c r="E8186" s="27"/>
      <c r="F8186" s="27"/>
      <c r="G8186" s="7"/>
    </row>
    <row r="8187" spans="5:7" x14ac:dyDescent="0.25">
      <c r="E8187" s="27"/>
      <c r="F8187" s="27"/>
      <c r="G8187" s="7"/>
    </row>
    <row r="8188" spans="5:7" x14ac:dyDescent="0.25">
      <c r="E8188" s="27"/>
      <c r="F8188" s="27"/>
      <c r="G8188" s="7"/>
    </row>
    <row r="8189" spans="5:7" x14ac:dyDescent="0.25">
      <c r="E8189" s="27"/>
      <c r="F8189" s="27"/>
      <c r="G8189" s="7"/>
    </row>
    <row r="8190" spans="5:7" x14ac:dyDescent="0.25">
      <c r="E8190" s="27"/>
      <c r="F8190" s="27"/>
      <c r="G8190" s="7"/>
    </row>
    <row r="8191" spans="5:7" x14ac:dyDescent="0.25">
      <c r="E8191" s="27"/>
      <c r="F8191" s="27"/>
      <c r="G8191" s="7"/>
    </row>
    <row r="8192" spans="5:7" x14ac:dyDescent="0.25">
      <c r="E8192" s="27"/>
      <c r="F8192" s="27"/>
      <c r="G8192" s="7"/>
    </row>
    <row r="8193" spans="5:7" x14ac:dyDescent="0.25">
      <c r="E8193" s="27"/>
      <c r="F8193" s="27"/>
      <c r="G8193" s="7"/>
    </row>
    <row r="8194" spans="5:7" x14ac:dyDescent="0.25">
      <c r="E8194" s="27"/>
      <c r="F8194" s="27"/>
      <c r="G8194" s="7"/>
    </row>
    <row r="8195" spans="5:7" x14ac:dyDescent="0.25">
      <c r="E8195" s="27"/>
      <c r="F8195" s="27"/>
      <c r="G8195" s="7"/>
    </row>
    <row r="8196" spans="5:7" x14ac:dyDescent="0.25">
      <c r="E8196" s="27"/>
      <c r="F8196" s="27"/>
      <c r="G8196" s="7"/>
    </row>
    <row r="8197" spans="5:7" x14ac:dyDescent="0.25">
      <c r="E8197" s="27"/>
      <c r="F8197" s="27"/>
      <c r="G8197" s="7"/>
    </row>
    <row r="8198" spans="5:7" x14ac:dyDescent="0.25">
      <c r="E8198" s="27"/>
      <c r="F8198" s="27"/>
      <c r="G8198" s="7"/>
    </row>
    <row r="8199" spans="5:7" x14ac:dyDescent="0.25">
      <c r="E8199" s="27"/>
      <c r="F8199" s="27"/>
      <c r="G8199" s="7"/>
    </row>
    <row r="8200" spans="5:7" x14ac:dyDescent="0.25">
      <c r="E8200" s="27"/>
      <c r="F8200" s="27"/>
      <c r="G8200" s="7"/>
    </row>
    <row r="8201" spans="5:7" x14ac:dyDescent="0.25">
      <c r="E8201" s="27"/>
      <c r="F8201" s="27"/>
      <c r="G8201" s="7"/>
    </row>
    <row r="8202" spans="5:7" x14ac:dyDescent="0.25">
      <c r="E8202" s="27"/>
      <c r="F8202" s="27"/>
      <c r="G8202" s="7"/>
    </row>
    <row r="8203" spans="5:7" x14ac:dyDescent="0.25">
      <c r="E8203" s="27"/>
      <c r="F8203" s="27"/>
      <c r="G8203" s="7"/>
    </row>
    <row r="8204" spans="5:7" x14ac:dyDescent="0.25">
      <c r="E8204" s="27"/>
      <c r="F8204" s="27"/>
      <c r="G8204" s="7"/>
    </row>
    <row r="8205" spans="5:7" x14ac:dyDescent="0.25">
      <c r="E8205" s="27"/>
      <c r="F8205" s="27"/>
      <c r="G8205" s="7"/>
    </row>
    <row r="8206" spans="5:7" x14ac:dyDescent="0.25">
      <c r="E8206" s="27"/>
      <c r="F8206" s="27"/>
      <c r="G8206" s="7"/>
    </row>
    <row r="8207" spans="5:7" x14ac:dyDescent="0.25">
      <c r="E8207" s="27"/>
      <c r="F8207" s="27"/>
      <c r="G8207" s="7"/>
    </row>
    <row r="8208" spans="5:7" x14ac:dyDescent="0.25">
      <c r="E8208" s="27"/>
      <c r="F8208" s="27"/>
      <c r="G8208" s="7"/>
    </row>
    <row r="8209" spans="5:7" x14ac:dyDescent="0.25">
      <c r="E8209" s="27"/>
      <c r="F8209" s="27"/>
      <c r="G8209" s="7"/>
    </row>
    <row r="8210" spans="5:7" x14ac:dyDescent="0.25">
      <c r="E8210" s="27"/>
      <c r="F8210" s="27"/>
      <c r="G8210" s="7"/>
    </row>
    <row r="8211" spans="5:7" x14ac:dyDescent="0.25">
      <c r="E8211" s="27"/>
      <c r="F8211" s="27"/>
      <c r="G8211" s="7"/>
    </row>
    <row r="8212" spans="5:7" x14ac:dyDescent="0.25">
      <c r="E8212" s="27"/>
      <c r="F8212" s="27"/>
      <c r="G8212" s="7"/>
    </row>
    <row r="8213" spans="5:7" x14ac:dyDescent="0.25">
      <c r="E8213" s="27"/>
      <c r="F8213" s="27"/>
      <c r="G8213" s="7"/>
    </row>
    <row r="8214" spans="5:7" x14ac:dyDescent="0.25">
      <c r="E8214" s="27"/>
      <c r="F8214" s="27"/>
      <c r="G8214" s="7"/>
    </row>
    <row r="8215" spans="5:7" x14ac:dyDescent="0.25">
      <c r="E8215" s="27"/>
      <c r="F8215" s="27"/>
      <c r="G8215" s="7"/>
    </row>
    <row r="8216" spans="5:7" x14ac:dyDescent="0.25">
      <c r="E8216" s="27"/>
      <c r="F8216" s="27"/>
      <c r="G8216" s="7"/>
    </row>
    <row r="8217" spans="5:7" x14ac:dyDescent="0.25">
      <c r="E8217" s="27"/>
      <c r="F8217" s="27"/>
      <c r="G8217" s="7"/>
    </row>
    <row r="8218" spans="5:7" x14ac:dyDescent="0.25">
      <c r="E8218" s="27"/>
      <c r="F8218" s="27"/>
      <c r="G8218" s="7"/>
    </row>
    <row r="8219" spans="5:7" x14ac:dyDescent="0.25">
      <c r="E8219" s="27"/>
      <c r="F8219" s="27"/>
      <c r="G8219" s="7"/>
    </row>
    <row r="8220" spans="5:7" x14ac:dyDescent="0.25">
      <c r="E8220" s="27"/>
      <c r="F8220" s="27"/>
      <c r="G8220" s="7"/>
    </row>
    <row r="8221" spans="5:7" x14ac:dyDescent="0.25">
      <c r="E8221" s="27"/>
      <c r="F8221" s="27"/>
      <c r="G8221" s="7"/>
    </row>
    <row r="8222" spans="5:7" x14ac:dyDescent="0.25">
      <c r="E8222" s="27"/>
      <c r="F8222" s="27"/>
      <c r="G8222" s="7"/>
    </row>
    <row r="8223" spans="5:7" x14ac:dyDescent="0.25">
      <c r="E8223" s="27"/>
      <c r="F8223" s="27"/>
      <c r="G8223" s="7"/>
    </row>
    <row r="8224" spans="5:7" x14ac:dyDescent="0.25">
      <c r="E8224" s="27"/>
      <c r="F8224" s="27"/>
      <c r="G8224" s="7"/>
    </row>
    <row r="8225" spans="5:7" x14ac:dyDescent="0.25">
      <c r="E8225" s="27"/>
      <c r="F8225" s="27"/>
      <c r="G8225" s="7"/>
    </row>
    <row r="8226" spans="5:7" x14ac:dyDescent="0.25">
      <c r="E8226" s="27"/>
      <c r="F8226" s="27"/>
      <c r="G8226" s="7"/>
    </row>
    <row r="8227" spans="5:7" x14ac:dyDescent="0.25">
      <c r="E8227" s="27"/>
      <c r="F8227" s="27"/>
      <c r="G8227" s="7"/>
    </row>
    <row r="8228" spans="5:7" x14ac:dyDescent="0.25">
      <c r="E8228" s="27"/>
      <c r="F8228" s="27"/>
      <c r="G8228" s="7"/>
    </row>
    <row r="8229" spans="5:7" x14ac:dyDescent="0.25">
      <c r="E8229" s="27"/>
      <c r="F8229" s="27"/>
      <c r="G8229" s="7"/>
    </row>
    <row r="8230" spans="5:7" x14ac:dyDescent="0.25">
      <c r="E8230" s="27"/>
      <c r="F8230" s="27"/>
      <c r="G8230" s="7"/>
    </row>
    <row r="8231" spans="5:7" x14ac:dyDescent="0.25">
      <c r="E8231" s="27"/>
      <c r="F8231" s="27"/>
      <c r="G8231" s="7"/>
    </row>
    <row r="8232" spans="5:7" x14ac:dyDescent="0.25">
      <c r="E8232" s="27"/>
      <c r="F8232" s="27"/>
      <c r="G8232" s="7"/>
    </row>
    <row r="8233" spans="5:7" x14ac:dyDescent="0.25">
      <c r="E8233" s="27"/>
      <c r="F8233" s="27"/>
      <c r="G8233" s="7"/>
    </row>
    <row r="8234" spans="5:7" x14ac:dyDescent="0.25">
      <c r="E8234" s="27"/>
      <c r="F8234" s="27"/>
      <c r="G8234" s="7"/>
    </row>
    <row r="8235" spans="5:7" x14ac:dyDescent="0.25">
      <c r="E8235" s="27"/>
      <c r="F8235" s="27"/>
      <c r="G8235" s="7"/>
    </row>
    <row r="8236" spans="5:7" x14ac:dyDescent="0.25">
      <c r="E8236" s="27"/>
      <c r="F8236" s="27"/>
      <c r="G8236" s="7"/>
    </row>
    <row r="8237" spans="5:7" x14ac:dyDescent="0.25">
      <c r="E8237" s="27"/>
      <c r="F8237" s="27"/>
      <c r="G8237" s="7"/>
    </row>
    <row r="8238" spans="5:7" x14ac:dyDescent="0.25">
      <c r="E8238" s="27"/>
      <c r="F8238" s="27"/>
      <c r="G8238" s="7"/>
    </row>
    <row r="8239" spans="5:7" x14ac:dyDescent="0.25">
      <c r="E8239" s="27"/>
      <c r="F8239" s="27"/>
      <c r="G8239" s="7"/>
    </row>
    <row r="8240" spans="5:7" x14ac:dyDescent="0.25">
      <c r="E8240" s="27"/>
      <c r="F8240" s="27"/>
      <c r="G8240" s="7"/>
    </row>
    <row r="8241" spans="5:7" x14ac:dyDescent="0.25">
      <c r="E8241" s="27"/>
      <c r="F8241" s="27"/>
      <c r="G8241" s="7"/>
    </row>
    <row r="8242" spans="5:7" x14ac:dyDescent="0.25">
      <c r="E8242" s="27"/>
      <c r="F8242" s="27"/>
      <c r="G8242" s="7"/>
    </row>
    <row r="8243" spans="5:7" x14ac:dyDescent="0.25">
      <c r="E8243" s="27"/>
      <c r="F8243" s="27"/>
      <c r="G8243" s="7"/>
    </row>
    <row r="8244" spans="5:7" x14ac:dyDescent="0.25">
      <c r="E8244" s="27"/>
      <c r="F8244" s="27"/>
      <c r="G8244" s="7"/>
    </row>
    <row r="8245" spans="5:7" x14ac:dyDescent="0.25">
      <c r="E8245" s="27"/>
      <c r="F8245" s="27"/>
      <c r="G8245" s="7"/>
    </row>
    <row r="8246" spans="5:7" x14ac:dyDescent="0.25">
      <c r="E8246" s="27"/>
      <c r="F8246" s="27"/>
      <c r="G8246" s="7"/>
    </row>
    <row r="8247" spans="5:7" x14ac:dyDescent="0.25">
      <c r="E8247" s="27"/>
      <c r="F8247" s="27"/>
      <c r="G8247" s="7"/>
    </row>
    <row r="8248" spans="5:7" x14ac:dyDescent="0.25">
      <c r="E8248" s="27"/>
      <c r="F8248" s="27"/>
      <c r="G8248" s="7"/>
    </row>
    <row r="8249" spans="5:7" x14ac:dyDescent="0.25">
      <c r="E8249" s="27"/>
      <c r="F8249" s="27"/>
      <c r="G8249" s="7"/>
    </row>
    <row r="8250" spans="5:7" x14ac:dyDescent="0.25">
      <c r="E8250" s="27"/>
      <c r="F8250" s="27"/>
      <c r="G8250" s="7"/>
    </row>
    <row r="8251" spans="5:7" x14ac:dyDescent="0.25">
      <c r="E8251" s="27"/>
      <c r="F8251" s="27"/>
      <c r="G8251" s="7"/>
    </row>
    <row r="8252" spans="5:7" x14ac:dyDescent="0.25">
      <c r="E8252" s="27"/>
      <c r="F8252" s="27"/>
      <c r="G8252" s="7"/>
    </row>
    <row r="8253" spans="5:7" x14ac:dyDescent="0.25">
      <c r="E8253" s="27"/>
      <c r="F8253" s="27"/>
      <c r="G8253" s="7"/>
    </row>
    <row r="8254" spans="5:7" x14ac:dyDescent="0.25">
      <c r="E8254" s="27"/>
      <c r="F8254" s="27"/>
      <c r="G8254" s="7"/>
    </row>
    <row r="8255" spans="5:7" x14ac:dyDescent="0.25">
      <c r="E8255" s="27"/>
      <c r="F8255" s="27"/>
      <c r="G8255" s="7"/>
    </row>
    <row r="8256" spans="5:7" x14ac:dyDescent="0.25">
      <c r="E8256" s="27"/>
      <c r="F8256" s="27"/>
      <c r="G8256" s="7"/>
    </row>
    <row r="8257" spans="5:7" x14ac:dyDescent="0.25">
      <c r="E8257" s="27"/>
      <c r="F8257" s="27"/>
      <c r="G8257" s="7"/>
    </row>
    <row r="8258" spans="5:7" x14ac:dyDescent="0.25">
      <c r="E8258" s="27"/>
      <c r="F8258" s="27"/>
      <c r="G8258" s="7"/>
    </row>
    <row r="8259" spans="5:7" x14ac:dyDescent="0.25">
      <c r="E8259" s="27"/>
      <c r="F8259" s="27"/>
      <c r="G8259" s="7"/>
    </row>
    <row r="8260" spans="5:7" x14ac:dyDescent="0.25">
      <c r="E8260" s="27"/>
      <c r="F8260" s="27"/>
      <c r="G8260" s="7"/>
    </row>
    <row r="8261" spans="5:7" x14ac:dyDescent="0.25">
      <c r="E8261" s="27"/>
      <c r="F8261" s="27"/>
      <c r="G8261" s="7"/>
    </row>
    <row r="8262" spans="5:7" x14ac:dyDescent="0.25">
      <c r="E8262" s="27"/>
      <c r="F8262" s="27"/>
      <c r="G8262" s="7"/>
    </row>
    <row r="8263" spans="5:7" x14ac:dyDescent="0.25">
      <c r="E8263" s="27"/>
      <c r="F8263" s="27"/>
      <c r="G8263" s="7"/>
    </row>
    <row r="8264" spans="5:7" x14ac:dyDescent="0.25">
      <c r="E8264" s="27"/>
      <c r="F8264" s="27"/>
      <c r="G8264" s="7"/>
    </row>
    <row r="8265" spans="5:7" x14ac:dyDescent="0.25">
      <c r="E8265" s="27"/>
      <c r="F8265" s="27"/>
      <c r="G8265" s="7"/>
    </row>
    <row r="8266" spans="5:7" x14ac:dyDescent="0.25">
      <c r="E8266" s="27"/>
      <c r="F8266" s="27"/>
      <c r="G8266" s="7"/>
    </row>
    <row r="8267" spans="5:7" x14ac:dyDescent="0.25">
      <c r="E8267" s="27"/>
      <c r="F8267" s="27"/>
      <c r="G8267" s="7"/>
    </row>
    <row r="8268" spans="5:7" x14ac:dyDescent="0.25">
      <c r="E8268" s="27"/>
      <c r="F8268" s="27"/>
      <c r="G8268" s="7"/>
    </row>
    <row r="8269" spans="5:7" x14ac:dyDescent="0.25">
      <c r="E8269" s="27"/>
      <c r="F8269" s="27"/>
      <c r="G8269" s="7"/>
    </row>
    <row r="8270" spans="5:7" x14ac:dyDescent="0.25">
      <c r="E8270" s="27"/>
      <c r="F8270" s="27"/>
      <c r="G8270" s="7"/>
    </row>
    <row r="8271" spans="5:7" x14ac:dyDescent="0.25">
      <c r="E8271" s="27"/>
      <c r="F8271" s="27"/>
      <c r="G8271" s="7"/>
    </row>
    <row r="8272" spans="5:7" x14ac:dyDescent="0.25">
      <c r="E8272" s="27"/>
      <c r="F8272" s="27"/>
      <c r="G8272" s="7"/>
    </row>
    <row r="8273" spans="5:7" x14ac:dyDescent="0.25">
      <c r="E8273" s="27"/>
      <c r="F8273" s="27"/>
      <c r="G8273" s="7"/>
    </row>
    <row r="8274" spans="5:7" x14ac:dyDescent="0.25">
      <c r="E8274" s="27"/>
      <c r="F8274" s="27"/>
      <c r="G8274" s="7"/>
    </row>
    <row r="8275" spans="5:7" x14ac:dyDescent="0.25">
      <c r="E8275" s="27"/>
      <c r="F8275" s="27"/>
      <c r="G8275" s="7"/>
    </row>
    <row r="8276" spans="5:7" x14ac:dyDescent="0.25">
      <c r="E8276" s="27"/>
      <c r="F8276" s="27"/>
      <c r="G8276" s="7"/>
    </row>
    <row r="8277" spans="5:7" x14ac:dyDescent="0.25">
      <c r="E8277" s="27"/>
      <c r="F8277" s="27"/>
      <c r="G8277" s="7"/>
    </row>
    <row r="8278" spans="5:7" x14ac:dyDescent="0.25">
      <c r="E8278" s="27"/>
      <c r="F8278" s="27"/>
      <c r="G8278" s="7"/>
    </row>
    <row r="8279" spans="5:7" x14ac:dyDescent="0.25">
      <c r="E8279" s="27"/>
      <c r="F8279" s="27"/>
      <c r="G8279" s="7"/>
    </row>
    <row r="8280" spans="5:7" x14ac:dyDescent="0.25">
      <c r="E8280" s="27"/>
      <c r="F8280" s="27"/>
      <c r="G8280" s="7"/>
    </row>
    <row r="8281" spans="5:7" x14ac:dyDescent="0.25">
      <c r="E8281" s="27"/>
      <c r="F8281" s="27"/>
      <c r="G8281" s="7"/>
    </row>
    <row r="8282" spans="5:7" x14ac:dyDescent="0.25">
      <c r="E8282" s="27"/>
      <c r="F8282" s="27"/>
      <c r="G8282" s="7"/>
    </row>
    <row r="8283" spans="5:7" x14ac:dyDescent="0.25">
      <c r="E8283" s="27"/>
      <c r="F8283" s="27"/>
      <c r="G8283" s="7"/>
    </row>
    <row r="8284" spans="5:7" x14ac:dyDescent="0.25">
      <c r="E8284" s="27"/>
      <c r="F8284" s="27"/>
      <c r="G8284" s="7"/>
    </row>
    <row r="8285" spans="5:7" x14ac:dyDescent="0.25">
      <c r="E8285" s="27"/>
      <c r="F8285" s="27"/>
      <c r="G8285" s="7"/>
    </row>
    <row r="8286" spans="5:7" x14ac:dyDescent="0.25">
      <c r="E8286" s="27"/>
      <c r="F8286" s="27"/>
      <c r="G8286" s="7"/>
    </row>
    <row r="8287" spans="5:7" x14ac:dyDescent="0.25">
      <c r="E8287" s="27"/>
      <c r="F8287" s="27"/>
      <c r="G8287" s="7"/>
    </row>
    <row r="8288" spans="5:7" x14ac:dyDescent="0.25">
      <c r="E8288" s="27"/>
      <c r="F8288" s="27"/>
      <c r="G8288" s="7"/>
    </row>
    <row r="8289" spans="5:7" x14ac:dyDescent="0.25">
      <c r="E8289" s="27"/>
      <c r="F8289" s="27"/>
      <c r="G8289" s="7"/>
    </row>
    <row r="8290" spans="5:7" x14ac:dyDescent="0.25">
      <c r="E8290" s="27"/>
      <c r="F8290" s="27"/>
      <c r="G8290" s="7"/>
    </row>
    <row r="8291" spans="5:7" x14ac:dyDescent="0.25">
      <c r="E8291" s="27"/>
      <c r="F8291" s="27"/>
      <c r="G8291" s="7"/>
    </row>
    <row r="8292" spans="5:7" x14ac:dyDescent="0.25">
      <c r="E8292" s="27"/>
      <c r="F8292" s="27"/>
      <c r="G8292" s="7"/>
    </row>
    <row r="8293" spans="5:7" x14ac:dyDescent="0.25">
      <c r="E8293" s="27"/>
      <c r="F8293" s="27"/>
      <c r="G8293" s="7"/>
    </row>
    <row r="8294" spans="5:7" x14ac:dyDescent="0.25">
      <c r="E8294" s="27"/>
      <c r="F8294" s="27"/>
      <c r="G8294" s="7"/>
    </row>
    <row r="8295" spans="5:7" x14ac:dyDescent="0.25">
      <c r="E8295" s="27"/>
      <c r="F8295" s="27"/>
      <c r="G8295" s="7"/>
    </row>
    <row r="8296" spans="5:7" x14ac:dyDescent="0.25">
      <c r="E8296" s="27"/>
      <c r="F8296" s="27"/>
      <c r="G8296" s="7"/>
    </row>
    <row r="8297" spans="5:7" x14ac:dyDescent="0.25">
      <c r="E8297" s="27"/>
      <c r="F8297" s="27"/>
      <c r="G8297" s="7"/>
    </row>
    <row r="8298" spans="5:7" x14ac:dyDescent="0.25">
      <c r="E8298" s="27"/>
      <c r="F8298" s="27"/>
      <c r="G8298" s="7"/>
    </row>
    <row r="8299" spans="5:7" x14ac:dyDescent="0.25">
      <c r="E8299" s="27"/>
      <c r="F8299" s="27"/>
      <c r="G8299" s="7"/>
    </row>
    <row r="8300" spans="5:7" x14ac:dyDescent="0.25">
      <c r="E8300" s="27"/>
      <c r="F8300" s="27"/>
      <c r="G8300" s="7"/>
    </row>
    <row r="8301" spans="5:7" x14ac:dyDescent="0.25">
      <c r="E8301" s="27"/>
      <c r="F8301" s="27"/>
      <c r="G8301" s="7"/>
    </row>
    <row r="8302" spans="5:7" x14ac:dyDescent="0.25">
      <c r="E8302" s="27"/>
      <c r="F8302" s="27"/>
      <c r="G8302" s="7"/>
    </row>
    <row r="8303" spans="5:7" x14ac:dyDescent="0.25">
      <c r="E8303" s="27"/>
      <c r="F8303" s="27"/>
      <c r="G8303" s="7"/>
    </row>
    <row r="8304" spans="5:7" x14ac:dyDescent="0.25">
      <c r="E8304" s="27"/>
      <c r="F8304" s="27"/>
      <c r="G8304" s="7"/>
    </row>
    <row r="8305" spans="5:7" x14ac:dyDescent="0.25">
      <c r="E8305" s="27"/>
      <c r="F8305" s="27"/>
      <c r="G8305" s="7"/>
    </row>
    <row r="8306" spans="5:7" x14ac:dyDescent="0.25">
      <c r="E8306" s="27"/>
      <c r="F8306" s="27"/>
      <c r="G8306" s="7"/>
    </row>
    <row r="8307" spans="5:7" x14ac:dyDescent="0.25">
      <c r="E8307" s="27"/>
      <c r="F8307" s="27"/>
      <c r="G8307" s="7"/>
    </row>
    <row r="8308" spans="5:7" x14ac:dyDescent="0.25">
      <c r="E8308" s="27"/>
      <c r="F8308" s="27"/>
      <c r="G8308" s="7"/>
    </row>
    <row r="8309" spans="5:7" x14ac:dyDescent="0.25">
      <c r="E8309" s="27"/>
      <c r="F8309" s="27"/>
      <c r="G8309" s="7"/>
    </row>
    <row r="8310" spans="5:7" x14ac:dyDescent="0.25">
      <c r="E8310" s="27"/>
      <c r="F8310" s="27"/>
      <c r="G8310" s="7"/>
    </row>
    <row r="8311" spans="5:7" x14ac:dyDescent="0.25">
      <c r="E8311" s="27"/>
      <c r="F8311" s="27"/>
      <c r="G8311" s="7"/>
    </row>
    <row r="8312" spans="5:7" x14ac:dyDescent="0.25">
      <c r="E8312" s="27"/>
      <c r="F8312" s="27"/>
      <c r="G8312" s="7"/>
    </row>
    <row r="8313" spans="5:7" x14ac:dyDescent="0.25">
      <c r="E8313" s="27"/>
      <c r="F8313" s="27"/>
      <c r="G8313" s="7"/>
    </row>
    <row r="8314" spans="5:7" x14ac:dyDescent="0.25">
      <c r="E8314" s="27"/>
      <c r="F8314" s="27"/>
      <c r="G8314" s="7"/>
    </row>
    <row r="8315" spans="5:7" x14ac:dyDescent="0.25">
      <c r="E8315" s="27"/>
      <c r="F8315" s="27"/>
      <c r="G8315" s="7"/>
    </row>
    <row r="8316" spans="5:7" x14ac:dyDescent="0.25">
      <c r="E8316" s="27"/>
      <c r="F8316" s="27"/>
      <c r="G8316" s="7"/>
    </row>
    <row r="8317" spans="5:7" x14ac:dyDescent="0.25">
      <c r="E8317" s="27"/>
      <c r="F8317" s="27"/>
      <c r="G8317" s="7"/>
    </row>
    <row r="8318" spans="5:7" x14ac:dyDescent="0.25">
      <c r="E8318" s="27"/>
      <c r="F8318" s="27"/>
      <c r="G8318" s="7"/>
    </row>
    <row r="8319" spans="5:7" x14ac:dyDescent="0.25">
      <c r="E8319" s="27"/>
      <c r="F8319" s="27"/>
      <c r="G8319" s="7"/>
    </row>
    <row r="8320" spans="5:7" x14ac:dyDescent="0.25">
      <c r="E8320" s="27"/>
      <c r="F8320" s="27"/>
      <c r="G8320" s="7"/>
    </row>
    <row r="8321" spans="5:7" x14ac:dyDescent="0.25">
      <c r="E8321" s="27"/>
      <c r="F8321" s="27"/>
      <c r="G8321" s="7"/>
    </row>
    <row r="8322" spans="5:7" x14ac:dyDescent="0.25">
      <c r="E8322" s="27"/>
      <c r="F8322" s="27"/>
      <c r="G8322" s="7"/>
    </row>
    <row r="8323" spans="5:7" x14ac:dyDescent="0.25">
      <c r="E8323" s="27"/>
      <c r="F8323" s="27"/>
      <c r="G8323" s="7"/>
    </row>
    <row r="8324" spans="5:7" x14ac:dyDescent="0.25">
      <c r="E8324" s="27"/>
      <c r="F8324" s="27"/>
      <c r="G8324" s="7"/>
    </row>
    <row r="8325" spans="5:7" x14ac:dyDescent="0.25">
      <c r="E8325" s="27"/>
      <c r="F8325" s="27"/>
      <c r="G8325" s="7"/>
    </row>
    <row r="8326" spans="5:7" x14ac:dyDescent="0.25">
      <c r="E8326" s="27"/>
      <c r="F8326" s="27"/>
      <c r="G8326" s="7"/>
    </row>
    <row r="8327" spans="5:7" x14ac:dyDescent="0.25">
      <c r="E8327" s="27"/>
      <c r="F8327" s="27"/>
      <c r="G8327" s="7"/>
    </row>
    <row r="8328" spans="5:7" x14ac:dyDescent="0.25">
      <c r="E8328" s="27"/>
      <c r="F8328" s="27"/>
      <c r="G8328" s="7"/>
    </row>
    <row r="8329" spans="5:7" x14ac:dyDescent="0.25">
      <c r="E8329" s="27"/>
      <c r="F8329" s="27"/>
      <c r="G8329" s="7"/>
    </row>
    <row r="8330" spans="5:7" x14ac:dyDescent="0.25">
      <c r="E8330" s="27"/>
      <c r="F8330" s="27"/>
      <c r="G8330" s="7"/>
    </row>
    <row r="8331" spans="5:7" x14ac:dyDescent="0.25">
      <c r="E8331" s="27"/>
      <c r="F8331" s="27"/>
      <c r="G8331" s="7"/>
    </row>
    <row r="8332" spans="5:7" x14ac:dyDescent="0.25">
      <c r="E8332" s="27"/>
      <c r="F8332" s="27"/>
      <c r="G8332" s="7"/>
    </row>
    <row r="8333" spans="5:7" x14ac:dyDescent="0.25">
      <c r="E8333" s="27"/>
      <c r="F8333" s="27"/>
      <c r="G8333" s="7"/>
    </row>
    <row r="8334" spans="5:7" x14ac:dyDescent="0.25">
      <c r="E8334" s="27"/>
      <c r="F8334" s="27"/>
      <c r="G8334" s="7"/>
    </row>
    <row r="8335" spans="5:7" x14ac:dyDescent="0.25">
      <c r="E8335" s="27"/>
      <c r="F8335" s="27"/>
      <c r="G8335" s="7"/>
    </row>
    <row r="8336" spans="5:7" x14ac:dyDescent="0.25">
      <c r="E8336" s="27"/>
      <c r="F8336" s="27"/>
      <c r="G8336" s="7"/>
    </row>
    <row r="8337" spans="5:7" x14ac:dyDescent="0.25">
      <c r="E8337" s="27"/>
      <c r="F8337" s="27"/>
      <c r="G8337" s="7"/>
    </row>
    <row r="8338" spans="5:7" x14ac:dyDescent="0.25">
      <c r="E8338" s="27"/>
      <c r="F8338" s="27"/>
      <c r="G8338" s="7"/>
    </row>
    <row r="8339" spans="5:7" x14ac:dyDescent="0.25">
      <c r="E8339" s="27"/>
      <c r="F8339" s="27"/>
      <c r="G8339" s="7"/>
    </row>
    <row r="8340" spans="5:7" x14ac:dyDescent="0.25">
      <c r="E8340" s="27"/>
      <c r="F8340" s="27"/>
      <c r="G8340" s="7"/>
    </row>
    <row r="8341" spans="5:7" x14ac:dyDescent="0.25">
      <c r="E8341" s="27"/>
      <c r="F8341" s="27"/>
      <c r="G8341" s="7"/>
    </row>
    <row r="8342" spans="5:7" x14ac:dyDescent="0.25">
      <c r="E8342" s="27"/>
      <c r="F8342" s="27"/>
      <c r="G8342" s="7"/>
    </row>
    <row r="8343" spans="5:7" x14ac:dyDescent="0.25">
      <c r="E8343" s="27"/>
      <c r="F8343" s="27"/>
      <c r="G8343" s="7"/>
    </row>
    <row r="8344" spans="5:7" x14ac:dyDescent="0.25">
      <c r="E8344" s="27"/>
      <c r="F8344" s="27"/>
      <c r="G8344" s="7"/>
    </row>
    <row r="8345" spans="5:7" x14ac:dyDescent="0.25">
      <c r="E8345" s="27"/>
      <c r="F8345" s="27"/>
      <c r="G8345" s="7"/>
    </row>
    <row r="8346" spans="5:7" x14ac:dyDescent="0.25">
      <c r="E8346" s="27"/>
      <c r="F8346" s="27"/>
      <c r="G8346" s="7"/>
    </row>
    <row r="8347" spans="5:7" x14ac:dyDescent="0.25">
      <c r="E8347" s="27"/>
      <c r="F8347" s="27"/>
      <c r="G8347" s="7"/>
    </row>
    <row r="8348" spans="5:7" x14ac:dyDescent="0.25">
      <c r="E8348" s="27"/>
      <c r="F8348" s="27"/>
      <c r="G8348" s="7"/>
    </row>
    <row r="8349" spans="5:7" x14ac:dyDescent="0.25">
      <c r="E8349" s="27"/>
      <c r="F8349" s="27"/>
      <c r="G8349" s="7"/>
    </row>
    <row r="8350" spans="5:7" x14ac:dyDescent="0.25">
      <c r="E8350" s="27"/>
      <c r="F8350" s="27"/>
      <c r="G8350" s="7"/>
    </row>
    <row r="8351" spans="5:7" x14ac:dyDescent="0.25">
      <c r="E8351" s="27"/>
      <c r="F8351" s="27"/>
      <c r="G8351" s="7"/>
    </row>
    <row r="8352" spans="5:7" x14ac:dyDescent="0.25">
      <c r="E8352" s="27"/>
      <c r="F8352" s="27"/>
      <c r="G8352" s="7"/>
    </row>
    <row r="8353" spans="5:7" x14ac:dyDescent="0.25">
      <c r="E8353" s="27"/>
      <c r="F8353" s="27"/>
      <c r="G8353" s="7"/>
    </row>
    <row r="8354" spans="5:7" x14ac:dyDescent="0.25">
      <c r="E8354" s="27"/>
      <c r="F8354" s="27"/>
      <c r="G8354" s="7"/>
    </row>
    <row r="8355" spans="5:7" x14ac:dyDescent="0.25">
      <c r="E8355" s="27"/>
      <c r="F8355" s="27"/>
      <c r="G8355" s="7"/>
    </row>
    <row r="8356" spans="5:7" x14ac:dyDescent="0.25">
      <c r="E8356" s="27"/>
      <c r="F8356" s="27"/>
      <c r="G8356" s="7"/>
    </row>
    <row r="8357" spans="5:7" x14ac:dyDescent="0.25">
      <c r="E8357" s="27"/>
      <c r="F8357" s="27"/>
      <c r="G8357" s="7"/>
    </row>
    <row r="8358" spans="5:7" x14ac:dyDescent="0.25">
      <c r="E8358" s="27"/>
      <c r="F8358" s="27"/>
      <c r="G8358" s="7"/>
    </row>
    <row r="8359" spans="5:7" x14ac:dyDescent="0.25">
      <c r="E8359" s="27"/>
      <c r="F8359" s="27"/>
      <c r="G8359" s="7"/>
    </row>
    <row r="8360" spans="5:7" x14ac:dyDescent="0.25">
      <c r="E8360" s="27"/>
      <c r="F8360" s="27"/>
      <c r="G8360" s="7"/>
    </row>
    <row r="8361" spans="5:7" x14ac:dyDescent="0.25">
      <c r="E8361" s="27"/>
      <c r="F8361" s="27"/>
      <c r="G8361" s="7"/>
    </row>
    <row r="8362" spans="5:7" x14ac:dyDescent="0.25">
      <c r="E8362" s="27"/>
      <c r="F8362" s="27"/>
      <c r="G8362" s="7"/>
    </row>
    <row r="8363" spans="5:7" x14ac:dyDescent="0.25">
      <c r="E8363" s="27"/>
      <c r="F8363" s="27"/>
      <c r="G8363" s="7"/>
    </row>
    <row r="8364" spans="5:7" x14ac:dyDescent="0.25">
      <c r="E8364" s="27"/>
      <c r="F8364" s="27"/>
      <c r="G8364" s="7"/>
    </row>
    <row r="8365" spans="5:7" x14ac:dyDescent="0.25">
      <c r="E8365" s="27"/>
      <c r="F8365" s="27"/>
      <c r="G8365" s="7"/>
    </row>
    <row r="8366" spans="5:7" x14ac:dyDescent="0.25">
      <c r="E8366" s="27"/>
      <c r="F8366" s="27"/>
      <c r="G8366" s="7"/>
    </row>
    <row r="8367" spans="5:7" x14ac:dyDescent="0.25">
      <c r="E8367" s="27"/>
      <c r="F8367" s="27"/>
      <c r="G8367" s="7"/>
    </row>
    <row r="8368" spans="5:7" x14ac:dyDescent="0.25">
      <c r="E8368" s="27"/>
      <c r="F8368" s="27"/>
      <c r="G8368" s="7"/>
    </row>
    <row r="8369" spans="5:7" x14ac:dyDescent="0.25">
      <c r="E8369" s="27"/>
      <c r="F8369" s="27"/>
      <c r="G8369" s="7"/>
    </row>
    <row r="8370" spans="5:7" x14ac:dyDescent="0.25">
      <c r="E8370" s="27"/>
      <c r="F8370" s="27"/>
      <c r="G8370" s="7"/>
    </row>
    <row r="8371" spans="5:7" x14ac:dyDescent="0.25">
      <c r="E8371" s="27"/>
      <c r="F8371" s="27"/>
      <c r="G8371" s="7"/>
    </row>
    <row r="8372" spans="5:7" x14ac:dyDescent="0.25">
      <c r="E8372" s="27"/>
      <c r="F8372" s="27"/>
      <c r="G8372" s="7"/>
    </row>
    <row r="8373" spans="5:7" x14ac:dyDescent="0.25">
      <c r="E8373" s="27"/>
      <c r="F8373" s="27"/>
      <c r="G8373" s="7"/>
    </row>
    <row r="8374" spans="5:7" x14ac:dyDescent="0.25">
      <c r="E8374" s="27"/>
      <c r="F8374" s="27"/>
      <c r="G8374" s="7"/>
    </row>
    <row r="8375" spans="5:7" x14ac:dyDescent="0.25">
      <c r="E8375" s="27"/>
      <c r="F8375" s="27"/>
      <c r="G8375" s="7"/>
    </row>
    <row r="8376" spans="5:7" x14ac:dyDescent="0.25">
      <c r="E8376" s="27"/>
      <c r="F8376" s="27"/>
      <c r="G8376" s="7"/>
    </row>
    <row r="8377" spans="5:7" x14ac:dyDescent="0.25">
      <c r="E8377" s="27"/>
      <c r="F8377" s="27"/>
      <c r="G8377" s="7"/>
    </row>
    <row r="8378" spans="5:7" x14ac:dyDescent="0.25">
      <c r="E8378" s="27"/>
      <c r="F8378" s="27"/>
      <c r="G8378" s="7"/>
    </row>
    <row r="8379" spans="5:7" x14ac:dyDescent="0.25">
      <c r="E8379" s="27"/>
      <c r="F8379" s="27"/>
      <c r="G8379" s="7"/>
    </row>
    <row r="8380" spans="5:7" x14ac:dyDescent="0.25">
      <c r="E8380" s="27"/>
      <c r="F8380" s="27"/>
      <c r="G8380" s="7"/>
    </row>
    <row r="8381" spans="5:7" x14ac:dyDescent="0.25">
      <c r="E8381" s="27"/>
      <c r="F8381" s="27"/>
      <c r="G8381" s="7"/>
    </row>
    <row r="8382" spans="5:7" x14ac:dyDescent="0.25">
      <c r="E8382" s="27"/>
      <c r="F8382" s="27"/>
      <c r="G8382" s="7"/>
    </row>
    <row r="8383" spans="5:7" x14ac:dyDescent="0.25">
      <c r="E8383" s="27"/>
      <c r="F8383" s="27"/>
      <c r="G8383" s="7"/>
    </row>
    <row r="8384" spans="5:7" x14ac:dyDescent="0.25">
      <c r="E8384" s="27"/>
      <c r="F8384" s="27"/>
      <c r="G8384" s="7"/>
    </row>
    <row r="8385" spans="5:7" x14ac:dyDescent="0.25">
      <c r="E8385" s="27"/>
      <c r="F8385" s="27"/>
      <c r="G8385" s="7"/>
    </row>
    <row r="8386" spans="5:7" x14ac:dyDescent="0.25">
      <c r="E8386" s="27"/>
      <c r="F8386" s="27"/>
      <c r="G8386" s="7"/>
    </row>
    <row r="8387" spans="5:7" x14ac:dyDescent="0.25">
      <c r="E8387" s="27"/>
      <c r="F8387" s="27"/>
      <c r="G8387" s="7"/>
    </row>
    <row r="8388" spans="5:7" x14ac:dyDescent="0.25">
      <c r="E8388" s="27"/>
      <c r="F8388" s="27"/>
      <c r="G8388" s="7"/>
    </row>
    <row r="8389" spans="5:7" x14ac:dyDescent="0.25">
      <c r="E8389" s="27"/>
      <c r="F8389" s="27"/>
      <c r="G8389" s="7"/>
    </row>
    <row r="8390" spans="5:7" x14ac:dyDescent="0.25">
      <c r="E8390" s="27"/>
      <c r="F8390" s="27"/>
      <c r="G8390" s="7"/>
    </row>
    <row r="8391" spans="5:7" x14ac:dyDescent="0.25">
      <c r="E8391" s="27"/>
      <c r="F8391" s="27"/>
      <c r="G8391" s="7"/>
    </row>
    <row r="8392" spans="5:7" x14ac:dyDescent="0.25">
      <c r="E8392" s="27"/>
      <c r="F8392" s="27"/>
      <c r="G8392" s="7"/>
    </row>
    <row r="8393" spans="5:7" x14ac:dyDescent="0.25">
      <c r="E8393" s="27"/>
      <c r="F8393" s="27"/>
      <c r="G8393" s="7"/>
    </row>
    <row r="8394" spans="5:7" x14ac:dyDescent="0.25">
      <c r="E8394" s="27"/>
      <c r="F8394" s="27"/>
      <c r="G8394" s="7"/>
    </row>
    <row r="8395" spans="5:7" x14ac:dyDescent="0.25">
      <c r="E8395" s="27"/>
      <c r="F8395" s="27"/>
      <c r="G8395" s="7"/>
    </row>
    <row r="8396" spans="5:7" x14ac:dyDescent="0.25">
      <c r="E8396" s="27"/>
      <c r="F8396" s="27"/>
      <c r="G8396" s="7"/>
    </row>
    <row r="8397" spans="5:7" x14ac:dyDescent="0.25">
      <c r="E8397" s="27"/>
      <c r="F8397" s="27"/>
      <c r="G8397" s="7"/>
    </row>
    <row r="8398" spans="5:7" x14ac:dyDescent="0.25">
      <c r="E8398" s="27"/>
      <c r="F8398" s="27"/>
      <c r="G8398" s="7"/>
    </row>
    <row r="8399" spans="5:7" x14ac:dyDescent="0.25">
      <c r="E8399" s="27"/>
      <c r="F8399" s="27"/>
      <c r="G8399" s="7"/>
    </row>
    <row r="8400" spans="5:7" x14ac:dyDescent="0.25">
      <c r="E8400" s="27"/>
      <c r="F8400" s="27"/>
      <c r="G8400" s="7"/>
    </row>
    <row r="8401" spans="5:7" x14ac:dyDescent="0.25">
      <c r="E8401" s="27"/>
      <c r="F8401" s="27"/>
      <c r="G8401" s="7"/>
    </row>
    <row r="8402" spans="5:7" x14ac:dyDescent="0.25">
      <c r="E8402" s="27"/>
      <c r="F8402" s="27"/>
      <c r="G8402" s="7"/>
    </row>
    <row r="8403" spans="5:7" x14ac:dyDescent="0.25">
      <c r="E8403" s="27"/>
      <c r="F8403" s="27"/>
      <c r="G8403" s="7"/>
    </row>
    <row r="8404" spans="5:7" x14ac:dyDescent="0.25">
      <c r="E8404" s="27"/>
      <c r="F8404" s="27"/>
      <c r="G8404" s="7"/>
    </row>
    <row r="8405" spans="5:7" x14ac:dyDescent="0.25">
      <c r="E8405" s="27"/>
      <c r="F8405" s="27"/>
      <c r="G8405" s="7"/>
    </row>
    <row r="8406" spans="5:7" x14ac:dyDescent="0.25">
      <c r="E8406" s="27"/>
      <c r="F8406" s="27"/>
      <c r="G8406" s="7"/>
    </row>
    <row r="8407" spans="5:7" x14ac:dyDescent="0.25">
      <c r="E8407" s="27"/>
      <c r="F8407" s="27"/>
      <c r="G8407" s="7"/>
    </row>
    <row r="8408" spans="5:7" x14ac:dyDescent="0.25">
      <c r="E8408" s="27"/>
      <c r="F8408" s="27"/>
      <c r="G8408" s="7"/>
    </row>
    <row r="8409" spans="5:7" x14ac:dyDescent="0.25">
      <c r="E8409" s="27"/>
      <c r="F8409" s="27"/>
      <c r="G8409" s="7"/>
    </row>
    <row r="8410" spans="5:7" x14ac:dyDescent="0.25">
      <c r="E8410" s="27"/>
      <c r="F8410" s="27"/>
      <c r="G8410" s="7"/>
    </row>
    <row r="8411" spans="5:7" x14ac:dyDescent="0.25">
      <c r="E8411" s="27"/>
      <c r="F8411" s="27"/>
      <c r="G8411" s="7"/>
    </row>
    <row r="8412" spans="5:7" x14ac:dyDescent="0.25">
      <c r="E8412" s="27"/>
      <c r="F8412" s="27"/>
      <c r="G8412" s="7"/>
    </row>
    <row r="8413" spans="5:7" x14ac:dyDescent="0.25">
      <c r="E8413" s="27"/>
      <c r="F8413" s="27"/>
      <c r="G8413" s="7"/>
    </row>
    <row r="8414" spans="5:7" x14ac:dyDescent="0.25">
      <c r="E8414" s="27"/>
      <c r="F8414" s="27"/>
      <c r="G8414" s="7"/>
    </row>
    <row r="8415" spans="5:7" x14ac:dyDescent="0.25">
      <c r="E8415" s="27"/>
      <c r="F8415" s="27"/>
      <c r="G8415" s="7"/>
    </row>
    <row r="8416" spans="5:7" x14ac:dyDescent="0.25">
      <c r="E8416" s="27"/>
      <c r="F8416" s="27"/>
      <c r="G8416" s="7"/>
    </row>
    <row r="8417" spans="5:7" x14ac:dyDescent="0.25">
      <c r="E8417" s="27"/>
      <c r="F8417" s="27"/>
      <c r="G8417" s="7"/>
    </row>
    <row r="8418" spans="5:7" x14ac:dyDescent="0.25">
      <c r="E8418" s="27"/>
      <c r="F8418" s="27"/>
      <c r="G8418" s="7"/>
    </row>
    <row r="8419" spans="5:7" x14ac:dyDescent="0.25">
      <c r="E8419" s="27"/>
      <c r="F8419" s="27"/>
      <c r="G8419" s="7"/>
    </row>
    <row r="8420" spans="5:7" x14ac:dyDescent="0.25">
      <c r="E8420" s="27"/>
      <c r="F8420" s="27"/>
      <c r="G8420" s="7"/>
    </row>
    <row r="8421" spans="5:7" x14ac:dyDescent="0.25">
      <c r="E8421" s="27"/>
      <c r="F8421" s="27"/>
      <c r="G8421" s="7"/>
    </row>
    <row r="8422" spans="5:7" x14ac:dyDescent="0.25">
      <c r="E8422" s="27"/>
      <c r="F8422" s="27"/>
      <c r="G8422" s="7"/>
    </row>
    <row r="8423" spans="5:7" x14ac:dyDescent="0.25">
      <c r="E8423" s="27"/>
      <c r="F8423" s="27"/>
      <c r="G8423" s="7"/>
    </row>
    <row r="8424" spans="5:7" x14ac:dyDescent="0.25">
      <c r="E8424" s="27"/>
      <c r="F8424" s="27"/>
      <c r="G8424" s="7"/>
    </row>
    <row r="8425" spans="5:7" x14ac:dyDescent="0.25">
      <c r="E8425" s="27"/>
      <c r="F8425" s="27"/>
      <c r="G8425" s="7"/>
    </row>
    <row r="8426" spans="5:7" x14ac:dyDescent="0.25">
      <c r="E8426" s="27"/>
      <c r="F8426" s="27"/>
      <c r="G8426" s="7"/>
    </row>
    <row r="8427" spans="5:7" x14ac:dyDescent="0.25">
      <c r="E8427" s="27"/>
      <c r="F8427" s="27"/>
      <c r="G8427" s="7"/>
    </row>
    <row r="8428" spans="5:7" x14ac:dyDescent="0.25">
      <c r="E8428" s="27"/>
      <c r="F8428" s="27"/>
      <c r="G8428" s="7"/>
    </row>
    <row r="8429" spans="5:7" x14ac:dyDescent="0.25">
      <c r="E8429" s="27"/>
      <c r="F8429" s="27"/>
      <c r="G8429" s="7"/>
    </row>
    <row r="8430" spans="5:7" x14ac:dyDescent="0.25">
      <c r="E8430" s="27"/>
      <c r="F8430" s="27"/>
      <c r="G8430" s="7"/>
    </row>
    <row r="8431" spans="5:7" x14ac:dyDescent="0.25">
      <c r="E8431" s="27"/>
      <c r="F8431" s="27"/>
      <c r="G8431" s="7"/>
    </row>
    <row r="8432" spans="5:7" x14ac:dyDescent="0.25">
      <c r="E8432" s="27"/>
      <c r="F8432" s="27"/>
      <c r="G8432" s="7"/>
    </row>
    <row r="8433" spans="5:7" x14ac:dyDescent="0.25">
      <c r="E8433" s="27"/>
      <c r="F8433" s="27"/>
      <c r="G8433" s="7"/>
    </row>
    <row r="8434" spans="5:7" x14ac:dyDescent="0.25">
      <c r="E8434" s="27"/>
      <c r="F8434" s="27"/>
      <c r="G8434" s="7"/>
    </row>
    <row r="8435" spans="5:7" x14ac:dyDescent="0.25">
      <c r="E8435" s="27"/>
      <c r="F8435" s="27"/>
      <c r="G8435" s="7"/>
    </row>
    <row r="8436" spans="5:7" x14ac:dyDescent="0.25">
      <c r="E8436" s="27"/>
      <c r="F8436" s="27"/>
      <c r="G8436" s="7"/>
    </row>
    <row r="8437" spans="5:7" x14ac:dyDescent="0.25">
      <c r="E8437" s="27"/>
      <c r="F8437" s="27"/>
      <c r="G8437" s="7"/>
    </row>
    <row r="8438" spans="5:7" x14ac:dyDescent="0.25">
      <c r="E8438" s="27"/>
      <c r="F8438" s="27"/>
      <c r="G8438" s="7"/>
    </row>
    <row r="8439" spans="5:7" x14ac:dyDescent="0.25">
      <c r="E8439" s="27"/>
      <c r="F8439" s="27"/>
      <c r="G8439" s="7"/>
    </row>
    <row r="8440" spans="5:7" x14ac:dyDescent="0.25">
      <c r="E8440" s="27"/>
      <c r="F8440" s="27"/>
      <c r="G8440" s="7"/>
    </row>
    <row r="8441" spans="5:7" x14ac:dyDescent="0.25">
      <c r="E8441" s="27"/>
      <c r="F8441" s="27"/>
      <c r="G8441" s="7"/>
    </row>
    <row r="8442" spans="5:7" x14ac:dyDescent="0.25">
      <c r="E8442" s="27"/>
      <c r="F8442" s="27"/>
      <c r="G8442" s="7"/>
    </row>
    <row r="8443" spans="5:7" x14ac:dyDescent="0.25">
      <c r="E8443" s="27"/>
      <c r="F8443" s="27"/>
      <c r="G8443" s="7"/>
    </row>
    <row r="8444" spans="5:7" x14ac:dyDescent="0.25">
      <c r="E8444" s="27"/>
      <c r="F8444" s="27"/>
      <c r="G8444" s="7"/>
    </row>
    <row r="8445" spans="5:7" x14ac:dyDescent="0.25">
      <c r="E8445" s="27"/>
      <c r="F8445" s="27"/>
      <c r="G8445" s="7"/>
    </row>
    <row r="8446" spans="5:7" x14ac:dyDescent="0.25">
      <c r="E8446" s="27"/>
      <c r="F8446" s="27"/>
      <c r="G8446" s="7"/>
    </row>
    <row r="8447" spans="5:7" x14ac:dyDescent="0.25">
      <c r="E8447" s="27"/>
      <c r="F8447" s="27"/>
      <c r="G8447" s="7"/>
    </row>
    <row r="8448" spans="5:7" x14ac:dyDescent="0.25">
      <c r="E8448" s="27"/>
      <c r="F8448" s="27"/>
      <c r="G8448" s="7"/>
    </row>
    <row r="8449" spans="5:7" x14ac:dyDescent="0.25">
      <c r="E8449" s="27"/>
      <c r="F8449" s="27"/>
      <c r="G8449" s="7"/>
    </row>
    <row r="8450" spans="5:7" x14ac:dyDescent="0.25">
      <c r="E8450" s="27"/>
      <c r="F8450" s="27"/>
      <c r="G8450" s="7"/>
    </row>
    <row r="8451" spans="5:7" x14ac:dyDescent="0.25">
      <c r="E8451" s="27"/>
      <c r="F8451" s="27"/>
      <c r="G8451" s="7"/>
    </row>
    <row r="8452" spans="5:7" x14ac:dyDescent="0.25">
      <c r="E8452" s="27"/>
      <c r="F8452" s="27"/>
      <c r="G8452" s="7"/>
    </row>
    <row r="8453" spans="5:7" x14ac:dyDescent="0.25">
      <c r="E8453" s="27"/>
      <c r="F8453" s="27"/>
      <c r="G8453" s="7"/>
    </row>
    <row r="8454" spans="5:7" x14ac:dyDescent="0.25">
      <c r="E8454" s="27"/>
      <c r="F8454" s="27"/>
      <c r="G8454" s="7"/>
    </row>
    <row r="8455" spans="5:7" x14ac:dyDescent="0.25">
      <c r="E8455" s="27"/>
      <c r="F8455" s="27"/>
      <c r="G8455" s="7"/>
    </row>
    <row r="8456" spans="5:7" x14ac:dyDescent="0.25">
      <c r="E8456" s="27"/>
      <c r="F8456" s="27"/>
      <c r="G8456" s="7"/>
    </row>
    <row r="8457" spans="5:7" x14ac:dyDescent="0.25">
      <c r="E8457" s="27"/>
      <c r="F8457" s="27"/>
      <c r="G8457" s="7"/>
    </row>
    <row r="8458" spans="5:7" x14ac:dyDescent="0.25">
      <c r="E8458" s="27"/>
      <c r="F8458" s="27"/>
      <c r="G8458" s="7"/>
    </row>
    <row r="8459" spans="5:7" x14ac:dyDescent="0.25">
      <c r="E8459" s="27"/>
      <c r="F8459" s="27"/>
      <c r="G8459" s="7"/>
    </row>
    <row r="8460" spans="5:7" x14ac:dyDescent="0.25">
      <c r="E8460" s="27"/>
      <c r="F8460" s="27"/>
      <c r="G8460" s="7"/>
    </row>
    <row r="8461" spans="5:7" x14ac:dyDescent="0.25">
      <c r="E8461" s="27"/>
      <c r="F8461" s="27"/>
      <c r="G8461" s="7"/>
    </row>
    <row r="8462" spans="5:7" x14ac:dyDescent="0.25">
      <c r="E8462" s="27"/>
      <c r="F8462" s="27"/>
      <c r="G8462" s="7"/>
    </row>
    <row r="8463" spans="5:7" x14ac:dyDescent="0.25">
      <c r="E8463" s="27"/>
      <c r="F8463" s="27"/>
      <c r="G8463" s="7"/>
    </row>
    <row r="8464" spans="5:7" x14ac:dyDescent="0.25">
      <c r="E8464" s="27"/>
      <c r="F8464" s="27"/>
      <c r="G8464" s="7"/>
    </row>
    <row r="8465" spans="5:7" x14ac:dyDescent="0.25">
      <c r="E8465" s="27"/>
      <c r="F8465" s="27"/>
      <c r="G8465" s="7"/>
    </row>
    <row r="8466" spans="5:7" x14ac:dyDescent="0.25">
      <c r="E8466" s="27"/>
      <c r="F8466" s="27"/>
      <c r="G8466" s="7"/>
    </row>
    <row r="8467" spans="5:7" x14ac:dyDescent="0.25">
      <c r="E8467" s="27"/>
      <c r="F8467" s="27"/>
      <c r="G8467" s="7"/>
    </row>
    <row r="8468" spans="5:7" x14ac:dyDescent="0.25">
      <c r="E8468" s="27"/>
      <c r="F8468" s="27"/>
      <c r="G8468" s="7"/>
    </row>
    <row r="8469" spans="5:7" x14ac:dyDescent="0.25">
      <c r="E8469" s="27"/>
      <c r="F8469" s="27"/>
      <c r="G8469" s="7"/>
    </row>
    <row r="8470" spans="5:7" x14ac:dyDescent="0.25">
      <c r="E8470" s="27"/>
      <c r="F8470" s="27"/>
      <c r="G8470" s="7"/>
    </row>
    <row r="8471" spans="5:7" x14ac:dyDescent="0.25">
      <c r="E8471" s="27"/>
      <c r="F8471" s="27"/>
      <c r="G8471" s="7"/>
    </row>
    <row r="8472" spans="5:7" x14ac:dyDescent="0.25">
      <c r="E8472" s="27"/>
      <c r="F8472" s="27"/>
      <c r="G8472" s="7"/>
    </row>
    <row r="8473" spans="5:7" x14ac:dyDescent="0.25">
      <c r="E8473" s="27"/>
      <c r="F8473" s="27"/>
      <c r="G8473" s="7"/>
    </row>
    <row r="8474" spans="5:7" x14ac:dyDescent="0.25">
      <c r="E8474" s="27"/>
      <c r="F8474" s="27"/>
      <c r="G8474" s="7"/>
    </row>
    <row r="8475" spans="5:7" x14ac:dyDescent="0.25">
      <c r="E8475" s="27"/>
      <c r="F8475" s="27"/>
      <c r="G8475" s="7"/>
    </row>
    <row r="8476" spans="5:7" x14ac:dyDescent="0.25">
      <c r="E8476" s="27"/>
      <c r="F8476" s="27"/>
      <c r="G8476" s="7"/>
    </row>
    <row r="8477" spans="5:7" x14ac:dyDescent="0.25">
      <c r="E8477" s="27"/>
      <c r="F8477" s="27"/>
      <c r="G8477" s="7"/>
    </row>
    <row r="8478" spans="5:7" x14ac:dyDescent="0.25">
      <c r="E8478" s="27"/>
      <c r="F8478" s="27"/>
      <c r="G8478" s="7"/>
    </row>
    <row r="8479" spans="5:7" x14ac:dyDescent="0.25">
      <c r="E8479" s="27"/>
      <c r="F8479" s="27"/>
      <c r="G8479" s="7"/>
    </row>
    <row r="8480" spans="5:7" x14ac:dyDescent="0.25">
      <c r="E8480" s="27"/>
      <c r="F8480" s="27"/>
      <c r="G8480" s="7"/>
    </row>
    <row r="8481" spans="5:7" x14ac:dyDescent="0.25">
      <c r="E8481" s="27"/>
      <c r="F8481" s="27"/>
      <c r="G8481" s="7"/>
    </row>
    <row r="8482" spans="5:7" x14ac:dyDescent="0.25">
      <c r="E8482" s="27"/>
      <c r="F8482" s="27"/>
      <c r="G8482" s="7"/>
    </row>
    <row r="8483" spans="5:7" x14ac:dyDescent="0.25">
      <c r="E8483" s="27"/>
      <c r="F8483" s="27"/>
      <c r="G8483" s="7"/>
    </row>
    <row r="8484" spans="5:7" x14ac:dyDescent="0.25">
      <c r="E8484" s="27"/>
      <c r="F8484" s="27"/>
      <c r="G8484" s="7"/>
    </row>
    <row r="8485" spans="5:7" x14ac:dyDescent="0.25">
      <c r="E8485" s="27"/>
      <c r="F8485" s="27"/>
      <c r="G8485" s="7"/>
    </row>
    <row r="8486" spans="5:7" x14ac:dyDescent="0.25">
      <c r="E8486" s="27"/>
      <c r="F8486" s="27"/>
      <c r="G8486" s="7"/>
    </row>
    <row r="8487" spans="5:7" x14ac:dyDescent="0.25">
      <c r="E8487" s="27"/>
      <c r="F8487" s="27"/>
      <c r="G8487" s="7"/>
    </row>
    <row r="8488" spans="5:7" x14ac:dyDescent="0.25">
      <c r="E8488" s="27"/>
      <c r="F8488" s="27"/>
      <c r="G8488" s="7"/>
    </row>
    <row r="8489" spans="5:7" x14ac:dyDescent="0.25">
      <c r="E8489" s="27"/>
      <c r="F8489" s="27"/>
      <c r="G8489" s="7"/>
    </row>
    <row r="8490" spans="5:7" x14ac:dyDescent="0.25">
      <c r="E8490" s="27"/>
      <c r="F8490" s="27"/>
      <c r="G8490" s="7"/>
    </row>
    <row r="8491" spans="5:7" x14ac:dyDescent="0.25">
      <c r="E8491" s="27"/>
      <c r="F8491" s="27"/>
      <c r="G8491" s="7"/>
    </row>
    <row r="8492" spans="5:7" x14ac:dyDescent="0.25">
      <c r="E8492" s="27"/>
      <c r="F8492" s="27"/>
      <c r="G8492" s="7"/>
    </row>
    <row r="8493" spans="5:7" x14ac:dyDescent="0.25">
      <c r="E8493" s="27"/>
      <c r="F8493" s="27"/>
      <c r="G8493" s="7"/>
    </row>
    <row r="8494" spans="5:7" x14ac:dyDescent="0.25">
      <c r="E8494" s="27"/>
      <c r="F8494" s="27"/>
      <c r="G8494" s="7"/>
    </row>
    <row r="8495" spans="5:7" x14ac:dyDescent="0.25">
      <c r="E8495" s="27"/>
      <c r="F8495" s="27"/>
      <c r="G8495" s="7"/>
    </row>
    <row r="8496" spans="5:7" x14ac:dyDescent="0.25">
      <c r="E8496" s="27"/>
      <c r="F8496" s="27"/>
      <c r="G8496" s="7"/>
    </row>
    <row r="8497" spans="5:7" x14ac:dyDescent="0.25">
      <c r="E8497" s="27"/>
      <c r="F8497" s="27"/>
      <c r="G8497" s="7"/>
    </row>
    <row r="8498" spans="5:7" x14ac:dyDescent="0.25">
      <c r="E8498" s="27"/>
      <c r="F8498" s="27"/>
      <c r="G8498" s="7"/>
    </row>
    <row r="8499" spans="5:7" x14ac:dyDescent="0.25">
      <c r="E8499" s="27"/>
      <c r="F8499" s="27"/>
      <c r="G8499" s="7"/>
    </row>
    <row r="8500" spans="5:7" x14ac:dyDescent="0.25">
      <c r="E8500" s="27"/>
      <c r="F8500" s="27"/>
      <c r="G8500" s="7"/>
    </row>
    <row r="8501" spans="5:7" x14ac:dyDescent="0.25">
      <c r="E8501" s="27"/>
      <c r="F8501" s="27"/>
      <c r="G8501" s="7"/>
    </row>
    <row r="8502" spans="5:7" x14ac:dyDescent="0.25">
      <c r="E8502" s="27"/>
      <c r="F8502" s="27"/>
      <c r="G8502" s="7"/>
    </row>
    <row r="8503" spans="5:7" x14ac:dyDescent="0.25">
      <c r="E8503" s="27"/>
      <c r="F8503" s="27"/>
      <c r="G8503" s="7"/>
    </row>
    <row r="8504" spans="5:7" x14ac:dyDescent="0.25">
      <c r="E8504" s="27"/>
      <c r="F8504" s="27"/>
      <c r="G8504" s="7"/>
    </row>
    <row r="8505" spans="5:7" x14ac:dyDescent="0.25">
      <c r="E8505" s="27"/>
      <c r="F8505" s="27"/>
      <c r="G8505" s="7"/>
    </row>
    <row r="8506" spans="5:7" x14ac:dyDescent="0.25">
      <c r="E8506" s="27"/>
      <c r="F8506" s="27"/>
      <c r="G8506" s="7"/>
    </row>
    <row r="8507" spans="5:7" x14ac:dyDescent="0.25">
      <c r="E8507" s="27"/>
      <c r="F8507" s="27"/>
      <c r="G8507" s="7"/>
    </row>
    <row r="8508" spans="5:7" x14ac:dyDescent="0.25">
      <c r="E8508" s="27"/>
      <c r="F8508" s="27"/>
      <c r="G8508" s="7"/>
    </row>
    <row r="8509" spans="5:7" x14ac:dyDescent="0.25">
      <c r="E8509" s="27"/>
      <c r="F8509" s="27"/>
      <c r="G8509" s="7"/>
    </row>
    <row r="8510" spans="5:7" x14ac:dyDescent="0.25">
      <c r="E8510" s="27"/>
      <c r="F8510" s="27"/>
      <c r="G8510" s="7"/>
    </row>
    <row r="8511" spans="5:7" x14ac:dyDescent="0.25">
      <c r="E8511" s="27"/>
      <c r="F8511" s="27"/>
      <c r="G8511" s="7"/>
    </row>
    <row r="8512" spans="5:7" x14ac:dyDescent="0.25">
      <c r="E8512" s="27"/>
      <c r="F8512" s="27"/>
      <c r="G8512" s="7"/>
    </row>
    <row r="8513" spans="5:7" x14ac:dyDescent="0.25">
      <c r="E8513" s="27"/>
      <c r="F8513" s="27"/>
      <c r="G8513" s="7"/>
    </row>
    <row r="8514" spans="5:7" x14ac:dyDescent="0.25">
      <c r="E8514" s="27"/>
      <c r="F8514" s="27"/>
      <c r="G8514" s="7"/>
    </row>
    <row r="8515" spans="5:7" x14ac:dyDescent="0.25">
      <c r="E8515" s="27"/>
      <c r="F8515" s="27"/>
      <c r="G8515" s="7"/>
    </row>
    <row r="8516" spans="5:7" x14ac:dyDescent="0.25">
      <c r="E8516" s="27"/>
      <c r="F8516" s="27"/>
      <c r="G8516" s="7"/>
    </row>
    <row r="8517" spans="5:7" x14ac:dyDescent="0.25">
      <c r="E8517" s="27"/>
      <c r="F8517" s="27"/>
      <c r="G8517" s="7"/>
    </row>
    <row r="8518" spans="5:7" x14ac:dyDescent="0.25">
      <c r="E8518" s="27"/>
      <c r="F8518" s="27"/>
      <c r="G8518" s="7"/>
    </row>
    <row r="8519" spans="5:7" x14ac:dyDescent="0.25">
      <c r="E8519" s="27"/>
      <c r="F8519" s="27"/>
      <c r="G8519" s="7"/>
    </row>
    <row r="8520" spans="5:7" x14ac:dyDescent="0.25">
      <c r="E8520" s="27"/>
      <c r="F8520" s="27"/>
      <c r="G8520" s="7"/>
    </row>
    <row r="8521" spans="5:7" x14ac:dyDescent="0.25">
      <c r="E8521" s="27"/>
      <c r="F8521" s="27"/>
      <c r="G8521" s="7"/>
    </row>
    <row r="8522" spans="5:7" x14ac:dyDescent="0.25">
      <c r="E8522" s="27"/>
      <c r="F8522" s="27"/>
      <c r="G8522" s="7"/>
    </row>
    <row r="8523" spans="5:7" x14ac:dyDescent="0.25">
      <c r="E8523" s="27"/>
      <c r="F8523" s="27"/>
      <c r="G8523" s="7"/>
    </row>
    <row r="8524" spans="5:7" x14ac:dyDescent="0.25">
      <c r="E8524" s="27"/>
      <c r="F8524" s="27"/>
      <c r="G8524" s="7"/>
    </row>
    <row r="8525" spans="5:7" x14ac:dyDescent="0.25">
      <c r="E8525" s="27"/>
      <c r="F8525" s="27"/>
      <c r="G8525" s="7"/>
    </row>
    <row r="8526" spans="5:7" x14ac:dyDescent="0.25">
      <c r="E8526" s="27"/>
      <c r="F8526" s="27"/>
      <c r="G8526" s="7"/>
    </row>
    <row r="8527" spans="5:7" x14ac:dyDescent="0.25">
      <c r="E8527" s="27"/>
      <c r="F8527" s="27"/>
      <c r="G8527" s="7"/>
    </row>
    <row r="8528" spans="5:7" x14ac:dyDescent="0.25">
      <c r="E8528" s="27"/>
      <c r="F8528" s="27"/>
      <c r="G8528" s="7"/>
    </row>
    <row r="8529" spans="5:7" x14ac:dyDescent="0.25">
      <c r="E8529" s="27"/>
      <c r="F8529" s="27"/>
      <c r="G8529" s="7"/>
    </row>
    <row r="8530" spans="5:7" x14ac:dyDescent="0.25">
      <c r="E8530" s="27"/>
      <c r="F8530" s="27"/>
      <c r="G8530" s="7"/>
    </row>
    <row r="8531" spans="5:7" x14ac:dyDescent="0.25">
      <c r="E8531" s="27"/>
      <c r="F8531" s="27"/>
      <c r="G8531" s="7"/>
    </row>
    <row r="8532" spans="5:7" x14ac:dyDescent="0.25">
      <c r="E8532" s="27"/>
      <c r="F8532" s="27"/>
      <c r="G8532" s="7"/>
    </row>
    <row r="8533" spans="5:7" x14ac:dyDescent="0.25">
      <c r="E8533" s="27"/>
      <c r="F8533" s="27"/>
      <c r="G8533" s="7"/>
    </row>
    <row r="8534" spans="5:7" x14ac:dyDescent="0.25">
      <c r="E8534" s="27"/>
      <c r="F8534" s="27"/>
      <c r="G8534" s="7"/>
    </row>
    <row r="8535" spans="5:7" x14ac:dyDescent="0.25">
      <c r="E8535" s="27"/>
      <c r="F8535" s="27"/>
      <c r="G8535" s="7"/>
    </row>
    <row r="8536" spans="5:7" x14ac:dyDescent="0.25">
      <c r="E8536" s="27"/>
      <c r="F8536" s="27"/>
      <c r="G8536" s="7"/>
    </row>
    <row r="8537" spans="5:7" x14ac:dyDescent="0.25">
      <c r="E8537" s="27"/>
      <c r="F8537" s="27"/>
      <c r="G8537" s="7"/>
    </row>
    <row r="8538" spans="5:7" x14ac:dyDescent="0.25">
      <c r="E8538" s="27"/>
      <c r="F8538" s="27"/>
      <c r="G8538" s="7"/>
    </row>
    <row r="8539" spans="5:7" x14ac:dyDescent="0.25">
      <c r="E8539" s="27"/>
      <c r="F8539" s="27"/>
      <c r="G8539" s="7"/>
    </row>
    <row r="8540" spans="5:7" x14ac:dyDescent="0.25">
      <c r="E8540" s="27"/>
      <c r="F8540" s="27"/>
      <c r="G8540" s="7"/>
    </row>
    <row r="8541" spans="5:7" x14ac:dyDescent="0.25">
      <c r="E8541" s="27"/>
      <c r="F8541" s="27"/>
      <c r="G8541" s="7"/>
    </row>
    <row r="8542" spans="5:7" x14ac:dyDescent="0.25">
      <c r="E8542" s="27"/>
      <c r="F8542" s="27"/>
      <c r="G8542" s="7"/>
    </row>
    <row r="8543" spans="5:7" x14ac:dyDescent="0.25">
      <c r="E8543" s="27"/>
      <c r="F8543" s="27"/>
      <c r="G8543" s="7"/>
    </row>
    <row r="8544" spans="5:7" x14ac:dyDescent="0.25">
      <c r="E8544" s="27"/>
      <c r="F8544" s="27"/>
      <c r="G8544" s="7"/>
    </row>
    <row r="8545" spans="5:7" x14ac:dyDescent="0.25">
      <c r="E8545" s="27"/>
      <c r="F8545" s="27"/>
      <c r="G8545" s="7"/>
    </row>
    <row r="8546" spans="5:7" x14ac:dyDescent="0.25">
      <c r="E8546" s="27"/>
      <c r="F8546" s="27"/>
      <c r="G8546" s="7"/>
    </row>
    <row r="8547" spans="5:7" x14ac:dyDescent="0.25">
      <c r="E8547" s="27"/>
      <c r="F8547" s="27"/>
      <c r="G8547" s="7"/>
    </row>
    <row r="8548" spans="5:7" x14ac:dyDescent="0.25">
      <c r="E8548" s="27"/>
      <c r="F8548" s="27"/>
      <c r="G8548" s="7"/>
    </row>
    <row r="8549" spans="5:7" x14ac:dyDescent="0.25">
      <c r="E8549" s="27"/>
      <c r="F8549" s="27"/>
      <c r="G8549" s="7"/>
    </row>
    <row r="8550" spans="5:7" x14ac:dyDescent="0.25">
      <c r="E8550" s="27"/>
      <c r="F8550" s="27"/>
      <c r="G8550" s="7"/>
    </row>
    <row r="8551" spans="5:7" x14ac:dyDescent="0.25">
      <c r="E8551" s="27"/>
      <c r="F8551" s="27"/>
      <c r="G8551" s="7"/>
    </row>
    <row r="8552" spans="5:7" x14ac:dyDescent="0.25">
      <c r="E8552" s="27"/>
      <c r="F8552" s="27"/>
      <c r="G8552" s="7"/>
    </row>
    <row r="8553" spans="5:7" x14ac:dyDescent="0.25">
      <c r="E8553" s="27"/>
      <c r="F8553" s="27"/>
      <c r="G8553" s="7"/>
    </row>
    <row r="8554" spans="5:7" x14ac:dyDescent="0.25">
      <c r="E8554" s="27"/>
      <c r="F8554" s="27"/>
      <c r="G8554" s="7"/>
    </row>
    <row r="8555" spans="5:7" x14ac:dyDescent="0.25">
      <c r="E8555" s="27"/>
      <c r="F8555" s="27"/>
      <c r="G8555" s="7"/>
    </row>
    <row r="8556" spans="5:7" x14ac:dyDescent="0.25">
      <c r="E8556" s="27"/>
      <c r="F8556" s="27"/>
      <c r="G8556" s="7"/>
    </row>
    <row r="8557" spans="5:7" x14ac:dyDescent="0.25">
      <c r="E8557" s="27"/>
      <c r="F8557" s="27"/>
      <c r="G8557" s="7"/>
    </row>
    <row r="8558" spans="5:7" x14ac:dyDescent="0.25">
      <c r="E8558" s="27"/>
      <c r="F8558" s="27"/>
      <c r="G8558" s="7"/>
    </row>
    <row r="8559" spans="5:7" x14ac:dyDescent="0.25">
      <c r="E8559" s="27"/>
      <c r="F8559" s="27"/>
      <c r="G8559" s="7"/>
    </row>
    <row r="8560" spans="5:7" x14ac:dyDescent="0.25">
      <c r="E8560" s="27"/>
      <c r="F8560" s="27"/>
      <c r="G8560" s="7"/>
    </row>
    <row r="8561" spans="5:7" x14ac:dyDescent="0.25">
      <c r="E8561" s="27"/>
      <c r="F8561" s="27"/>
      <c r="G8561" s="7"/>
    </row>
    <row r="8562" spans="5:7" x14ac:dyDescent="0.25">
      <c r="E8562" s="27"/>
      <c r="F8562" s="27"/>
      <c r="G8562" s="7"/>
    </row>
    <row r="8563" spans="5:7" x14ac:dyDescent="0.25">
      <c r="E8563" s="27"/>
      <c r="F8563" s="27"/>
      <c r="G8563" s="7"/>
    </row>
    <row r="8564" spans="5:7" x14ac:dyDescent="0.25">
      <c r="E8564" s="27"/>
      <c r="F8564" s="27"/>
      <c r="G8564" s="7"/>
    </row>
    <row r="8565" spans="5:7" x14ac:dyDescent="0.25">
      <c r="E8565" s="27"/>
      <c r="F8565" s="27"/>
      <c r="G8565" s="7"/>
    </row>
    <row r="8566" spans="5:7" x14ac:dyDescent="0.25">
      <c r="E8566" s="27"/>
      <c r="F8566" s="27"/>
      <c r="G8566" s="7"/>
    </row>
    <row r="8567" spans="5:7" x14ac:dyDescent="0.25">
      <c r="E8567" s="27"/>
      <c r="F8567" s="27"/>
      <c r="G8567" s="7"/>
    </row>
    <row r="8568" spans="5:7" x14ac:dyDescent="0.25">
      <c r="E8568" s="27"/>
      <c r="F8568" s="27"/>
      <c r="G8568" s="7"/>
    </row>
    <row r="8569" spans="5:7" x14ac:dyDescent="0.25">
      <c r="E8569" s="27"/>
      <c r="F8569" s="27"/>
      <c r="G8569" s="7"/>
    </row>
    <row r="8570" spans="5:7" x14ac:dyDescent="0.25">
      <c r="E8570" s="27"/>
      <c r="F8570" s="27"/>
      <c r="G8570" s="7"/>
    </row>
    <row r="8571" spans="5:7" x14ac:dyDescent="0.25">
      <c r="E8571" s="27"/>
      <c r="F8571" s="27"/>
      <c r="G8571" s="7"/>
    </row>
    <row r="8572" spans="5:7" x14ac:dyDescent="0.25">
      <c r="E8572" s="27"/>
      <c r="F8572" s="27"/>
      <c r="G8572" s="7"/>
    </row>
    <row r="8573" spans="5:7" x14ac:dyDescent="0.25">
      <c r="E8573" s="27"/>
      <c r="F8573" s="27"/>
      <c r="G8573" s="7"/>
    </row>
    <row r="8574" spans="5:7" x14ac:dyDescent="0.25">
      <c r="E8574" s="27"/>
      <c r="F8574" s="27"/>
      <c r="G8574" s="7"/>
    </row>
    <row r="8575" spans="5:7" x14ac:dyDescent="0.25">
      <c r="E8575" s="27"/>
      <c r="F8575" s="27"/>
      <c r="G8575" s="7"/>
    </row>
    <row r="8576" spans="5:7" x14ac:dyDescent="0.25">
      <c r="E8576" s="27"/>
      <c r="F8576" s="27"/>
      <c r="G8576" s="7"/>
    </row>
    <row r="8577" spans="5:7" x14ac:dyDescent="0.25">
      <c r="E8577" s="27"/>
      <c r="F8577" s="27"/>
      <c r="G8577" s="7"/>
    </row>
    <row r="8578" spans="5:7" x14ac:dyDescent="0.25">
      <c r="E8578" s="27"/>
      <c r="F8578" s="27"/>
      <c r="G8578" s="7"/>
    </row>
    <row r="8579" spans="5:7" x14ac:dyDescent="0.25">
      <c r="E8579" s="27"/>
      <c r="F8579" s="27"/>
      <c r="G8579" s="7"/>
    </row>
    <row r="8580" spans="5:7" x14ac:dyDescent="0.25">
      <c r="E8580" s="27"/>
      <c r="F8580" s="27"/>
      <c r="G8580" s="7"/>
    </row>
    <row r="8581" spans="5:7" x14ac:dyDescent="0.25">
      <c r="E8581" s="27"/>
      <c r="F8581" s="27"/>
      <c r="G8581" s="7"/>
    </row>
    <row r="8582" spans="5:7" x14ac:dyDescent="0.25">
      <c r="E8582" s="27"/>
      <c r="F8582" s="27"/>
      <c r="G8582" s="7"/>
    </row>
    <row r="8583" spans="5:7" x14ac:dyDescent="0.25">
      <c r="E8583" s="27"/>
      <c r="F8583" s="27"/>
      <c r="G8583" s="7"/>
    </row>
    <row r="8584" spans="5:7" x14ac:dyDescent="0.25">
      <c r="E8584" s="27"/>
      <c r="F8584" s="27"/>
      <c r="G8584" s="7"/>
    </row>
    <row r="8585" spans="5:7" x14ac:dyDescent="0.25">
      <c r="E8585" s="27"/>
      <c r="F8585" s="27"/>
      <c r="G8585" s="7"/>
    </row>
    <row r="8586" spans="5:7" x14ac:dyDescent="0.25">
      <c r="E8586" s="27"/>
      <c r="F8586" s="27"/>
      <c r="G8586" s="7"/>
    </row>
    <row r="8587" spans="5:7" x14ac:dyDescent="0.25">
      <c r="E8587" s="27"/>
      <c r="F8587" s="27"/>
      <c r="G8587" s="7"/>
    </row>
    <row r="8588" spans="5:7" x14ac:dyDescent="0.25">
      <c r="E8588" s="27"/>
      <c r="F8588" s="27"/>
      <c r="G8588" s="7"/>
    </row>
    <row r="8589" spans="5:7" x14ac:dyDescent="0.25">
      <c r="E8589" s="27"/>
      <c r="F8589" s="27"/>
      <c r="G8589" s="7"/>
    </row>
    <row r="8590" spans="5:7" x14ac:dyDescent="0.25">
      <c r="E8590" s="27"/>
      <c r="F8590" s="27"/>
      <c r="G8590" s="7"/>
    </row>
    <row r="8591" spans="5:7" x14ac:dyDescent="0.25">
      <c r="E8591" s="27"/>
      <c r="F8591" s="27"/>
      <c r="G8591" s="7"/>
    </row>
    <row r="8592" spans="5:7" x14ac:dyDescent="0.25">
      <c r="E8592" s="27"/>
      <c r="F8592" s="27"/>
      <c r="G8592" s="7"/>
    </row>
    <row r="8593" spans="5:7" x14ac:dyDescent="0.25">
      <c r="E8593" s="27"/>
      <c r="F8593" s="27"/>
      <c r="G8593" s="7"/>
    </row>
    <row r="8594" spans="5:7" x14ac:dyDescent="0.25">
      <c r="E8594" s="27"/>
      <c r="F8594" s="27"/>
      <c r="G8594" s="7"/>
    </row>
    <row r="8595" spans="5:7" x14ac:dyDescent="0.25">
      <c r="E8595" s="27"/>
      <c r="F8595" s="27"/>
      <c r="G8595" s="7"/>
    </row>
    <row r="8596" spans="5:7" x14ac:dyDescent="0.25">
      <c r="E8596" s="27"/>
      <c r="F8596" s="27"/>
      <c r="G8596" s="7"/>
    </row>
    <row r="8597" spans="5:7" x14ac:dyDescent="0.25">
      <c r="E8597" s="27"/>
      <c r="F8597" s="27"/>
      <c r="G8597" s="7"/>
    </row>
    <row r="8598" spans="5:7" x14ac:dyDescent="0.25">
      <c r="E8598" s="27"/>
      <c r="F8598" s="27"/>
      <c r="G8598" s="7"/>
    </row>
    <row r="8599" spans="5:7" x14ac:dyDescent="0.25">
      <c r="E8599" s="27"/>
      <c r="F8599" s="27"/>
      <c r="G8599" s="7"/>
    </row>
    <row r="8600" spans="5:7" x14ac:dyDescent="0.25">
      <c r="E8600" s="27"/>
      <c r="F8600" s="27"/>
      <c r="G8600" s="7"/>
    </row>
    <row r="8601" spans="5:7" x14ac:dyDescent="0.25">
      <c r="E8601" s="27"/>
      <c r="F8601" s="27"/>
      <c r="G8601" s="7"/>
    </row>
    <row r="8602" spans="5:7" x14ac:dyDescent="0.25">
      <c r="E8602" s="27"/>
      <c r="F8602" s="27"/>
      <c r="G8602" s="7"/>
    </row>
    <row r="8603" spans="5:7" x14ac:dyDescent="0.25">
      <c r="E8603" s="27"/>
      <c r="F8603" s="27"/>
      <c r="G8603" s="7"/>
    </row>
    <row r="8604" spans="5:7" x14ac:dyDescent="0.25">
      <c r="E8604" s="27"/>
      <c r="F8604" s="27"/>
      <c r="G8604" s="7"/>
    </row>
    <row r="8605" spans="5:7" x14ac:dyDescent="0.25">
      <c r="E8605" s="27"/>
      <c r="F8605" s="27"/>
      <c r="G8605" s="7"/>
    </row>
    <row r="8606" spans="5:7" x14ac:dyDescent="0.25">
      <c r="E8606" s="27"/>
      <c r="F8606" s="27"/>
      <c r="G8606" s="7"/>
    </row>
    <row r="8607" spans="5:7" x14ac:dyDescent="0.25">
      <c r="E8607" s="27"/>
      <c r="F8607" s="27"/>
      <c r="G8607" s="7"/>
    </row>
    <row r="8608" spans="5:7" x14ac:dyDescent="0.25">
      <c r="E8608" s="27"/>
      <c r="F8608" s="27"/>
      <c r="G8608" s="7"/>
    </row>
    <row r="8609" spans="5:7" x14ac:dyDescent="0.25">
      <c r="E8609" s="27"/>
      <c r="F8609" s="27"/>
      <c r="G8609" s="7"/>
    </row>
    <row r="8610" spans="5:7" x14ac:dyDescent="0.25">
      <c r="E8610" s="27"/>
      <c r="F8610" s="27"/>
      <c r="G8610" s="7"/>
    </row>
    <row r="8611" spans="5:7" x14ac:dyDescent="0.25">
      <c r="E8611" s="27"/>
      <c r="F8611" s="27"/>
      <c r="G8611" s="7"/>
    </row>
    <row r="8612" spans="5:7" x14ac:dyDescent="0.25">
      <c r="E8612" s="27"/>
      <c r="F8612" s="27"/>
      <c r="G8612" s="7"/>
    </row>
    <row r="8613" spans="5:7" x14ac:dyDescent="0.25">
      <c r="E8613" s="27"/>
      <c r="F8613" s="27"/>
      <c r="G8613" s="7"/>
    </row>
    <row r="8614" spans="5:7" x14ac:dyDescent="0.25">
      <c r="E8614" s="27"/>
      <c r="F8614" s="27"/>
      <c r="G8614" s="7"/>
    </row>
    <row r="8615" spans="5:7" x14ac:dyDescent="0.25">
      <c r="E8615" s="27"/>
      <c r="F8615" s="27"/>
      <c r="G8615" s="7"/>
    </row>
    <row r="8616" spans="5:7" x14ac:dyDescent="0.25">
      <c r="E8616" s="27"/>
      <c r="F8616" s="27"/>
      <c r="G8616" s="7"/>
    </row>
    <row r="8617" spans="5:7" x14ac:dyDescent="0.25">
      <c r="E8617" s="27"/>
      <c r="F8617" s="27"/>
      <c r="G8617" s="7"/>
    </row>
    <row r="8618" spans="5:7" x14ac:dyDescent="0.25">
      <c r="E8618" s="27"/>
      <c r="F8618" s="27"/>
      <c r="G8618" s="7"/>
    </row>
    <row r="8619" spans="5:7" x14ac:dyDescent="0.25">
      <c r="E8619" s="27"/>
      <c r="F8619" s="27"/>
      <c r="G8619" s="7"/>
    </row>
    <row r="8620" spans="5:7" x14ac:dyDescent="0.25">
      <c r="E8620" s="27"/>
      <c r="F8620" s="27"/>
      <c r="G8620" s="7"/>
    </row>
    <row r="8621" spans="5:7" x14ac:dyDescent="0.25">
      <c r="E8621" s="27"/>
      <c r="F8621" s="27"/>
      <c r="G8621" s="7"/>
    </row>
    <row r="8622" spans="5:7" x14ac:dyDescent="0.25">
      <c r="E8622" s="27"/>
      <c r="F8622" s="27"/>
      <c r="G8622" s="7"/>
    </row>
    <row r="8623" spans="5:7" x14ac:dyDescent="0.25">
      <c r="E8623" s="27"/>
      <c r="F8623" s="27"/>
      <c r="G8623" s="7"/>
    </row>
    <row r="8624" spans="5:7" x14ac:dyDescent="0.25">
      <c r="E8624" s="27"/>
      <c r="F8624" s="27"/>
      <c r="G8624" s="7"/>
    </row>
    <row r="8625" spans="5:7" x14ac:dyDescent="0.25">
      <c r="E8625" s="27"/>
      <c r="F8625" s="27"/>
      <c r="G8625" s="7"/>
    </row>
    <row r="8626" spans="5:7" x14ac:dyDescent="0.25">
      <c r="E8626" s="27"/>
      <c r="F8626" s="27"/>
      <c r="G8626" s="7"/>
    </row>
    <row r="8627" spans="5:7" x14ac:dyDescent="0.25">
      <c r="E8627" s="27"/>
      <c r="F8627" s="27"/>
      <c r="G8627" s="7"/>
    </row>
    <row r="8628" spans="5:7" x14ac:dyDescent="0.25">
      <c r="E8628" s="27"/>
      <c r="F8628" s="27"/>
      <c r="G8628" s="7"/>
    </row>
    <row r="8629" spans="5:7" x14ac:dyDescent="0.25">
      <c r="E8629" s="27"/>
      <c r="F8629" s="27"/>
      <c r="G8629" s="7"/>
    </row>
    <row r="8630" spans="5:7" x14ac:dyDescent="0.25">
      <c r="E8630" s="27"/>
      <c r="F8630" s="27"/>
      <c r="G8630" s="7"/>
    </row>
    <row r="8631" spans="5:7" x14ac:dyDescent="0.25">
      <c r="E8631" s="27"/>
      <c r="F8631" s="27"/>
      <c r="G8631" s="7"/>
    </row>
    <row r="8632" spans="5:7" x14ac:dyDescent="0.25">
      <c r="E8632" s="27"/>
      <c r="F8632" s="27"/>
      <c r="G8632" s="7"/>
    </row>
    <row r="8633" spans="5:7" x14ac:dyDescent="0.25">
      <c r="E8633" s="27"/>
      <c r="F8633" s="27"/>
      <c r="G8633" s="7"/>
    </row>
    <row r="8634" spans="5:7" x14ac:dyDescent="0.25">
      <c r="E8634" s="27"/>
      <c r="F8634" s="27"/>
      <c r="G8634" s="7"/>
    </row>
    <row r="8635" spans="5:7" x14ac:dyDescent="0.25">
      <c r="E8635" s="27"/>
      <c r="F8635" s="27"/>
      <c r="G8635" s="7"/>
    </row>
    <row r="8636" spans="5:7" x14ac:dyDescent="0.25">
      <c r="E8636" s="27"/>
      <c r="F8636" s="27"/>
      <c r="G8636" s="7"/>
    </row>
    <row r="8637" spans="5:7" x14ac:dyDescent="0.25">
      <c r="E8637" s="27"/>
      <c r="F8637" s="27"/>
      <c r="G8637" s="7"/>
    </row>
    <row r="8638" spans="5:7" x14ac:dyDescent="0.25">
      <c r="E8638" s="27"/>
      <c r="F8638" s="27"/>
      <c r="G8638" s="7"/>
    </row>
    <row r="8639" spans="5:7" x14ac:dyDescent="0.25">
      <c r="E8639" s="27"/>
      <c r="F8639" s="27"/>
      <c r="G8639" s="7"/>
    </row>
    <row r="8640" spans="5:7" x14ac:dyDescent="0.25">
      <c r="E8640" s="27"/>
      <c r="F8640" s="27"/>
      <c r="G8640" s="7"/>
    </row>
    <row r="8641" spans="5:7" x14ac:dyDescent="0.25">
      <c r="E8641" s="27"/>
      <c r="F8641" s="27"/>
      <c r="G8641" s="7"/>
    </row>
    <row r="8642" spans="5:7" x14ac:dyDescent="0.25">
      <c r="E8642" s="27"/>
      <c r="F8642" s="27"/>
      <c r="G8642" s="7"/>
    </row>
    <row r="8643" spans="5:7" x14ac:dyDescent="0.25">
      <c r="E8643" s="27"/>
      <c r="F8643" s="27"/>
      <c r="G8643" s="7"/>
    </row>
    <row r="8644" spans="5:7" x14ac:dyDescent="0.25">
      <c r="E8644" s="27"/>
      <c r="F8644" s="27"/>
      <c r="G8644" s="7"/>
    </row>
    <row r="8645" spans="5:7" x14ac:dyDescent="0.25">
      <c r="E8645" s="27"/>
      <c r="F8645" s="27"/>
      <c r="G8645" s="7"/>
    </row>
    <row r="8646" spans="5:7" x14ac:dyDescent="0.25">
      <c r="E8646" s="27"/>
      <c r="F8646" s="27"/>
      <c r="G8646" s="7"/>
    </row>
    <row r="8647" spans="5:7" x14ac:dyDescent="0.25">
      <c r="E8647" s="27"/>
      <c r="F8647" s="27"/>
      <c r="G8647" s="7"/>
    </row>
    <row r="8648" spans="5:7" x14ac:dyDescent="0.25">
      <c r="E8648" s="27"/>
      <c r="F8648" s="27"/>
      <c r="G8648" s="7"/>
    </row>
    <row r="8649" spans="5:7" x14ac:dyDescent="0.25">
      <c r="E8649" s="27"/>
      <c r="F8649" s="27"/>
      <c r="G8649" s="7"/>
    </row>
    <row r="8650" spans="5:7" x14ac:dyDescent="0.25">
      <c r="E8650" s="27"/>
      <c r="F8650" s="27"/>
      <c r="G8650" s="7"/>
    </row>
    <row r="8651" spans="5:7" x14ac:dyDescent="0.25">
      <c r="E8651" s="27"/>
      <c r="F8651" s="27"/>
      <c r="G8651" s="7"/>
    </row>
    <row r="8652" spans="5:7" x14ac:dyDescent="0.25">
      <c r="E8652" s="27"/>
      <c r="F8652" s="27"/>
      <c r="G8652" s="7"/>
    </row>
    <row r="8653" spans="5:7" x14ac:dyDescent="0.25">
      <c r="E8653" s="27"/>
      <c r="F8653" s="27"/>
      <c r="G8653" s="7"/>
    </row>
    <row r="8654" spans="5:7" x14ac:dyDescent="0.25">
      <c r="E8654" s="27"/>
      <c r="F8654" s="27"/>
      <c r="G8654" s="7"/>
    </row>
    <row r="8655" spans="5:7" x14ac:dyDescent="0.25">
      <c r="E8655" s="27"/>
      <c r="F8655" s="27"/>
      <c r="G8655" s="7"/>
    </row>
    <row r="8656" spans="5:7" x14ac:dyDescent="0.25">
      <c r="E8656" s="27"/>
      <c r="F8656" s="27"/>
      <c r="G8656" s="7"/>
    </row>
    <row r="8657" spans="5:7" x14ac:dyDescent="0.25">
      <c r="E8657" s="27"/>
      <c r="F8657" s="27"/>
      <c r="G8657" s="7"/>
    </row>
    <row r="8658" spans="5:7" x14ac:dyDescent="0.25">
      <c r="E8658" s="27"/>
      <c r="F8658" s="27"/>
      <c r="G8658" s="7"/>
    </row>
    <row r="8659" spans="5:7" x14ac:dyDescent="0.25">
      <c r="E8659" s="27"/>
      <c r="F8659" s="27"/>
      <c r="G8659" s="7"/>
    </row>
    <row r="8660" spans="5:7" x14ac:dyDescent="0.25">
      <c r="E8660" s="27"/>
      <c r="F8660" s="27"/>
      <c r="G8660" s="7"/>
    </row>
    <row r="8661" spans="5:7" x14ac:dyDescent="0.25">
      <c r="E8661" s="27"/>
      <c r="F8661" s="27"/>
      <c r="G8661" s="7"/>
    </row>
    <row r="8662" spans="5:7" x14ac:dyDescent="0.25">
      <c r="E8662" s="27"/>
      <c r="F8662" s="27"/>
      <c r="G8662" s="7"/>
    </row>
    <row r="8663" spans="5:7" x14ac:dyDescent="0.25">
      <c r="E8663" s="27"/>
      <c r="F8663" s="27"/>
      <c r="G8663" s="7"/>
    </row>
    <row r="8664" spans="5:7" x14ac:dyDescent="0.25">
      <c r="E8664" s="27"/>
      <c r="F8664" s="27"/>
      <c r="G8664" s="7"/>
    </row>
    <row r="8665" spans="5:7" x14ac:dyDescent="0.25">
      <c r="E8665" s="27"/>
      <c r="F8665" s="27"/>
      <c r="G8665" s="7"/>
    </row>
    <row r="8666" spans="5:7" x14ac:dyDescent="0.25">
      <c r="E8666" s="27"/>
      <c r="F8666" s="27"/>
      <c r="G8666" s="7"/>
    </row>
    <row r="8667" spans="5:7" x14ac:dyDescent="0.25">
      <c r="E8667" s="27"/>
      <c r="F8667" s="27"/>
      <c r="G8667" s="7"/>
    </row>
    <row r="8668" spans="5:7" x14ac:dyDescent="0.25">
      <c r="E8668" s="27"/>
      <c r="F8668" s="27"/>
      <c r="G8668" s="7"/>
    </row>
    <row r="8669" spans="5:7" x14ac:dyDescent="0.25">
      <c r="E8669" s="27"/>
      <c r="F8669" s="27"/>
      <c r="G8669" s="7"/>
    </row>
    <row r="8670" spans="5:7" x14ac:dyDescent="0.25">
      <c r="E8670" s="27"/>
      <c r="F8670" s="27"/>
      <c r="G8670" s="7"/>
    </row>
    <row r="8671" spans="5:7" x14ac:dyDescent="0.25">
      <c r="E8671" s="27"/>
      <c r="F8671" s="27"/>
      <c r="G8671" s="7"/>
    </row>
    <row r="8672" spans="5:7" x14ac:dyDescent="0.25">
      <c r="E8672" s="27"/>
      <c r="F8672" s="27"/>
      <c r="G8672" s="7"/>
    </row>
    <row r="8673" spans="5:7" x14ac:dyDescent="0.25">
      <c r="E8673" s="27"/>
      <c r="F8673" s="27"/>
      <c r="G8673" s="7"/>
    </row>
    <row r="8674" spans="5:7" x14ac:dyDescent="0.25">
      <c r="E8674" s="27"/>
      <c r="F8674" s="27"/>
      <c r="G8674" s="7"/>
    </row>
    <row r="8675" spans="5:7" x14ac:dyDescent="0.25">
      <c r="E8675" s="27"/>
      <c r="F8675" s="27"/>
      <c r="G8675" s="7"/>
    </row>
    <row r="8676" spans="5:7" x14ac:dyDescent="0.25">
      <c r="E8676" s="27"/>
      <c r="F8676" s="27"/>
      <c r="G8676" s="7"/>
    </row>
    <row r="8677" spans="5:7" x14ac:dyDescent="0.25">
      <c r="E8677" s="27"/>
      <c r="F8677" s="27"/>
      <c r="G8677" s="7"/>
    </row>
    <row r="8678" spans="5:7" x14ac:dyDescent="0.25">
      <c r="E8678" s="27"/>
      <c r="F8678" s="27"/>
      <c r="G8678" s="7"/>
    </row>
    <row r="8679" spans="5:7" x14ac:dyDescent="0.25">
      <c r="E8679" s="27"/>
      <c r="F8679" s="27"/>
      <c r="G8679" s="7"/>
    </row>
    <row r="8680" spans="5:7" x14ac:dyDescent="0.25">
      <c r="E8680" s="27"/>
      <c r="F8680" s="27"/>
      <c r="G8680" s="7"/>
    </row>
    <row r="8681" spans="5:7" x14ac:dyDescent="0.25">
      <c r="E8681" s="27"/>
      <c r="F8681" s="27"/>
      <c r="G8681" s="7"/>
    </row>
    <row r="8682" spans="5:7" x14ac:dyDescent="0.25">
      <c r="E8682" s="27"/>
      <c r="F8682" s="27"/>
      <c r="G8682" s="7"/>
    </row>
    <row r="8683" spans="5:7" x14ac:dyDescent="0.25">
      <c r="E8683" s="27"/>
      <c r="F8683" s="27"/>
      <c r="G8683" s="7"/>
    </row>
    <row r="8684" spans="5:7" x14ac:dyDescent="0.25">
      <c r="E8684" s="27"/>
      <c r="F8684" s="27"/>
      <c r="G8684" s="7"/>
    </row>
    <row r="8685" spans="5:7" x14ac:dyDescent="0.25">
      <c r="E8685" s="27"/>
      <c r="F8685" s="27"/>
      <c r="G8685" s="7"/>
    </row>
    <row r="8686" spans="5:7" x14ac:dyDescent="0.25">
      <c r="E8686" s="27"/>
      <c r="F8686" s="27"/>
      <c r="G8686" s="7"/>
    </row>
    <row r="8687" spans="5:7" x14ac:dyDescent="0.25">
      <c r="E8687" s="27"/>
      <c r="F8687" s="27"/>
      <c r="G8687" s="7"/>
    </row>
    <row r="8688" spans="5:7" x14ac:dyDescent="0.25">
      <c r="E8688" s="27"/>
      <c r="F8688" s="27"/>
      <c r="G8688" s="7"/>
    </row>
    <row r="8689" spans="5:7" x14ac:dyDescent="0.25">
      <c r="E8689" s="27"/>
      <c r="F8689" s="27"/>
      <c r="G8689" s="7"/>
    </row>
    <row r="8690" spans="5:7" x14ac:dyDescent="0.25">
      <c r="E8690" s="27"/>
      <c r="F8690" s="27"/>
      <c r="G8690" s="7"/>
    </row>
    <row r="8691" spans="5:7" x14ac:dyDescent="0.25">
      <c r="E8691" s="27"/>
      <c r="F8691" s="27"/>
      <c r="G8691" s="7"/>
    </row>
    <row r="8692" spans="5:7" x14ac:dyDescent="0.25">
      <c r="E8692" s="27"/>
      <c r="F8692" s="27"/>
      <c r="G8692" s="7"/>
    </row>
    <row r="8693" spans="5:7" x14ac:dyDescent="0.25">
      <c r="E8693" s="27"/>
      <c r="F8693" s="27"/>
      <c r="G8693" s="7"/>
    </row>
    <row r="8694" spans="5:7" x14ac:dyDescent="0.25">
      <c r="E8694" s="27"/>
      <c r="F8694" s="27"/>
      <c r="G8694" s="7"/>
    </row>
    <row r="8695" spans="5:7" x14ac:dyDescent="0.25">
      <c r="E8695" s="27"/>
      <c r="F8695" s="27"/>
      <c r="G8695" s="7"/>
    </row>
    <row r="8696" spans="5:7" x14ac:dyDescent="0.25">
      <c r="E8696" s="27"/>
      <c r="F8696" s="27"/>
      <c r="G8696" s="7"/>
    </row>
    <row r="8697" spans="5:7" x14ac:dyDescent="0.25">
      <c r="E8697" s="27"/>
      <c r="F8697" s="27"/>
      <c r="G8697" s="7"/>
    </row>
    <row r="8698" spans="5:7" x14ac:dyDescent="0.25">
      <c r="E8698" s="27"/>
      <c r="F8698" s="27"/>
      <c r="G8698" s="7"/>
    </row>
    <row r="8699" spans="5:7" x14ac:dyDescent="0.25">
      <c r="E8699" s="27"/>
      <c r="F8699" s="27"/>
      <c r="G8699" s="7"/>
    </row>
    <row r="8700" spans="5:7" x14ac:dyDescent="0.25">
      <c r="E8700" s="27"/>
      <c r="F8700" s="27"/>
      <c r="G8700" s="7"/>
    </row>
    <row r="8701" spans="5:7" x14ac:dyDescent="0.25">
      <c r="E8701" s="27"/>
      <c r="F8701" s="27"/>
      <c r="G8701" s="7"/>
    </row>
    <row r="8702" spans="5:7" x14ac:dyDescent="0.25">
      <c r="E8702" s="27"/>
      <c r="F8702" s="27"/>
      <c r="G8702" s="7"/>
    </row>
    <row r="8703" spans="5:7" x14ac:dyDescent="0.25">
      <c r="E8703" s="27"/>
      <c r="F8703" s="27"/>
      <c r="G8703" s="7"/>
    </row>
    <row r="8704" spans="5:7" x14ac:dyDescent="0.25">
      <c r="E8704" s="27"/>
      <c r="F8704" s="27"/>
      <c r="G8704" s="7"/>
    </row>
    <row r="8705" spans="5:7" x14ac:dyDescent="0.25">
      <c r="E8705" s="27"/>
      <c r="F8705" s="27"/>
      <c r="G8705" s="7"/>
    </row>
    <row r="8706" spans="5:7" x14ac:dyDescent="0.25">
      <c r="E8706" s="27"/>
      <c r="F8706" s="27"/>
      <c r="G8706" s="7"/>
    </row>
    <row r="8707" spans="5:7" x14ac:dyDescent="0.25">
      <c r="E8707" s="27"/>
      <c r="F8707" s="27"/>
      <c r="G8707" s="7"/>
    </row>
    <row r="8708" spans="5:7" x14ac:dyDescent="0.25">
      <c r="E8708" s="27"/>
      <c r="F8708" s="27"/>
      <c r="G8708" s="7"/>
    </row>
    <row r="8709" spans="5:7" x14ac:dyDescent="0.25">
      <c r="E8709" s="27"/>
      <c r="F8709" s="27"/>
      <c r="G8709" s="7"/>
    </row>
    <row r="8710" spans="5:7" x14ac:dyDescent="0.25">
      <c r="E8710" s="27"/>
      <c r="F8710" s="27"/>
      <c r="G8710" s="7"/>
    </row>
    <row r="8711" spans="5:7" x14ac:dyDescent="0.25">
      <c r="E8711" s="27"/>
      <c r="F8711" s="27"/>
      <c r="G8711" s="7"/>
    </row>
    <row r="8712" spans="5:7" x14ac:dyDescent="0.25">
      <c r="E8712" s="27"/>
      <c r="F8712" s="27"/>
      <c r="G8712" s="7"/>
    </row>
    <row r="8713" spans="5:7" x14ac:dyDescent="0.25">
      <c r="E8713" s="27"/>
      <c r="F8713" s="27"/>
      <c r="G8713" s="7"/>
    </row>
    <row r="8714" spans="5:7" x14ac:dyDescent="0.25">
      <c r="E8714" s="27"/>
      <c r="F8714" s="27"/>
      <c r="G8714" s="7"/>
    </row>
    <row r="8715" spans="5:7" x14ac:dyDescent="0.25">
      <c r="E8715" s="27"/>
      <c r="F8715" s="27"/>
      <c r="G8715" s="7"/>
    </row>
    <row r="8716" spans="5:7" x14ac:dyDescent="0.25">
      <c r="E8716" s="27"/>
      <c r="F8716" s="27"/>
      <c r="G8716" s="7"/>
    </row>
    <row r="8717" spans="5:7" x14ac:dyDescent="0.25">
      <c r="E8717" s="27"/>
      <c r="F8717" s="27"/>
      <c r="G8717" s="7"/>
    </row>
    <row r="8718" spans="5:7" x14ac:dyDescent="0.25">
      <c r="E8718" s="27"/>
      <c r="F8718" s="27"/>
      <c r="G8718" s="7"/>
    </row>
    <row r="8719" spans="5:7" x14ac:dyDescent="0.25">
      <c r="E8719" s="27"/>
      <c r="F8719" s="27"/>
      <c r="G8719" s="7"/>
    </row>
    <row r="8720" spans="5:7" x14ac:dyDescent="0.25">
      <c r="E8720" s="27"/>
      <c r="F8720" s="27"/>
      <c r="G8720" s="7"/>
    </row>
    <row r="8721" spans="5:7" x14ac:dyDescent="0.25">
      <c r="E8721" s="27"/>
      <c r="F8721" s="27"/>
      <c r="G8721" s="7"/>
    </row>
    <row r="8722" spans="5:7" x14ac:dyDescent="0.25">
      <c r="E8722" s="27"/>
      <c r="F8722" s="27"/>
      <c r="G8722" s="7"/>
    </row>
    <row r="8723" spans="5:7" x14ac:dyDescent="0.25">
      <c r="E8723" s="27"/>
      <c r="F8723" s="27"/>
      <c r="G8723" s="7"/>
    </row>
    <row r="8724" spans="5:7" x14ac:dyDescent="0.25">
      <c r="E8724" s="27"/>
      <c r="F8724" s="27"/>
      <c r="G8724" s="7"/>
    </row>
    <row r="8725" spans="5:7" x14ac:dyDescent="0.25">
      <c r="E8725" s="27"/>
      <c r="F8725" s="27"/>
      <c r="G8725" s="7"/>
    </row>
    <row r="8726" spans="5:7" x14ac:dyDescent="0.25">
      <c r="E8726" s="27"/>
      <c r="F8726" s="27"/>
      <c r="G8726" s="7"/>
    </row>
    <row r="8727" spans="5:7" x14ac:dyDescent="0.25">
      <c r="E8727" s="27"/>
      <c r="F8727" s="27"/>
      <c r="G8727" s="7"/>
    </row>
    <row r="8728" spans="5:7" x14ac:dyDescent="0.25">
      <c r="E8728" s="27"/>
      <c r="F8728" s="27"/>
      <c r="G8728" s="7"/>
    </row>
    <row r="8729" spans="5:7" x14ac:dyDescent="0.25">
      <c r="E8729" s="27"/>
      <c r="F8729" s="27"/>
      <c r="G8729" s="7"/>
    </row>
    <row r="8730" spans="5:7" x14ac:dyDescent="0.25">
      <c r="E8730" s="27"/>
      <c r="F8730" s="27"/>
      <c r="G8730" s="7"/>
    </row>
    <row r="8731" spans="5:7" x14ac:dyDescent="0.25">
      <c r="E8731" s="27"/>
      <c r="F8731" s="27"/>
      <c r="G8731" s="7"/>
    </row>
    <row r="8732" spans="5:7" x14ac:dyDescent="0.25">
      <c r="E8732" s="27"/>
      <c r="F8732" s="27"/>
      <c r="G8732" s="7"/>
    </row>
    <row r="8733" spans="5:7" x14ac:dyDescent="0.25">
      <c r="E8733" s="27"/>
      <c r="F8733" s="27"/>
      <c r="G8733" s="7"/>
    </row>
    <row r="8734" spans="5:7" x14ac:dyDescent="0.25">
      <c r="E8734" s="27"/>
      <c r="F8734" s="27"/>
      <c r="G8734" s="7"/>
    </row>
    <row r="8735" spans="5:7" x14ac:dyDescent="0.25">
      <c r="E8735" s="27"/>
      <c r="F8735" s="27"/>
      <c r="G8735" s="7"/>
    </row>
    <row r="8736" spans="5:7" x14ac:dyDescent="0.25">
      <c r="E8736" s="27"/>
      <c r="F8736" s="27"/>
      <c r="G8736" s="7"/>
    </row>
    <row r="8737" spans="5:7" x14ac:dyDescent="0.25">
      <c r="E8737" s="27"/>
      <c r="F8737" s="27"/>
      <c r="G8737" s="7"/>
    </row>
    <row r="8738" spans="5:7" x14ac:dyDescent="0.25">
      <c r="E8738" s="27"/>
      <c r="F8738" s="27"/>
      <c r="G8738" s="7"/>
    </row>
    <row r="8739" spans="5:7" x14ac:dyDescent="0.25">
      <c r="E8739" s="27"/>
      <c r="F8739" s="27"/>
      <c r="G8739" s="7"/>
    </row>
    <row r="8740" spans="5:7" x14ac:dyDescent="0.25">
      <c r="E8740" s="27"/>
      <c r="F8740" s="27"/>
      <c r="G8740" s="7"/>
    </row>
    <row r="8741" spans="5:7" x14ac:dyDescent="0.25">
      <c r="E8741" s="27"/>
      <c r="F8741" s="27"/>
      <c r="G8741" s="7"/>
    </row>
    <row r="8742" spans="5:7" x14ac:dyDescent="0.25">
      <c r="E8742" s="27"/>
      <c r="F8742" s="27"/>
      <c r="G8742" s="7"/>
    </row>
    <row r="8743" spans="5:7" x14ac:dyDescent="0.25">
      <c r="E8743" s="27"/>
      <c r="F8743" s="27"/>
      <c r="G8743" s="7"/>
    </row>
    <row r="8744" spans="5:7" x14ac:dyDescent="0.25">
      <c r="E8744" s="27"/>
      <c r="F8744" s="27"/>
      <c r="G8744" s="7"/>
    </row>
    <row r="8745" spans="5:7" x14ac:dyDescent="0.25">
      <c r="E8745" s="27"/>
      <c r="F8745" s="27"/>
      <c r="G8745" s="7"/>
    </row>
    <row r="8746" spans="5:7" x14ac:dyDescent="0.25">
      <c r="E8746" s="27"/>
      <c r="F8746" s="27"/>
      <c r="G8746" s="7"/>
    </row>
    <row r="8747" spans="5:7" x14ac:dyDescent="0.25">
      <c r="E8747" s="27"/>
      <c r="F8747" s="27"/>
      <c r="G8747" s="7"/>
    </row>
    <row r="8748" spans="5:7" x14ac:dyDescent="0.25">
      <c r="E8748" s="27"/>
      <c r="F8748" s="27"/>
      <c r="G8748" s="7"/>
    </row>
    <row r="8749" spans="5:7" x14ac:dyDescent="0.25">
      <c r="E8749" s="27"/>
      <c r="F8749" s="27"/>
      <c r="G8749" s="7"/>
    </row>
    <row r="8750" spans="5:7" x14ac:dyDescent="0.25">
      <c r="E8750" s="27"/>
      <c r="F8750" s="27"/>
      <c r="G8750" s="7"/>
    </row>
    <row r="8751" spans="5:7" x14ac:dyDescent="0.25">
      <c r="E8751" s="27"/>
      <c r="F8751" s="27"/>
      <c r="G8751" s="7"/>
    </row>
    <row r="8752" spans="5:7" x14ac:dyDescent="0.25">
      <c r="E8752" s="27"/>
      <c r="F8752" s="27"/>
      <c r="G8752" s="7"/>
    </row>
    <row r="8753" spans="5:7" x14ac:dyDescent="0.25">
      <c r="E8753" s="27"/>
      <c r="F8753" s="27"/>
      <c r="G8753" s="7"/>
    </row>
    <row r="8754" spans="5:7" x14ac:dyDescent="0.25">
      <c r="E8754" s="27"/>
      <c r="F8754" s="27"/>
      <c r="G8754" s="7"/>
    </row>
    <row r="8755" spans="5:7" x14ac:dyDescent="0.25">
      <c r="E8755" s="27"/>
      <c r="F8755" s="27"/>
      <c r="G8755" s="7"/>
    </row>
    <row r="8756" spans="5:7" x14ac:dyDescent="0.25">
      <c r="E8756" s="27"/>
      <c r="F8756" s="27"/>
      <c r="G8756" s="7"/>
    </row>
    <row r="8757" spans="5:7" x14ac:dyDescent="0.25">
      <c r="E8757" s="27"/>
      <c r="F8757" s="27"/>
      <c r="G8757" s="7"/>
    </row>
    <row r="8758" spans="5:7" x14ac:dyDescent="0.25">
      <c r="E8758" s="27"/>
      <c r="F8758" s="27"/>
      <c r="G8758" s="7"/>
    </row>
    <row r="8759" spans="5:7" x14ac:dyDescent="0.25">
      <c r="E8759" s="27"/>
      <c r="F8759" s="27"/>
      <c r="G8759" s="7"/>
    </row>
    <row r="8760" spans="5:7" x14ac:dyDescent="0.25">
      <c r="E8760" s="27"/>
      <c r="F8760" s="27"/>
      <c r="G8760" s="7"/>
    </row>
    <row r="8761" spans="5:7" x14ac:dyDescent="0.25">
      <c r="E8761" s="27"/>
      <c r="F8761" s="27"/>
      <c r="G8761" s="7"/>
    </row>
    <row r="8762" spans="5:7" x14ac:dyDescent="0.25">
      <c r="E8762" s="27"/>
      <c r="F8762" s="27"/>
      <c r="G8762" s="7"/>
    </row>
    <row r="8763" spans="5:7" x14ac:dyDescent="0.25">
      <c r="E8763" s="27"/>
      <c r="F8763" s="27"/>
      <c r="G8763" s="7"/>
    </row>
    <row r="8764" spans="5:7" x14ac:dyDescent="0.25">
      <c r="E8764" s="27"/>
      <c r="F8764" s="27"/>
      <c r="G8764" s="7"/>
    </row>
    <row r="8765" spans="5:7" x14ac:dyDescent="0.25">
      <c r="E8765" s="27"/>
      <c r="F8765" s="27"/>
      <c r="G8765" s="7"/>
    </row>
    <row r="8766" spans="5:7" x14ac:dyDescent="0.25">
      <c r="E8766" s="27"/>
      <c r="F8766" s="27"/>
      <c r="G8766" s="7"/>
    </row>
    <row r="8767" spans="5:7" x14ac:dyDescent="0.25">
      <c r="E8767" s="27"/>
      <c r="F8767" s="27"/>
      <c r="G8767" s="7"/>
    </row>
    <row r="8768" spans="5:7" x14ac:dyDescent="0.25">
      <c r="E8768" s="27"/>
      <c r="F8768" s="27"/>
      <c r="G8768" s="7"/>
    </row>
    <row r="8769" spans="5:7" x14ac:dyDescent="0.25">
      <c r="E8769" s="27"/>
      <c r="F8769" s="27"/>
      <c r="G8769" s="7"/>
    </row>
    <row r="8770" spans="5:7" x14ac:dyDescent="0.25">
      <c r="E8770" s="27"/>
      <c r="F8770" s="27"/>
      <c r="G8770" s="7"/>
    </row>
    <row r="8771" spans="5:7" x14ac:dyDescent="0.25">
      <c r="E8771" s="27"/>
      <c r="F8771" s="27"/>
      <c r="G8771" s="7"/>
    </row>
    <row r="8772" spans="5:7" x14ac:dyDescent="0.25">
      <c r="E8772" s="27"/>
      <c r="F8772" s="27"/>
      <c r="G8772" s="7"/>
    </row>
    <row r="8773" spans="5:7" x14ac:dyDescent="0.25">
      <c r="E8773" s="27"/>
      <c r="F8773" s="27"/>
      <c r="G8773" s="7"/>
    </row>
    <row r="8774" spans="5:7" x14ac:dyDescent="0.25">
      <c r="E8774" s="27"/>
      <c r="F8774" s="27"/>
      <c r="G8774" s="7"/>
    </row>
    <row r="8775" spans="5:7" x14ac:dyDescent="0.25">
      <c r="E8775" s="27"/>
      <c r="F8775" s="27"/>
      <c r="G8775" s="7"/>
    </row>
    <row r="8776" spans="5:7" x14ac:dyDescent="0.25">
      <c r="E8776" s="27"/>
      <c r="F8776" s="27"/>
      <c r="G8776" s="7"/>
    </row>
    <row r="8777" spans="5:7" x14ac:dyDescent="0.25">
      <c r="E8777" s="27"/>
      <c r="F8777" s="27"/>
      <c r="G8777" s="7"/>
    </row>
    <row r="8778" spans="5:7" x14ac:dyDescent="0.25">
      <c r="E8778" s="27"/>
      <c r="F8778" s="27"/>
      <c r="G8778" s="7"/>
    </row>
    <row r="8779" spans="5:7" x14ac:dyDescent="0.25">
      <c r="E8779" s="27"/>
      <c r="F8779" s="27"/>
      <c r="G8779" s="7"/>
    </row>
    <row r="8780" spans="5:7" x14ac:dyDescent="0.25">
      <c r="E8780" s="27"/>
      <c r="F8780" s="27"/>
      <c r="G8780" s="7"/>
    </row>
    <row r="8781" spans="5:7" x14ac:dyDescent="0.25">
      <c r="E8781" s="27"/>
      <c r="F8781" s="27"/>
      <c r="G8781" s="7"/>
    </row>
    <row r="8782" spans="5:7" x14ac:dyDescent="0.25">
      <c r="E8782" s="27"/>
      <c r="F8782" s="27"/>
      <c r="G8782" s="7"/>
    </row>
    <row r="8783" spans="5:7" x14ac:dyDescent="0.25">
      <c r="E8783" s="27"/>
      <c r="F8783" s="27"/>
      <c r="G8783" s="7"/>
    </row>
    <row r="8784" spans="5:7" x14ac:dyDescent="0.25">
      <c r="E8784" s="27"/>
      <c r="F8784" s="27"/>
      <c r="G8784" s="7"/>
    </row>
    <row r="8785" spans="5:7" x14ac:dyDescent="0.25">
      <c r="E8785" s="27"/>
      <c r="F8785" s="27"/>
      <c r="G8785" s="7"/>
    </row>
    <row r="8786" spans="5:7" x14ac:dyDescent="0.25">
      <c r="E8786" s="27"/>
      <c r="F8786" s="27"/>
      <c r="G8786" s="7"/>
    </row>
    <row r="8787" spans="5:7" x14ac:dyDescent="0.25">
      <c r="E8787" s="27"/>
      <c r="F8787" s="27"/>
      <c r="G8787" s="7"/>
    </row>
    <row r="8788" spans="5:7" x14ac:dyDescent="0.25">
      <c r="E8788" s="27"/>
      <c r="F8788" s="27"/>
      <c r="G8788" s="7"/>
    </row>
    <row r="8789" spans="5:7" x14ac:dyDescent="0.25">
      <c r="E8789" s="27"/>
      <c r="F8789" s="27"/>
      <c r="G8789" s="7"/>
    </row>
    <row r="8790" spans="5:7" x14ac:dyDescent="0.25">
      <c r="E8790" s="27"/>
      <c r="F8790" s="27"/>
      <c r="G8790" s="7"/>
    </row>
    <row r="8791" spans="5:7" x14ac:dyDescent="0.25">
      <c r="E8791" s="27"/>
      <c r="F8791" s="27"/>
      <c r="G8791" s="7"/>
    </row>
    <row r="8792" spans="5:7" x14ac:dyDescent="0.25">
      <c r="E8792" s="27"/>
      <c r="F8792" s="27"/>
      <c r="G8792" s="7"/>
    </row>
    <row r="8793" spans="5:7" x14ac:dyDescent="0.25">
      <c r="E8793" s="27"/>
      <c r="F8793" s="27"/>
      <c r="G8793" s="7"/>
    </row>
    <row r="8794" spans="5:7" x14ac:dyDescent="0.25">
      <c r="E8794" s="27"/>
      <c r="F8794" s="27"/>
      <c r="G8794" s="7"/>
    </row>
    <row r="8795" spans="5:7" x14ac:dyDescent="0.25">
      <c r="E8795" s="27"/>
      <c r="F8795" s="27"/>
      <c r="G8795" s="7"/>
    </row>
    <row r="8796" spans="5:7" x14ac:dyDescent="0.25">
      <c r="E8796" s="27"/>
      <c r="F8796" s="27"/>
      <c r="G8796" s="7"/>
    </row>
    <row r="8797" spans="5:7" x14ac:dyDescent="0.25">
      <c r="E8797" s="27"/>
      <c r="F8797" s="27"/>
      <c r="G8797" s="7"/>
    </row>
    <row r="8798" spans="5:7" x14ac:dyDescent="0.25">
      <c r="E8798" s="27"/>
      <c r="F8798" s="27"/>
      <c r="G8798" s="7"/>
    </row>
    <row r="8799" spans="5:7" x14ac:dyDescent="0.25">
      <c r="E8799" s="27"/>
      <c r="F8799" s="27"/>
      <c r="G8799" s="7"/>
    </row>
    <row r="8800" spans="5:7" x14ac:dyDescent="0.25">
      <c r="E8800" s="27"/>
      <c r="F8800" s="27"/>
      <c r="G8800" s="7"/>
    </row>
    <row r="8801" spans="5:7" x14ac:dyDescent="0.25">
      <c r="E8801" s="27"/>
      <c r="F8801" s="27"/>
      <c r="G8801" s="7"/>
    </row>
    <row r="8802" spans="5:7" x14ac:dyDescent="0.25">
      <c r="E8802" s="27"/>
      <c r="F8802" s="27"/>
      <c r="G8802" s="7"/>
    </row>
    <row r="8803" spans="5:7" x14ac:dyDescent="0.25">
      <c r="E8803" s="27"/>
      <c r="F8803" s="27"/>
      <c r="G8803" s="7"/>
    </row>
    <row r="8804" spans="5:7" x14ac:dyDescent="0.25">
      <c r="E8804" s="27"/>
      <c r="F8804" s="27"/>
      <c r="G8804" s="7"/>
    </row>
    <row r="8805" spans="5:7" x14ac:dyDescent="0.25">
      <c r="E8805" s="27"/>
      <c r="F8805" s="27"/>
      <c r="G8805" s="7"/>
    </row>
    <row r="8806" spans="5:7" x14ac:dyDescent="0.25">
      <c r="E8806" s="27"/>
      <c r="F8806" s="27"/>
      <c r="G8806" s="7"/>
    </row>
    <row r="8807" spans="5:7" x14ac:dyDescent="0.25">
      <c r="E8807" s="27"/>
      <c r="F8807" s="27"/>
      <c r="G8807" s="7"/>
    </row>
    <row r="8808" spans="5:7" x14ac:dyDescent="0.25">
      <c r="E8808" s="27"/>
      <c r="F8808" s="27"/>
      <c r="G8808" s="7"/>
    </row>
    <row r="8809" spans="5:7" x14ac:dyDescent="0.25">
      <c r="E8809" s="27"/>
      <c r="F8809" s="27"/>
      <c r="G8809" s="7"/>
    </row>
    <row r="8810" spans="5:7" x14ac:dyDescent="0.25">
      <c r="E8810" s="27"/>
      <c r="F8810" s="27"/>
      <c r="G8810" s="7"/>
    </row>
    <row r="8811" spans="5:7" x14ac:dyDescent="0.25">
      <c r="E8811" s="27"/>
      <c r="F8811" s="27"/>
      <c r="G8811" s="7"/>
    </row>
    <row r="8812" spans="5:7" x14ac:dyDescent="0.25">
      <c r="E8812" s="27"/>
      <c r="F8812" s="27"/>
      <c r="G8812" s="7"/>
    </row>
    <row r="8813" spans="5:7" x14ac:dyDescent="0.25">
      <c r="E8813" s="27"/>
      <c r="F8813" s="27"/>
      <c r="G8813" s="7"/>
    </row>
    <row r="8814" spans="5:7" x14ac:dyDescent="0.25">
      <c r="E8814" s="27"/>
      <c r="F8814" s="27"/>
      <c r="G8814" s="7"/>
    </row>
    <row r="8815" spans="5:7" x14ac:dyDescent="0.25">
      <c r="E8815" s="27"/>
      <c r="F8815" s="27"/>
      <c r="G8815" s="7"/>
    </row>
    <row r="8816" spans="5:7" x14ac:dyDescent="0.25">
      <c r="E8816" s="27"/>
      <c r="F8816" s="27"/>
      <c r="G8816" s="7"/>
    </row>
    <row r="8817" spans="5:7" x14ac:dyDescent="0.25">
      <c r="E8817" s="27"/>
      <c r="F8817" s="27"/>
      <c r="G8817" s="7"/>
    </row>
    <row r="8818" spans="5:7" x14ac:dyDescent="0.25">
      <c r="E8818" s="27"/>
      <c r="F8818" s="27"/>
      <c r="G8818" s="7"/>
    </row>
    <row r="8819" spans="5:7" x14ac:dyDescent="0.25">
      <c r="E8819" s="27"/>
      <c r="F8819" s="27"/>
      <c r="G8819" s="7"/>
    </row>
    <row r="8820" spans="5:7" x14ac:dyDescent="0.25">
      <c r="E8820" s="27"/>
      <c r="F8820" s="27"/>
      <c r="G8820" s="7"/>
    </row>
    <row r="8821" spans="5:7" x14ac:dyDescent="0.25">
      <c r="E8821" s="27"/>
      <c r="F8821" s="27"/>
      <c r="G8821" s="7"/>
    </row>
    <row r="8822" spans="5:7" x14ac:dyDescent="0.25">
      <c r="E8822" s="27"/>
      <c r="F8822" s="27"/>
      <c r="G8822" s="7"/>
    </row>
    <row r="8823" spans="5:7" x14ac:dyDescent="0.25">
      <c r="E8823" s="27"/>
      <c r="F8823" s="27"/>
      <c r="G8823" s="7"/>
    </row>
    <row r="8824" spans="5:7" x14ac:dyDescent="0.25">
      <c r="E8824" s="27"/>
      <c r="F8824" s="27"/>
      <c r="G8824" s="7"/>
    </row>
    <row r="8825" spans="5:7" x14ac:dyDescent="0.25">
      <c r="E8825" s="27"/>
      <c r="F8825" s="27"/>
      <c r="G8825" s="7"/>
    </row>
    <row r="8826" spans="5:7" x14ac:dyDescent="0.25">
      <c r="E8826" s="27"/>
      <c r="F8826" s="27"/>
      <c r="G8826" s="7"/>
    </row>
    <row r="8827" spans="5:7" x14ac:dyDescent="0.25">
      <c r="E8827" s="27"/>
      <c r="F8827" s="27"/>
      <c r="G8827" s="7"/>
    </row>
    <row r="8828" spans="5:7" x14ac:dyDescent="0.25">
      <c r="E8828" s="27"/>
      <c r="F8828" s="27"/>
      <c r="G8828" s="7"/>
    </row>
    <row r="8829" spans="5:7" x14ac:dyDescent="0.25">
      <c r="E8829" s="27"/>
      <c r="F8829" s="27"/>
      <c r="G8829" s="7"/>
    </row>
    <row r="8830" spans="5:7" x14ac:dyDescent="0.25">
      <c r="E8830" s="27"/>
      <c r="F8830" s="27"/>
      <c r="G8830" s="7"/>
    </row>
    <row r="8831" spans="5:7" x14ac:dyDescent="0.25">
      <c r="E8831" s="27"/>
      <c r="F8831" s="27"/>
      <c r="G8831" s="7"/>
    </row>
    <row r="8832" spans="5:7" x14ac:dyDescent="0.25">
      <c r="E8832" s="27"/>
      <c r="F8832" s="27"/>
      <c r="G8832" s="7"/>
    </row>
    <row r="8833" spans="5:7" x14ac:dyDescent="0.25">
      <c r="E8833" s="27"/>
      <c r="F8833" s="27"/>
      <c r="G8833" s="7"/>
    </row>
    <row r="8834" spans="5:7" x14ac:dyDescent="0.25">
      <c r="E8834" s="27"/>
      <c r="F8834" s="27"/>
      <c r="G8834" s="7"/>
    </row>
    <row r="8835" spans="5:7" x14ac:dyDescent="0.25">
      <c r="E8835" s="27"/>
      <c r="F8835" s="27"/>
      <c r="G8835" s="7"/>
    </row>
    <row r="8836" spans="5:7" x14ac:dyDescent="0.25">
      <c r="E8836" s="27"/>
      <c r="F8836" s="27"/>
      <c r="G8836" s="7"/>
    </row>
    <row r="8837" spans="5:7" x14ac:dyDescent="0.25">
      <c r="E8837" s="27"/>
      <c r="F8837" s="27"/>
      <c r="G8837" s="7"/>
    </row>
    <row r="8838" spans="5:7" x14ac:dyDescent="0.25">
      <c r="E8838" s="27"/>
      <c r="F8838" s="27"/>
      <c r="G8838" s="7"/>
    </row>
    <row r="8839" spans="5:7" x14ac:dyDescent="0.25">
      <c r="E8839" s="27"/>
      <c r="F8839" s="27"/>
      <c r="G8839" s="7"/>
    </row>
    <row r="8840" spans="5:7" x14ac:dyDescent="0.25">
      <c r="E8840" s="27"/>
      <c r="F8840" s="27"/>
      <c r="G8840" s="7"/>
    </row>
    <row r="8841" spans="5:7" x14ac:dyDescent="0.25">
      <c r="E8841" s="27"/>
      <c r="F8841" s="27"/>
      <c r="G8841" s="7"/>
    </row>
    <row r="8842" spans="5:7" x14ac:dyDescent="0.25">
      <c r="E8842" s="27"/>
      <c r="F8842" s="27"/>
      <c r="G8842" s="7"/>
    </row>
    <row r="8843" spans="5:7" x14ac:dyDescent="0.25">
      <c r="E8843" s="27"/>
      <c r="F8843" s="27"/>
      <c r="G8843" s="7"/>
    </row>
    <row r="8844" spans="5:7" x14ac:dyDescent="0.25">
      <c r="E8844" s="27"/>
      <c r="F8844" s="27"/>
      <c r="G8844" s="7"/>
    </row>
    <row r="8845" spans="5:7" x14ac:dyDescent="0.25">
      <c r="E8845" s="27"/>
      <c r="F8845" s="27"/>
      <c r="G8845" s="7"/>
    </row>
    <row r="8846" spans="5:7" x14ac:dyDescent="0.25">
      <c r="E8846" s="27"/>
      <c r="F8846" s="27"/>
      <c r="G8846" s="7"/>
    </row>
    <row r="8847" spans="5:7" x14ac:dyDescent="0.25">
      <c r="E8847" s="27"/>
      <c r="F8847" s="27"/>
      <c r="G8847" s="7"/>
    </row>
    <row r="8848" spans="5:7" x14ac:dyDescent="0.25">
      <c r="E8848" s="27"/>
      <c r="F8848" s="27"/>
      <c r="G8848" s="7"/>
    </row>
    <row r="8849" spans="5:7" x14ac:dyDescent="0.25">
      <c r="E8849" s="27"/>
      <c r="F8849" s="27"/>
      <c r="G8849" s="7"/>
    </row>
    <row r="8850" spans="5:7" x14ac:dyDescent="0.25">
      <c r="E8850" s="27"/>
      <c r="F8850" s="27"/>
      <c r="G8850" s="7"/>
    </row>
    <row r="8851" spans="5:7" x14ac:dyDescent="0.25">
      <c r="E8851" s="27"/>
      <c r="F8851" s="27"/>
      <c r="G8851" s="7"/>
    </row>
    <row r="8852" spans="5:7" x14ac:dyDescent="0.25">
      <c r="E8852" s="27"/>
      <c r="F8852" s="27"/>
      <c r="G8852" s="7"/>
    </row>
    <row r="8853" spans="5:7" x14ac:dyDescent="0.25">
      <c r="E8853" s="27"/>
      <c r="F8853" s="27"/>
      <c r="G8853" s="7"/>
    </row>
    <row r="8854" spans="5:7" x14ac:dyDescent="0.25">
      <c r="E8854" s="27"/>
      <c r="F8854" s="27"/>
      <c r="G8854" s="7"/>
    </row>
    <row r="8855" spans="5:7" x14ac:dyDescent="0.25">
      <c r="E8855" s="27"/>
      <c r="F8855" s="27"/>
      <c r="G8855" s="7"/>
    </row>
    <row r="8856" spans="5:7" x14ac:dyDescent="0.25">
      <c r="E8856" s="27"/>
      <c r="F8856" s="27"/>
      <c r="G8856" s="7"/>
    </row>
    <row r="8857" spans="5:7" x14ac:dyDescent="0.25">
      <c r="E8857" s="27"/>
      <c r="F8857" s="27"/>
      <c r="G8857" s="7"/>
    </row>
    <row r="8858" spans="5:7" x14ac:dyDescent="0.25">
      <c r="E8858" s="27"/>
      <c r="F8858" s="27"/>
      <c r="G8858" s="7"/>
    </row>
    <row r="8859" spans="5:7" x14ac:dyDescent="0.25">
      <c r="E8859" s="27"/>
      <c r="F8859" s="27"/>
      <c r="G8859" s="7"/>
    </row>
    <row r="8860" spans="5:7" x14ac:dyDescent="0.25">
      <c r="E8860" s="27"/>
      <c r="F8860" s="27"/>
      <c r="G8860" s="7"/>
    </row>
    <row r="8861" spans="5:7" x14ac:dyDescent="0.25">
      <c r="E8861" s="27"/>
      <c r="F8861" s="27"/>
      <c r="G8861" s="7"/>
    </row>
    <row r="8862" spans="5:7" x14ac:dyDescent="0.25">
      <c r="E8862" s="27"/>
      <c r="F8862" s="27"/>
      <c r="G8862" s="7"/>
    </row>
    <row r="8863" spans="5:7" x14ac:dyDescent="0.25">
      <c r="E8863" s="27"/>
      <c r="F8863" s="27"/>
      <c r="G8863" s="7"/>
    </row>
    <row r="8864" spans="5:7" x14ac:dyDescent="0.25">
      <c r="E8864" s="27"/>
      <c r="F8864" s="27"/>
      <c r="G8864" s="7"/>
    </row>
    <row r="8865" spans="5:7" x14ac:dyDescent="0.25">
      <c r="E8865" s="27"/>
      <c r="F8865" s="27"/>
      <c r="G8865" s="7"/>
    </row>
    <row r="8866" spans="5:7" x14ac:dyDescent="0.25">
      <c r="E8866" s="27"/>
      <c r="F8866" s="27"/>
      <c r="G8866" s="7"/>
    </row>
    <row r="8867" spans="5:7" x14ac:dyDescent="0.25">
      <c r="E8867" s="27"/>
      <c r="F8867" s="27"/>
      <c r="G8867" s="7"/>
    </row>
    <row r="8868" spans="5:7" x14ac:dyDescent="0.25">
      <c r="E8868" s="27"/>
      <c r="F8868" s="27"/>
      <c r="G8868" s="7"/>
    </row>
    <row r="8869" spans="5:7" x14ac:dyDescent="0.25">
      <c r="E8869" s="27"/>
      <c r="F8869" s="27"/>
      <c r="G8869" s="7"/>
    </row>
    <row r="8870" spans="5:7" x14ac:dyDescent="0.25">
      <c r="E8870" s="27"/>
      <c r="F8870" s="27"/>
      <c r="G8870" s="7"/>
    </row>
    <row r="8871" spans="5:7" x14ac:dyDescent="0.25">
      <c r="E8871" s="27"/>
      <c r="F8871" s="27"/>
      <c r="G8871" s="7"/>
    </row>
    <row r="8872" spans="5:7" x14ac:dyDescent="0.25">
      <c r="E8872" s="27"/>
      <c r="F8872" s="27"/>
      <c r="G8872" s="7"/>
    </row>
    <row r="8873" spans="5:7" x14ac:dyDescent="0.25">
      <c r="E8873" s="27"/>
      <c r="F8873" s="27"/>
      <c r="G8873" s="7"/>
    </row>
    <row r="8874" spans="5:7" x14ac:dyDescent="0.25">
      <c r="E8874" s="27"/>
      <c r="F8874" s="27"/>
      <c r="G8874" s="7"/>
    </row>
    <row r="8875" spans="5:7" x14ac:dyDescent="0.25">
      <c r="E8875" s="27"/>
      <c r="F8875" s="27"/>
      <c r="G8875" s="7"/>
    </row>
    <row r="8876" spans="5:7" x14ac:dyDescent="0.25">
      <c r="E8876" s="27"/>
      <c r="F8876" s="27"/>
      <c r="G8876" s="7"/>
    </row>
    <row r="8877" spans="5:7" x14ac:dyDescent="0.25">
      <c r="E8877" s="27"/>
      <c r="F8877" s="27"/>
      <c r="G8877" s="7"/>
    </row>
    <row r="8878" spans="5:7" x14ac:dyDescent="0.25">
      <c r="E8878" s="27"/>
      <c r="F8878" s="27"/>
      <c r="G8878" s="7"/>
    </row>
    <row r="8879" spans="5:7" x14ac:dyDescent="0.25">
      <c r="E8879" s="27"/>
      <c r="F8879" s="27"/>
      <c r="G8879" s="7"/>
    </row>
    <row r="8880" spans="5:7" x14ac:dyDescent="0.25">
      <c r="E8880" s="27"/>
      <c r="F8880" s="27"/>
      <c r="G8880" s="7"/>
    </row>
    <row r="8881" spans="5:7" x14ac:dyDescent="0.25">
      <c r="E8881" s="27"/>
      <c r="F8881" s="27"/>
      <c r="G8881" s="7"/>
    </row>
    <row r="8882" spans="5:7" x14ac:dyDescent="0.25">
      <c r="E8882" s="27"/>
      <c r="F8882" s="27"/>
      <c r="G8882" s="7"/>
    </row>
    <row r="8883" spans="5:7" x14ac:dyDescent="0.25">
      <c r="E8883" s="27"/>
      <c r="F8883" s="27"/>
      <c r="G8883" s="7"/>
    </row>
    <row r="8884" spans="5:7" x14ac:dyDescent="0.25">
      <c r="E8884" s="27"/>
      <c r="F8884" s="27"/>
      <c r="G8884" s="7"/>
    </row>
    <row r="8885" spans="5:7" x14ac:dyDescent="0.25">
      <c r="E8885" s="27"/>
      <c r="F8885" s="27"/>
      <c r="G8885" s="7"/>
    </row>
    <row r="8886" spans="5:7" x14ac:dyDescent="0.25">
      <c r="E8886" s="27"/>
      <c r="F8886" s="27"/>
      <c r="G8886" s="7"/>
    </row>
    <row r="8887" spans="5:7" x14ac:dyDescent="0.25">
      <c r="E8887" s="27"/>
      <c r="F8887" s="27"/>
      <c r="G8887" s="7"/>
    </row>
    <row r="8888" spans="5:7" x14ac:dyDescent="0.25">
      <c r="E8888" s="27"/>
      <c r="F8888" s="27"/>
      <c r="G8888" s="7"/>
    </row>
    <row r="8889" spans="5:7" x14ac:dyDescent="0.25">
      <c r="E8889" s="27"/>
      <c r="F8889" s="27"/>
      <c r="G8889" s="7"/>
    </row>
    <row r="8890" spans="5:7" x14ac:dyDescent="0.25">
      <c r="E8890" s="27"/>
      <c r="F8890" s="27"/>
      <c r="G8890" s="7"/>
    </row>
    <row r="8891" spans="5:7" x14ac:dyDescent="0.25">
      <c r="E8891" s="27"/>
      <c r="F8891" s="27"/>
      <c r="G8891" s="7"/>
    </row>
    <row r="8892" spans="5:7" x14ac:dyDescent="0.25">
      <c r="E8892" s="27"/>
      <c r="F8892" s="27"/>
      <c r="G8892" s="7"/>
    </row>
    <row r="8893" spans="5:7" x14ac:dyDescent="0.25">
      <c r="E8893" s="27"/>
      <c r="F8893" s="27"/>
      <c r="G8893" s="7"/>
    </row>
    <row r="8894" spans="5:7" x14ac:dyDescent="0.25">
      <c r="E8894" s="27"/>
      <c r="F8894" s="27"/>
      <c r="G8894" s="7"/>
    </row>
    <row r="8895" spans="5:7" x14ac:dyDescent="0.25">
      <c r="E8895" s="27"/>
      <c r="F8895" s="27"/>
      <c r="G8895" s="7"/>
    </row>
    <row r="8896" spans="5:7" x14ac:dyDescent="0.25">
      <c r="E8896" s="27"/>
      <c r="F8896" s="27"/>
      <c r="G8896" s="7"/>
    </row>
    <row r="8897" spans="5:7" x14ac:dyDescent="0.25">
      <c r="E8897" s="27"/>
      <c r="F8897" s="27"/>
      <c r="G8897" s="7"/>
    </row>
    <row r="8898" spans="5:7" x14ac:dyDescent="0.25">
      <c r="E8898" s="27"/>
      <c r="F8898" s="27"/>
      <c r="G8898" s="7"/>
    </row>
    <row r="8899" spans="5:7" x14ac:dyDescent="0.25">
      <c r="E8899" s="27"/>
      <c r="F8899" s="27"/>
      <c r="G8899" s="7"/>
    </row>
    <row r="8900" spans="5:7" x14ac:dyDescent="0.25">
      <c r="E8900" s="27"/>
      <c r="F8900" s="27"/>
      <c r="G8900" s="7"/>
    </row>
    <row r="8901" spans="5:7" x14ac:dyDescent="0.25">
      <c r="E8901" s="27"/>
      <c r="F8901" s="27"/>
      <c r="G8901" s="7"/>
    </row>
    <row r="8902" spans="5:7" x14ac:dyDescent="0.25">
      <c r="E8902" s="27"/>
      <c r="F8902" s="27"/>
      <c r="G8902" s="7"/>
    </row>
    <row r="8903" spans="5:7" x14ac:dyDescent="0.25">
      <c r="E8903" s="27"/>
      <c r="F8903" s="27"/>
      <c r="G8903" s="7"/>
    </row>
    <row r="8904" spans="5:7" x14ac:dyDescent="0.25">
      <c r="E8904" s="27"/>
      <c r="F8904" s="27"/>
      <c r="G8904" s="7"/>
    </row>
    <row r="8905" spans="5:7" x14ac:dyDescent="0.25">
      <c r="E8905" s="27"/>
      <c r="F8905" s="27"/>
      <c r="G8905" s="7"/>
    </row>
    <row r="8906" spans="5:7" x14ac:dyDescent="0.25">
      <c r="E8906" s="27"/>
      <c r="F8906" s="27"/>
      <c r="G8906" s="7"/>
    </row>
    <row r="8907" spans="5:7" x14ac:dyDescent="0.25">
      <c r="E8907" s="27"/>
      <c r="F8907" s="27"/>
      <c r="G8907" s="7"/>
    </row>
    <row r="8908" spans="5:7" x14ac:dyDescent="0.25">
      <c r="E8908" s="27"/>
      <c r="F8908" s="27"/>
      <c r="G8908" s="7"/>
    </row>
    <row r="8909" spans="5:7" x14ac:dyDescent="0.25">
      <c r="E8909" s="27"/>
      <c r="F8909" s="27"/>
      <c r="G8909" s="7"/>
    </row>
    <row r="8910" spans="5:7" x14ac:dyDescent="0.25">
      <c r="E8910" s="27"/>
      <c r="F8910" s="27"/>
      <c r="G8910" s="7"/>
    </row>
    <row r="8911" spans="5:7" x14ac:dyDescent="0.25">
      <c r="E8911" s="27"/>
      <c r="F8911" s="27"/>
      <c r="G8911" s="7"/>
    </row>
    <row r="8912" spans="5:7" x14ac:dyDescent="0.25">
      <c r="E8912" s="27"/>
      <c r="F8912" s="27"/>
      <c r="G8912" s="7"/>
    </row>
    <row r="8913" spans="5:7" x14ac:dyDescent="0.25">
      <c r="E8913" s="27"/>
      <c r="F8913" s="27"/>
      <c r="G8913" s="7"/>
    </row>
    <row r="8914" spans="5:7" x14ac:dyDescent="0.25">
      <c r="E8914" s="27"/>
      <c r="F8914" s="27"/>
      <c r="G8914" s="7"/>
    </row>
    <row r="8915" spans="5:7" x14ac:dyDescent="0.25">
      <c r="E8915" s="27"/>
      <c r="F8915" s="27"/>
      <c r="G8915" s="7"/>
    </row>
    <row r="8916" spans="5:7" x14ac:dyDescent="0.25">
      <c r="E8916" s="27"/>
      <c r="F8916" s="27"/>
      <c r="G8916" s="7"/>
    </row>
    <row r="8917" spans="5:7" x14ac:dyDescent="0.25">
      <c r="E8917" s="27"/>
      <c r="F8917" s="27"/>
      <c r="G8917" s="7"/>
    </row>
    <row r="8918" spans="5:7" x14ac:dyDescent="0.25">
      <c r="E8918" s="27"/>
      <c r="F8918" s="27"/>
      <c r="G8918" s="7"/>
    </row>
    <row r="8919" spans="5:7" x14ac:dyDescent="0.25">
      <c r="E8919" s="27"/>
      <c r="F8919" s="27"/>
      <c r="G8919" s="7"/>
    </row>
    <row r="8920" spans="5:7" x14ac:dyDescent="0.25">
      <c r="E8920" s="27"/>
      <c r="F8920" s="27"/>
      <c r="G8920" s="7"/>
    </row>
    <row r="8921" spans="5:7" x14ac:dyDescent="0.25">
      <c r="E8921" s="27"/>
      <c r="F8921" s="27"/>
      <c r="G8921" s="7"/>
    </row>
    <row r="8922" spans="5:7" x14ac:dyDescent="0.25">
      <c r="E8922" s="27"/>
      <c r="F8922" s="27"/>
      <c r="G8922" s="7"/>
    </row>
    <row r="8923" spans="5:7" x14ac:dyDescent="0.25">
      <c r="E8923" s="27"/>
      <c r="F8923" s="27"/>
      <c r="G8923" s="7"/>
    </row>
    <row r="8924" spans="5:7" x14ac:dyDescent="0.25">
      <c r="E8924" s="27"/>
      <c r="F8924" s="27"/>
      <c r="G8924" s="7"/>
    </row>
    <row r="8925" spans="5:7" x14ac:dyDescent="0.25">
      <c r="E8925" s="27"/>
      <c r="F8925" s="27"/>
      <c r="G8925" s="7"/>
    </row>
    <row r="8926" spans="5:7" x14ac:dyDescent="0.25">
      <c r="E8926" s="27"/>
      <c r="F8926" s="27"/>
      <c r="G8926" s="7"/>
    </row>
    <row r="8927" spans="5:7" x14ac:dyDescent="0.25">
      <c r="E8927" s="27"/>
      <c r="F8927" s="27"/>
      <c r="G8927" s="7"/>
    </row>
    <row r="8928" spans="5:7" x14ac:dyDescent="0.25">
      <c r="E8928" s="27"/>
      <c r="F8928" s="27"/>
      <c r="G8928" s="7"/>
    </row>
    <row r="8929" spans="5:7" x14ac:dyDescent="0.25">
      <c r="E8929" s="27"/>
      <c r="F8929" s="27"/>
      <c r="G8929" s="7"/>
    </row>
    <row r="8930" spans="5:7" x14ac:dyDescent="0.25">
      <c r="E8930" s="27"/>
      <c r="F8930" s="27"/>
      <c r="G8930" s="7"/>
    </row>
    <row r="8931" spans="5:7" x14ac:dyDescent="0.25">
      <c r="E8931" s="27"/>
      <c r="F8931" s="27"/>
      <c r="G8931" s="7"/>
    </row>
    <row r="8932" spans="5:7" x14ac:dyDescent="0.25">
      <c r="E8932" s="27"/>
      <c r="F8932" s="27"/>
      <c r="G8932" s="7"/>
    </row>
    <row r="8933" spans="5:7" x14ac:dyDescent="0.25">
      <c r="E8933" s="27"/>
      <c r="F8933" s="27"/>
      <c r="G8933" s="7"/>
    </row>
    <row r="8934" spans="5:7" x14ac:dyDescent="0.25">
      <c r="E8934" s="27"/>
      <c r="F8934" s="27"/>
      <c r="G8934" s="7"/>
    </row>
    <row r="8935" spans="5:7" x14ac:dyDescent="0.25">
      <c r="E8935" s="27"/>
      <c r="F8935" s="27"/>
      <c r="G8935" s="7"/>
    </row>
    <row r="8936" spans="5:7" x14ac:dyDescent="0.25">
      <c r="E8936" s="27"/>
      <c r="F8936" s="27"/>
      <c r="G8936" s="7"/>
    </row>
    <row r="8937" spans="5:7" x14ac:dyDescent="0.25">
      <c r="E8937" s="27"/>
      <c r="F8937" s="27"/>
      <c r="G8937" s="7"/>
    </row>
    <row r="8938" spans="5:7" x14ac:dyDescent="0.25">
      <c r="E8938" s="27"/>
      <c r="F8938" s="27"/>
      <c r="G8938" s="7"/>
    </row>
    <row r="8939" spans="5:7" x14ac:dyDescent="0.25">
      <c r="E8939" s="27"/>
      <c r="F8939" s="27"/>
      <c r="G8939" s="7"/>
    </row>
    <row r="8940" spans="5:7" x14ac:dyDescent="0.25">
      <c r="E8940" s="27"/>
      <c r="F8940" s="27"/>
      <c r="G8940" s="7"/>
    </row>
    <row r="8941" spans="5:7" x14ac:dyDescent="0.25">
      <c r="E8941" s="27"/>
      <c r="F8941" s="27"/>
      <c r="G8941" s="7"/>
    </row>
    <row r="8942" spans="5:7" x14ac:dyDescent="0.25">
      <c r="E8942" s="27"/>
      <c r="F8942" s="27"/>
      <c r="G8942" s="7"/>
    </row>
    <row r="8943" spans="5:7" x14ac:dyDescent="0.25">
      <c r="E8943" s="27"/>
      <c r="F8943" s="27"/>
      <c r="G8943" s="7"/>
    </row>
    <row r="8944" spans="5:7" x14ac:dyDescent="0.25">
      <c r="E8944" s="27"/>
      <c r="F8944" s="27"/>
      <c r="G8944" s="7"/>
    </row>
    <row r="8945" spans="5:7" x14ac:dyDescent="0.25">
      <c r="E8945" s="27"/>
      <c r="F8945" s="27"/>
      <c r="G8945" s="7"/>
    </row>
    <row r="8946" spans="5:7" x14ac:dyDescent="0.25">
      <c r="E8946" s="27"/>
      <c r="F8946" s="27"/>
      <c r="G8946" s="7"/>
    </row>
    <row r="8947" spans="5:7" x14ac:dyDescent="0.25">
      <c r="E8947" s="27"/>
      <c r="F8947" s="27"/>
      <c r="G8947" s="7"/>
    </row>
    <row r="8948" spans="5:7" x14ac:dyDescent="0.25">
      <c r="E8948" s="27"/>
      <c r="F8948" s="27"/>
      <c r="G8948" s="7"/>
    </row>
    <row r="8949" spans="5:7" x14ac:dyDescent="0.25">
      <c r="E8949" s="27"/>
      <c r="F8949" s="27"/>
      <c r="G8949" s="7"/>
    </row>
    <row r="8950" spans="5:7" x14ac:dyDescent="0.25">
      <c r="E8950" s="27"/>
      <c r="F8950" s="27"/>
      <c r="G8950" s="7"/>
    </row>
    <row r="8951" spans="5:7" x14ac:dyDescent="0.25">
      <c r="E8951" s="27"/>
      <c r="F8951" s="27"/>
      <c r="G8951" s="7"/>
    </row>
    <row r="8952" spans="5:7" x14ac:dyDescent="0.25">
      <c r="E8952" s="27"/>
      <c r="F8952" s="27"/>
      <c r="G8952" s="7"/>
    </row>
    <row r="8953" spans="5:7" x14ac:dyDescent="0.25">
      <c r="E8953" s="27"/>
      <c r="F8953" s="27"/>
      <c r="G8953" s="7"/>
    </row>
    <row r="8954" spans="5:7" x14ac:dyDescent="0.25">
      <c r="E8954" s="27"/>
      <c r="F8954" s="27"/>
      <c r="G8954" s="7"/>
    </row>
    <row r="8955" spans="5:7" x14ac:dyDescent="0.25">
      <c r="E8955" s="27"/>
      <c r="F8955" s="27"/>
      <c r="G8955" s="7"/>
    </row>
    <row r="8956" spans="5:7" x14ac:dyDescent="0.25">
      <c r="E8956" s="27"/>
      <c r="F8956" s="27"/>
      <c r="G8956" s="7"/>
    </row>
    <row r="8957" spans="5:7" x14ac:dyDescent="0.25">
      <c r="E8957" s="27"/>
      <c r="F8957" s="27"/>
      <c r="G8957" s="7"/>
    </row>
    <row r="8958" spans="5:7" x14ac:dyDescent="0.25">
      <c r="E8958" s="27"/>
      <c r="F8958" s="27"/>
      <c r="G8958" s="7"/>
    </row>
    <row r="8959" spans="5:7" x14ac:dyDescent="0.25">
      <c r="E8959" s="27"/>
      <c r="F8959" s="27"/>
      <c r="G8959" s="7"/>
    </row>
    <row r="8960" spans="5:7" x14ac:dyDescent="0.25">
      <c r="E8960" s="27"/>
      <c r="F8960" s="27"/>
      <c r="G8960" s="7"/>
    </row>
    <row r="8961" spans="5:7" x14ac:dyDescent="0.25">
      <c r="E8961" s="27"/>
      <c r="F8961" s="27"/>
      <c r="G8961" s="7"/>
    </row>
    <row r="8962" spans="5:7" x14ac:dyDescent="0.25">
      <c r="E8962" s="27"/>
      <c r="F8962" s="27"/>
      <c r="G8962" s="7"/>
    </row>
    <row r="8963" spans="5:7" x14ac:dyDescent="0.25">
      <c r="E8963" s="27"/>
      <c r="F8963" s="27"/>
      <c r="G8963" s="7"/>
    </row>
    <row r="8964" spans="5:7" x14ac:dyDescent="0.25">
      <c r="E8964" s="27"/>
      <c r="F8964" s="27"/>
      <c r="G8964" s="7"/>
    </row>
    <row r="8965" spans="5:7" x14ac:dyDescent="0.25">
      <c r="E8965" s="27"/>
      <c r="F8965" s="27"/>
      <c r="G8965" s="7"/>
    </row>
    <row r="8966" spans="5:7" x14ac:dyDescent="0.25">
      <c r="E8966" s="27"/>
      <c r="F8966" s="27"/>
      <c r="G8966" s="7"/>
    </row>
    <row r="8967" spans="5:7" x14ac:dyDescent="0.25">
      <c r="E8967" s="27"/>
      <c r="F8967" s="27"/>
      <c r="G8967" s="7"/>
    </row>
    <row r="8968" spans="5:7" x14ac:dyDescent="0.25">
      <c r="E8968" s="27"/>
      <c r="F8968" s="27"/>
      <c r="G8968" s="7"/>
    </row>
    <row r="8969" spans="5:7" x14ac:dyDescent="0.25">
      <c r="E8969" s="27"/>
      <c r="F8969" s="27"/>
      <c r="G8969" s="7"/>
    </row>
    <row r="8970" spans="5:7" x14ac:dyDescent="0.25">
      <c r="E8970" s="27"/>
      <c r="F8970" s="27"/>
      <c r="G8970" s="7"/>
    </row>
    <row r="8971" spans="5:7" x14ac:dyDescent="0.25">
      <c r="E8971" s="27"/>
      <c r="F8971" s="27"/>
      <c r="G8971" s="7"/>
    </row>
    <row r="8972" spans="5:7" x14ac:dyDescent="0.25">
      <c r="E8972" s="27"/>
      <c r="F8972" s="27"/>
      <c r="G8972" s="7"/>
    </row>
    <row r="8973" spans="5:7" x14ac:dyDescent="0.25">
      <c r="E8973" s="27"/>
      <c r="F8973" s="27"/>
      <c r="G8973" s="7"/>
    </row>
    <row r="8974" spans="5:7" x14ac:dyDescent="0.25">
      <c r="E8974" s="27"/>
      <c r="F8974" s="27"/>
      <c r="G8974" s="7"/>
    </row>
    <row r="8975" spans="5:7" x14ac:dyDescent="0.25">
      <c r="E8975" s="27"/>
      <c r="F8975" s="27"/>
      <c r="G8975" s="7"/>
    </row>
    <row r="8976" spans="5:7" x14ac:dyDescent="0.25">
      <c r="E8976" s="27"/>
      <c r="F8976" s="27"/>
      <c r="G8976" s="7"/>
    </row>
    <row r="8977" spans="5:7" x14ac:dyDescent="0.25">
      <c r="E8977" s="27"/>
      <c r="F8977" s="27"/>
      <c r="G8977" s="7"/>
    </row>
    <row r="8978" spans="5:7" x14ac:dyDescent="0.25">
      <c r="E8978" s="27"/>
      <c r="F8978" s="27"/>
      <c r="G8978" s="7"/>
    </row>
    <row r="8979" spans="5:7" x14ac:dyDescent="0.25">
      <c r="E8979" s="27"/>
      <c r="F8979" s="27"/>
      <c r="G8979" s="7"/>
    </row>
    <row r="8980" spans="5:7" x14ac:dyDescent="0.25">
      <c r="E8980" s="27"/>
      <c r="F8980" s="27"/>
      <c r="G8980" s="7"/>
    </row>
    <row r="8981" spans="5:7" x14ac:dyDescent="0.25">
      <c r="E8981" s="27"/>
      <c r="F8981" s="27"/>
      <c r="G8981" s="7"/>
    </row>
    <row r="8982" spans="5:7" x14ac:dyDescent="0.25">
      <c r="E8982" s="27"/>
      <c r="F8982" s="27"/>
      <c r="G8982" s="7"/>
    </row>
    <row r="8983" spans="5:7" x14ac:dyDescent="0.25">
      <c r="E8983" s="27"/>
      <c r="F8983" s="27"/>
      <c r="G8983" s="7"/>
    </row>
    <row r="8984" spans="5:7" x14ac:dyDescent="0.25">
      <c r="E8984" s="27"/>
      <c r="F8984" s="27"/>
      <c r="G8984" s="7"/>
    </row>
    <row r="8985" spans="5:7" x14ac:dyDescent="0.25">
      <c r="E8985" s="27"/>
      <c r="F8985" s="27"/>
      <c r="G8985" s="7"/>
    </row>
    <row r="8986" spans="5:7" x14ac:dyDescent="0.25">
      <c r="E8986" s="27"/>
      <c r="F8986" s="27"/>
      <c r="G8986" s="7"/>
    </row>
    <row r="8987" spans="5:7" x14ac:dyDescent="0.25">
      <c r="E8987" s="27"/>
      <c r="F8987" s="27"/>
      <c r="G8987" s="7"/>
    </row>
    <row r="8988" spans="5:7" x14ac:dyDescent="0.25">
      <c r="E8988" s="27"/>
      <c r="F8988" s="27"/>
      <c r="G8988" s="7"/>
    </row>
    <row r="8989" spans="5:7" x14ac:dyDescent="0.25">
      <c r="E8989" s="27"/>
      <c r="F8989" s="27"/>
      <c r="G8989" s="7"/>
    </row>
    <row r="8990" spans="5:7" x14ac:dyDescent="0.25">
      <c r="E8990" s="27"/>
      <c r="F8990" s="27"/>
      <c r="G8990" s="7"/>
    </row>
    <row r="8991" spans="5:7" x14ac:dyDescent="0.25">
      <c r="E8991" s="27"/>
      <c r="F8991" s="27"/>
      <c r="G8991" s="7"/>
    </row>
    <row r="8992" spans="5:7" x14ac:dyDescent="0.25">
      <c r="E8992" s="27"/>
      <c r="F8992" s="27"/>
      <c r="G8992" s="7"/>
    </row>
    <row r="8993" spans="5:7" x14ac:dyDescent="0.25">
      <c r="E8993" s="27"/>
      <c r="F8993" s="27"/>
      <c r="G8993" s="7"/>
    </row>
    <row r="8994" spans="5:7" x14ac:dyDescent="0.25">
      <c r="E8994" s="27"/>
      <c r="F8994" s="27"/>
      <c r="G8994" s="7"/>
    </row>
    <row r="8995" spans="5:7" x14ac:dyDescent="0.25">
      <c r="E8995" s="27"/>
      <c r="F8995" s="27"/>
      <c r="G8995" s="7"/>
    </row>
    <row r="8996" spans="5:7" x14ac:dyDescent="0.25">
      <c r="E8996" s="27"/>
      <c r="F8996" s="27"/>
      <c r="G8996" s="7"/>
    </row>
    <row r="8997" spans="5:7" x14ac:dyDescent="0.25">
      <c r="E8997" s="27"/>
      <c r="F8997" s="27"/>
      <c r="G8997" s="7"/>
    </row>
    <row r="8998" spans="5:7" x14ac:dyDescent="0.25">
      <c r="E8998" s="27"/>
      <c r="F8998" s="27"/>
      <c r="G8998" s="7"/>
    </row>
    <row r="8999" spans="5:7" x14ac:dyDescent="0.25">
      <c r="E8999" s="27"/>
      <c r="F8999" s="27"/>
      <c r="G8999" s="7"/>
    </row>
    <row r="9000" spans="5:7" x14ac:dyDescent="0.25">
      <c r="E9000" s="27"/>
      <c r="F9000" s="27"/>
      <c r="G9000" s="7"/>
    </row>
    <row r="9001" spans="5:7" x14ac:dyDescent="0.25">
      <c r="E9001" s="27"/>
      <c r="F9001" s="27"/>
      <c r="G9001" s="7"/>
    </row>
    <row r="9002" spans="5:7" x14ac:dyDescent="0.25">
      <c r="E9002" s="27"/>
      <c r="F9002" s="27"/>
      <c r="G9002" s="7"/>
    </row>
    <row r="9003" spans="5:7" x14ac:dyDescent="0.25">
      <c r="E9003" s="27"/>
      <c r="F9003" s="27"/>
      <c r="G9003" s="7"/>
    </row>
    <row r="9004" spans="5:7" x14ac:dyDescent="0.25">
      <c r="E9004" s="27"/>
      <c r="F9004" s="27"/>
      <c r="G9004" s="7"/>
    </row>
    <row r="9005" spans="5:7" x14ac:dyDescent="0.25">
      <c r="E9005" s="27"/>
      <c r="F9005" s="27"/>
      <c r="G9005" s="7"/>
    </row>
    <row r="9006" spans="5:7" x14ac:dyDescent="0.25">
      <c r="E9006" s="27"/>
      <c r="F9006" s="27"/>
      <c r="G9006" s="7"/>
    </row>
    <row r="9007" spans="5:7" x14ac:dyDescent="0.25">
      <c r="E9007" s="27"/>
      <c r="F9007" s="27"/>
      <c r="G9007" s="7"/>
    </row>
    <row r="9008" spans="5:7" x14ac:dyDescent="0.25">
      <c r="E9008" s="27"/>
      <c r="F9008" s="27"/>
      <c r="G9008" s="7"/>
    </row>
    <row r="9009" spans="5:7" x14ac:dyDescent="0.25">
      <c r="E9009" s="27"/>
      <c r="F9009" s="27"/>
      <c r="G9009" s="7"/>
    </row>
    <row r="9010" spans="5:7" x14ac:dyDescent="0.25">
      <c r="E9010" s="27"/>
      <c r="F9010" s="27"/>
      <c r="G9010" s="7"/>
    </row>
    <row r="9011" spans="5:7" x14ac:dyDescent="0.25">
      <c r="E9011" s="27"/>
      <c r="F9011" s="27"/>
      <c r="G9011" s="7"/>
    </row>
    <row r="9012" spans="5:7" x14ac:dyDescent="0.25">
      <c r="E9012" s="27"/>
      <c r="F9012" s="27"/>
      <c r="G9012" s="7"/>
    </row>
    <row r="9013" spans="5:7" x14ac:dyDescent="0.25">
      <c r="E9013" s="27"/>
      <c r="F9013" s="27"/>
      <c r="G9013" s="7"/>
    </row>
    <row r="9014" spans="5:7" x14ac:dyDescent="0.25">
      <c r="E9014" s="27"/>
      <c r="F9014" s="27"/>
      <c r="G9014" s="7"/>
    </row>
    <row r="9015" spans="5:7" x14ac:dyDescent="0.25">
      <c r="E9015" s="27"/>
      <c r="F9015" s="27"/>
      <c r="G9015" s="7"/>
    </row>
    <row r="9016" spans="5:7" x14ac:dyDescent="0.25">
      <c r="E9016" s="27"/>
      <c r="F9016" s="27"/>
      <c r="G9016" s="7"/>
    </row>
    <row r="9017" spans="5:7" x14ac:dyDescent="0.25">
      <c r="E9017" s="27"/>
      <c r="F9017" s="27"/>
      <c r="G9017" s="7"/>
    </row>
    <row r="9018" spans="5:7" x14ac:dyDescent="0.25">
      <c r="E9018" s="27"/>
      <c r="F9018" s="27"/>
      <c r="G9018" s="7"/>
    </row>
    <row r="9019" spans="5:7" x14ac:dyDescent="0.25">
      <c r="E9019" s="27"/>
      <c r="F9019" s="27"/>
      <c r="G9019" s="7"/>
    </row>
    <row r="9020" spans="5:7" x14ac:dyDescent="0.25">
      <c r="E9020" s="27"/>
      <c r="F9020" s="27"/>
      <c r="G9020" s="7"/>
    </row>
    <row r="9021" spans="5:7" x14ac:dyDescent="0.25">
      <c r="E9021" s="27"/>
      <c r="F9021" s="27"/>
      <c r="G9021" s="7"/>
    </row>
    <row r="9022" spans="5:7" x14ac:dyDescent="0.25">
      <c r="E9022" s="27"/>
      <c r="F9022" s="27"/>
      <c r="G9022" s="7"/>
    </row>
    <row r="9023" spans="5:7" x14ac:dyDescent="0.25">
      <c r="E9023" s="27"/>
      <c r="F9023" s="27"/>
      <c r="G9023" s="7"/>
    </row>
    <row r="9024" spans="5:7" x14ac:dyDescent="0.25">
      <c r="E9024" s="27"/>
      <c r="F9024" s="27"/>
      <c r="G9024" s="7"/>
    </row>
    <row r="9025" spans="5:7" x14ac:dyDescent="0.25">
      <c r="E9025" s="27"/>
      <c r="F9025" s="27"/>
      <c r="G9025" s="7"/>
    </row>
    <row r="9026" spans="5:7" x14ac:dyDescent="0.25">
      <c r="E9026" s="27"/>
      <c r="F9026" s="27"/>
      <c r="G9026" s="7"/>
    </row>
    <row r="9027" spans="5:7" x14ac:dyDescent="0.25">
      <c r="E9027" s="27"/>
      <c r="F9027" s="27"/>
      <c r="G9027" s="7"/>
    </row>
    <row r="9028" spans="5:7" x14ac:dyDescent="0.25">
      <c r="E9028" s="27"/>
      <c r="F9028" s="27"/>
      <c r="G9028" s="7"/>
    </row>
    <row r="9029" spans="5:7" x14ac:dyDescent="0.25">
      <c r="E9029" s="27"/>
      <c r="F9029" s="27"/>
      <c r="G9029" s="7"/>
    </row>
    <row r="9030" spans="5:7" x14ac:dyDescent="0.25">
      <c r="E9030" s="27"/>
      <c r="F9030" s="27"/>
      <c r="G9030" s="7"/>
    </row>
    <row r="9031" spans="5:7" x14ac:dyDescent="0.25">
      <c r="E9031" s="27"/>
      <c r="F9031" s="27"/>
      <c r="G9031" s="7"/>
    </row>
    <row r="9032" spans="5:7" x14ac:dyDescent="0.25">
      <c r="E9032" s="27"/>
      <c r="F9032" s="27"/>
      <c r="G9032" s="7"/>
    </row>
    <row r="9033" spans="5:7" x14ac:dyDescent="0.25">
      <c r="E9033" s="27"/>
      <c r="F9033" s="27"/>
      <c r="G9033" s="7"/>
    </row>
    <row r="9034" spans="5:7" x14ac:dyDescent="0.25">
      <c r="E9034" s="27"/>
      <c r="F9034" s="27"/>
      <c r="G9034" s="7"/>
    </row>
    <row r="9035" spans="5:7" x14ac:dyDescent="0.25">
      <c r="E9035" s="27"/>
      <c r="F9035" s="27"/>
      <c r="G9035" s="7"/>
    </row>
    <row r="9036" spans="5:7" x14ac:dyDescent="0.25">
      <c r="E9036" s="27"/>
      <c r="F9036" s="27"/>
      <c r="G9036" s="7"/>
    </row>
    <row r="9037" spans="5:7" x14ac:dyDescent="0.25">
      <c r="E9037" s="27"/>
      <c r="F9037" s="27"/>
      <c r="G9037" s="7"/>
    </row>
    <row r="9038" spans="5:7" x14ac:dyDescent="0.25">
      <c r="E9038" s="27"/>
      <c r="F9038" s="27"/>
      <c r="G9038" s="7"/>
    </row>
    <row r="9039" spans="5:7" x14ac:dyDescent="0.25">
      <c r="E9039" s="27"/>
      <c r="F9039" s="27"/>
      <c r="G9039" s="7"/>
    </row>
    <row r="9040" spans="5:7" x14ac:dyDescent="0.25">
      <c r="E9040" s="27"/>
      <c r="F9040" s="27"/>
      <c r="G9040" s="7"/>
    </row>
    <row r="9041" spans="5:7" x14ac:dyDescent="0.25">
      <c r="E9041" s="27"/>
      <c r="F9041" s="27"/>
      <c r="G9041" s="7"/>
    </row>
    <row r="9042" spans="5:7" x14ac:dyDescent="0.25">
      <c r="E9042" s="27"/>
      <c r="F9042" s="27"/>
      <c r="G9042" s="7"/>
    </row>
    <row r="9043" spans="5:7" x14ac:dyDescent="0.25">
      <c r="E9043" s="27"/>
      <c r="F9043" s="27"/>
      <c r="G9043" s="7"/>
    </row>
    <row r="9044" spans="5:7" x14ac:dyDescent="0.25">
      <c r="E9044" s="27"/>
      <c r="F9044" s="27"/>
      <c r="G9044" s="7"/>
    </row>
    <row r="9045" spans="5:7" x14ac:dyDescent="0.25">
      <c r="E9045" s="27"/>
      <c r="F9045" s="27"/>
      <c r="G9045" s="7"/>
    </row>
    <row r="9046" spans="5:7" x14ac:dyDescent="0.25">
      <c r="E9046" s="27"/>
      <c r="F9046" s="27"/>
      <c r="G9046" s="7"/>
    </row>
    <row r="9047" spans="5:7" x14ac:dyDescent="0.25">
      <c r="E9047" s="27"/>
      <c r="F9047" s="27"/>
      <c r="G9047" s="7"/>
    </row>
    <row r="9048" spans="5:7" x14ac:dyDescent="0.25">
      <c r="E9048" s="27"/>
      <c r="F9048" s="27"/>
      <c r="G9048" s="7"/>
    </row>
    <row r="9049" spans="5:7" x14ac:dyDescent="0.25">
      <c r="E9049" s="27"/>
      <c r="F9049" s="27"/>
      <c r="G9049" s="7"/>
    </row>
    <row r="9050" spans="5:7" x14ac:dyDescent="0.25">
      <c r="E9050" s="27"/>
      <c r="F9050" s="27"/>
      <c r="G9050" s="7"/>
    </row>
    <row r="9051" spans="5:7" x14ac:dyDescent="0.25">
      <c r="E9051" s="27"/>
      <c r="F9051" s="27"/>
      <c r="G9051" s="7"/>
    </row>
    <row r="9052" spans="5:7" x14ac:dyDescent="0.25">
      <c r="E9052" s="27"/>
      <c r="F9052" s="27"/>
      <c r="G9052" s="7"/>
    </row>
    <row r="9053" spans="5:7" x14ac:dyDescent="0.25">
      <c r="E9053" s="27"/>
      <c r="F9053" s="27"/>
      <c r="G9053" s="7"/>
    </row>
    <row r="9054" spans="5:7" x14ac:dyDescent="0.25">
      <c r="E9054" s="27"/>
      <c r="F9054" s="27"/>
      <c r="G9054" s="7"/>
    </row>
    <row r="9055" spans="5:7" x14ac:dyDescent="0.25">
      <c r="E9055" s="27"/>
      <c r="F9055" s="27"/>
      <c r="G9055" s="7"/>
    </row>
    <row r="9056" spans="5:7" x14ac:dyDescent="0.25">
      <c r="E9056" s="27"/>
      <c r="F9056" s="27"/>
      <c r="G9056" s="7"/>
    </row>
    <row r="9057" spans="5:7" x14ac:dyDescent="0.25">
      <c r="E9057" s="27"/>
      <c r="F9057" s="27"/>
      <c r="G9057" s="7"/>
    </row>
    <row r="9058" spans="5:7" x14ac:dyDescent="0.25">
      <c r="E9058" s="27"/>
      <c r="F9058" s="27"/>
      <c r="G9058" s="7"/>
    </row>
    <row r="9059" spans="5:7" x14ac:dyDescent="0.25">
      <c r="E9059" s="27"/>
      <c r="F9059" s="27"/>
      <c r="G9059" s="7"/>
    </row>
    <row r="9060" spans="5:7" x14ac:dyDescent="0.25">
      <c r="E9060" s="27"/>
      <c r="F9060" s="27"/>
      <c r="G9060" s="7"/>
    </row>
    <row r="9061" spans="5:7" x14ac:dyDescent="0.25">
      <c r="E9061" s="27"/>
      <c r="F9061" s="27"/>
      <c r="G9061" s="7"/>
    </row>
    <row r="9062" spans="5:7" x14ac:dyDescent="0.25">
      <c r="E9062" s="27"/>
      <c r="F9062" s="27"/>
      <c r="G9062" s="7"/>
    </row>
    <row r="9063" spans="5:7" x14ac:dyDescent="0.25">
      <c r="E9063" s="27"/>
      <c r="F9063" s="27"/>
      <c r="G9063" s="7"/>
    </row>
    <row r="9064" spans="5:7" x14ac:dyDescent="0.25">
      <c r="E9064" s="27"/>
      <c r="F9064" s="27"/>
      <c r="G9064" s="7"/>
    </row>
    <row r="9065" spans="5:7" x14ac:dyDescent="0.25">
      <c r="E9065" s="27"/>
      <c r="F9065" s="27"/>
      <c r="G9065" s="7"/>
    </row>
    <row r="9066" spans="5:7" x14ac:dyDescent="0.25">
      <c r="E9066" s="27"/>
      <c r="F9066" s="27"/>
      <c r="G9066" s="7"/>
    </row>
    <row r="9067" spans="5:7" x14ac:dyDescent="0.25">
      <c r="E9067" s="27"/>
      <c r="F9067" s="27"/>
      <c r="G9067" s="7"/>
    </row>
    <row r="9068" spans="5:7" x14ac:dyDescent="0.25">
      <c r="E9068" s="27"/>
      <c r="F9068" s="27"/>
      <c r="G9068" s="7"/>
    </row>
    <row r="9069" spans="5:7" x14ac:dyDescent="0.25">
      <c r="E9069" s="27"/>
      <c r="F9069" s="27"/>
      <c r="G9069" s="7"/>
    </row>
    <row r="9070" spans="5:7" x14ac:dyDescent="0.25">
      <c r="E9070" s="27"/>
      <c r="F9070" s="27"/>
      <c r="G9070" s="7"/>
    </row>
    <row r="9071" spans="5:7" x14ac:dyDescent="0.25">
      <c r="E9071" s="27"/>
      <c r="F9071" s="27"/>
      <c r="G9071" s="7"/>
    </row>
    <row r="9072" spans="5:7" x14ac:dyDescent="0.25">
      <c r="E9072" s="27"/>
      <c r="F9072" s="27"/>
      <c r="G9072" s="7"/>
    </row>
    <row r="9073" spans="5:7" x14ac:dyDescent="0.25">
      <c r="E9073" s="27"/>
      <c r="F9073" s="27"/>
      <c r="G9073" s="7"/>
    </row>
    <row r="9074" spans="5:7" x14ac:dyDescent="0.25">
      <c r="E9074" s="27"/>
      <c r="F9074" s="27"/>
      <c r="G9074" s="7"/>
    </row>
    <row r="9075" spans="5:7" x14ac:dyDescent="0.25">
      <c r="E9075" s="27"/>
      <c r="F9075" s="27"/>
      <c r="G9075" s="7"/>
    </row>
    <row r="9076" spans="5:7" x14ac:dyDescent="0.25">
      <c r="E9076" s="27"/>
      <c r="F9076" s="27"/>
      <c r="G9076" s="7"/>
    </row>
    <row r="9077" spans="5:7" x14ac:dyDescent="0.25">
      <c r="E9077" s="27"/>
      <c r="F9077" s="27"/>
      <c r="G9077" s="7"/>
    </row>
    <row r="9078" spans="5:7" x14ac:dyDescent="0.25">
      <c r="E9078" s="27"/>
      <c r="F9078" s="27"/>
      <c r="G9078" s="7"/>
    </row>
    <row r="9079" spans="5:7" x14ac:dyDescent="0.25">
      <c r="E9079" s="27"/>
      <c r="F9079" s="27"/>
      <c r="G9079" s="7"/>
    </row>
    <row r="9080" spans="5:7" x14ac:dyDescent="0.25">
      <c r="E9080" s="27"/>
      <c r="F9080" s="27"/>
      <c r="G9080" s="7"/>
    </row>
    <row r="9081" spans="5:7" x14ac:dyDescent="0.25">
      <c r="E9081" s="27"/>
      <c r="F9081" s="27"/>
      <c r="G9081" s="7"/>
    </row>
    <row r="9082" spans="5:7" x14ac:dyDescent="0.25">
      <c r="E9082" s="27"/>
      <c r="F9082" s="27"/>
      <c r="G9082" s="7"/>
    </row>
    <row r="9083" spans="5:7" x14ac:dyDescent="0.25">
      <c r="E9083" s="27"/>
      <c r="F9083" s="27"/>
      <c r="G9083" s="7"/>
    </row>
    <row r="9084" spans="5:7" x14ac:dyDescent="0.25">
      <c r="E9084" s="27"/>
      <c r="F9084" s="27"/>
      <c r="G9084" s="7"/>
    </row>
    <row r="9085" spans="5:7" x14ac:dyDescent="0.25">
      <c r="E9085" s="27"/>
      <c r="F9085" s="27"/>
      <c r="G9085" s="7"/>
    </row>
    <row r="9086" spans="5:7" x14ac:dyDescent="0.25">
      <c r="E9086" s="27"/>
      <c r="F9086" s="27"/>
      <c r="G9086" s="7"/>
    </row>
    <row r="9087" spans="5:7" x14ac:dyDescent="0.25">
      <c r="E9087" s="27"/>
      <c r="F9087" s="27"/>
      <c r="G9087" s="7"/>
    </row>
    <row r="9088" spans="5:7" x14ac:dyDescent="0.25">
      <c r="E9088" s="27"/>
      <c r="F9088" s="27"/>
      <c r="G9088" s="7"/>
    </row>
    <row r="9089" spans="5:7" x14ac:dyDescent="0.25">
      <c r="E9089" s="27"/>
      <c r="F9089" s="27"/>
      <c r="G9089" s="7"/>
    </row>
    <row r="9090" spans="5:7" x14ac:dyDescent="0.25">
      <c r="E9090" s="27"/>
      <c r="F9090" s="27"/>
      <c r="G9090" s="7"/>
    </row>
    <row r="9091" spans="5:7" x14ac:dyDescent="0.25">
      <c r="E9091" s="27"/>
      <c r="F9091" s="27"/>
      <c r="G9091" s="7"/>
    </row>
    <row r="9092" spans="5:7" x14ac:dyDescent="0.25">
      <c r="E9092" s="27"/>
      <c r="F9092" s="27"/>
      <c r="G9092" s="7"/>
    </row>
    <row r="9093" spans="5:7" x14ac:dyDescent="0.25">
      <c r="E9093" s="27"/>
      <c r="F9093" s="27"/>
      <c r="G9093" s="7"/>
    </row>
    <row r="9094" spans="5:7" x14ac:dyDescent="0.25">
      <c r="E9094" s="27"/>
      <c r="F9094" s="27"/>
      <c r="G9094" s="7"/>
    </row>
    <row r="9095" spans="5:7" x14ac:dyDescent="0.25">
      <c r="E9095" s="27"/>
      <c r="F9095" s="27"/>
      <c r="G9095" s="7"/>
    </row>
    <row r="9096" spans="5:7" x14ac:dyDescent="0.25">
      <c r="E9096" s="27"/>
      <c r="F9096" s="27"/>
      <c r="G9096" s="7"/>
    </row>
    <row r="9097" spans="5:7" x14ac:dyDescent="0.25">
      <c r="E9097" s="27"/>
      <c r="F9097" s="27"/>
      <c r="G9097" s="7"/>
    </row>
    <row r="9098" spans="5:7" x14ac:dyDescent="0.25">
      <c r="E9098" s="27"/>
      <c r="F9098" s="27"/>
      <c r="G9098" s="7"/>
    </row>
    <row r="9099" spans="5:7" x14ac:dyDescent="0.25">
      <c r="E9099" s="27"/>
      <c r="F9099" s="27"/>
      <c r="G9099" s="7"/>
    </row>
    <row r="9100" spans="5:7" x14ac:dyDescent="0.25">
      <c r="E9100" s="27"/>
      <c r="F9100" s="27"/>
      <c r="G9100" s="7"/>
    </row>
    <row r="9101" spans="5:7" x14ac:dyDescent="0.25">
      <c r="E9101" s="27"/>
      <c r="F9101" s="27"/>
      <c r="G9101" s="7"/>
    </row>
    <row r="9102" spans="5:7" x14ac:dyDescent="0.25">
      <c r="E9102" s="27"/>
      <c r="F9102" s="27"/>
      <c r="G9102" s="7"/>
    </row>
    <row r="9103" spans="5:7" x14ac:dyDescent="0.25">
      <c r="E9103" s="27"/>
      <c r="F9103" s="27"/>
      <c r="G9103" s="7"/>
    </row>
    <row r="9104" spans="5:7" x14ac:dyDescent="0.25">
      <c r="E9104" s="27"/>
      <c r="F9104" s="27"/>
      <c r="G9104" s="7"/>
    </row>
    <row r="9105" spans="5:7" x14ac:dyDescent="0.25">
      <c r="E9105" s="27"/>
      <c r="F9105" s="27"/>
      <c r="G9105" s="7"/>
    </row>
    <row r="9106" spans="5:7" x14ac:dyDescent="0.25">
      <c r="E9106" s="27"/>
      <c r="F9106" s="27"/>
      <c r="G9106" s="7"/>
    </row>
    <row r="9107" spans="5:7" x14ac:dyDescent="0.25">
      <c r="E9107" s="27"/>
      <c r="F9107" s="27"/>
      <c r="G9107" s="7"/>
    </row>
    <row r="9108" spans="5:7" x14ac:dyDescent="0.25">
      <c r="E9108" s="27"/>
      <c r="F9108" s="27"/>
      <c r="G9108" s="7"/>
    </row>
    <row r="9109" spans="5:7" x14ac:dyDescent="0.25">
      <c r="E9109" s="27"/>
      <c r="F9109" s="27"/>
      <c r="G9109" s="7"/>
    </row>
    <row r="9110" spans="5:7" x14ac:dyDescent="0.25">
      <c r="E9110" s="27"/>
      <c r="F9110" s="27"/>
      <c r="G9110" s="7"/>
    </row>
    <row r="9111" spans="5:7" x14ac:dyDescent="0.25">
      <c r="E9111" s="27"/>
      <c r="F9111" s="27"/>
      <c r="G9111" s="7"/>
    </row>
    <row r="9112" spans="5:7" x14ac:dyDescent="0.25">
      <c r="E9112" s="27"/>
      <c r="F9112" s="27"/>
      <c r="G9112" s="7"/>
    </row>
    <row r="9113" spans="5:7" x14ac:dyDescent="0.25">
      <c r="E9113" s="27"/>
      <c r="F9113" s="27"/>
      <c r="G9113" s="7"/>
    </row>
    <row r="9114" spans="5:7" x14ac:dyDescent="0.25">
      <c r="E9114" s="27"/>
      <c r="F9114" s="27"/>
      <c r="G9114" s="7"/>
    </row>
    <row r="9115" spans="5:7" x14ac:dyDescent="0.25">
      <c r="E9115" s="27"/>
      <c r="F9115" s="27"/>
      <c r="G9115" s="7"/>
    </row>
    <row r="9116" spans="5:7" x14ac:dyDescent="0.25">
      <c r="E9116" s="27"/>
      <c r="F9116" s="27"/>
      <c r="G9116" s="7"/>
    </row>
    <row r="9117" spans="5:7" x14ac:dyDescent="0.25">
      <c r="E9117" s="27"/>
      <c r="F9117" s="27"/>
      <c r="G9117" s="7"/>
    </row>
    <row r="9118" spans="5:7" x14ac:dyDescent="0.25">
      <c r="E9118" s="27"/>
      <c r="F9118" s="27"/>
      <c r="G9118" s="7"/>
    </row>
    <row r="9119" spans="5:7" x14ac:dyDescent="0.25">
      <c r="E9119" s="27"/>
      <c r="F9119" s="27"/>
      <c r="G9119" s="7"/>
    </row>
    <row r="9120" spans="5:7" x14ac:dyDescent="0.25">
      <c r="E9120" s="27"/>
      <c r="F9120" s="27"/>
      <c r="G9120" s="7"/>
    </row>
    <row r="9121" spans="5:7" x14ac:dyDescent="0.25">
      <c r="E9121" s="27"/>
      <c r="F9121" s="27"/>
      <c r="G9121" s="7"/>
    </row>
    <row r="9122" spans="5:7" x14ac:dyDescent="0.25">
      <c r="E9122" s="27"/>
      <c r="F9122" s="27"/>
      <c r="G9122" s="7"/>
    </row>
    <row r="9123" spans="5:7" x14ac:dyDescent="0.25">
      <c r="E9123" s="27"/>
      <c r="F9123" s="27"/>
      <c r="G9123" s="7"/>
    </row>
    <row r="9124" spans="5:7" x14ac:dyDescent="0.25">
      <c r="E9124" s="27"/>
      <c r="F9124" s="27"/>
      <c r="G9124" s="7"/>
    </row>
    <row r="9125" spans="5:7" x14ac:dyDescent="0.25">
      <c r="E9125" s="27"/>
      <c r="F9125" s="27"/>
      <c r="G9125" s="7"/>
    </row>
    <row r="9126" spans="5:7" x14ac:dyDescent="0.25">
      <c r="E9126" s="27"/>
      <c r="F9126" s="27"/>
      <c r="G9126" s="7"/>
    </row>
    <row r="9127" spans="5:7" x14ac:dyDescent="0.25">
      <c r="E9127" s="27"/>
      <c r="F9127" s="27"/>
      <c r="G9127" s="7"/>
    </row>
    <row r="9128" spans="5:7" x14ac:dyDescent="0.25">
      <c r="E9128" s="27"/>
      <c r="F9128" s="27"/>
      <c r="G9128" s="7"/>
    </row>
    <row r="9129" spans="5:7" x14ac:dyDescent="0.25">
      <c r="E9129" s="27"/>
      <c r="F9129" s="27"/>
      <c r="G9129" s="7"/>
    </row>
    <row r="9130" spans="5:7" x14ac:dyDescent="0.25">
      <c r="E9130" s="27"/>
      <c r="F9130" s="27"/>
      <c r="G9130" s="7"/>
    </row>
    <row r="9131" spans="5:7" x14ac:dyDescent="0.25">
      <c r="E9131" s="27"/>
      <c r="F9131" s="27"/>
      <c r="G9131" s="7"/>
    </row>
    <row r="9132" spans="5:7" x14ac:dyDescent="0.25">
      <c r="E9132" s="27"/>
      <c r="F9132" s="27"/>
      <c r="G9132" s="7"/>
    </row>
    <row r="9133" spans="5:7" x14ac:dyDescent="0.25">
      <c r="E9133" s="27"/>
      <c r="F9133" s="27"/>
      <c r="G9133" s="7"/>
    </row>
    <row r="9134" spans="5:7" x14ac:dyDescent="0.25">
      <c r="E9134" s="27"/>
      <c r="F9134" s="27"/>
      <c r="G9134" s="7"/>
    </row>
    <row r="9135" spans="5:7" x14ac:dyDescent="0.25">
      <c r="E9135" s="27"/>
      <c r="F9135" s="27"/>
      <c r="G9135" s="7"/>
    </row>
    <row r="9136" spans="5:7" x14ac:dyDescent="0.25">
      <c r="E9136" s="27"/>
      <c r="F9136" s="27"/>
      <c r="G9136" s="7"/>
    </row>
    <row r="9137" spans="5:7" x14ac:dyDescent="0.25">
      <c r="E9137" s="27"/>
      <c r="F9137" s="27"/>
      <c r="G9137" s="7"/>
    </row>
    <row r="9138" spans="5:7" x14ac:dyDescent="0.25">
      <c r="E9138" s="27"/>
      <c r="F9138" s="27"/>
      <c r="G9138" s="7"/>
    </row>
    <row r="9139" spans="5:7" x14ac:dyDescent="0.25">
      <c r="E9139" s="27"/>
      <c r="F9139" s="27"/>
      <c r="G9139" s="7"/>
    </row>
    <row r="9140" spans="5:7" x14ac:dyDescent="0.25">
      <c r="E9140" s="27"/>
      <c r="F9140" s="27"/>
      <c r="G9140" s="7"/>
    </row>
    <row r="9141" spans="5:7" x14ac:dyDescent="0.25">
      <c r="E9141" s="27"/>
      <c r="F9141" s="27"/>
      <c r="G9141" s="7"/>
    </row>
    <row r="9142" spans="5:7" x14ac:dyDescent="0.25">
      <c r="E9142" s="27"/>
      <c r="F9142" s="27"/>
      <c r="G9142" s="7"/>
    </row>
    <row r="9143" spans="5:7" x14ac:dyDescent="0.25">
      <c r="E9143" s="27"/>
      <c r="F9143" s="27"/>
      <c r="G9143" s="7"/>
    </row>
    <row r="9144" spans="5:7" x14ac:dyDescent="0.25">
      <c r="E9144" s="27"/>
      <c r="F9144" s="27"/>
      <c r="G9144" s="7"/>
    </row>
    <row r="9145" spans="5:7" x14ac:dyDescent="0.25">
      <c r="E9145" s="27"/>
      <c r="F9145" s="27"/>
      <c r="G9145" s="7"/>
    </row>
    <row r="9146" spans="5:7" x14ac:dyDescent="0.25">
      <c r="E9146" s="27"/>
      <c r="F9146" s="27"/>
      <c r="G9146" s="7"/>
    </row>
    <row r="9147" spans="5:7" x14ac:dyDescent="0.25">
      <c r="E9147" s="27"/>
      <c r="F9147" s="27"/>
      <c r="G9147" s="7"/>
    </row>
    <row r="9148" spans="5:7" x14ac:dyDescent="0.25">
      <c r="E9148" s="27"/>
      <c r="F9148" s="27"/>
      <c r="G9148" s="7"/>
    </row>
    <row r="9149" spans="5:7" x14ac:dyDescent="0.25">
      <c r="E9149" s="27"/>
      <c r="F9149" s="27"/>
      <c r="G9149" s="7"/>
    </row>
    <row r="9150" spans="5:7" x14ac:dyDescent="0.25">
      <c r="E9150" s="27"/>
      <c r="F9150" s="27"/>
      <c r="G9150" s="7"/>
    </row>
    <row r="9151" spans="5:7" x14ac:dyDescent="0.25">
      <c r="E9151" s="27"/>
      <c r="F9151" s="27"/>
      <c r="G9151" s="7"/>
    </row>
    <row r="9152" spans="5:7" x14ac:dyDescent="0.25">
      <c r="E9152" s="27"/>
      <c r="F9152" s="27"/>
      <c r="G9152" s="7"/>
    </row>
    <row r="9153" spans="5:7" x14ac:dyDescent="0.25">
      <c r="E9153" s="27"/>
      <c r="F9153" s="27"/>
      <c r="G9153" s="7"/>
    </row>
    <row r="9154" spans="5:7" x14ac:dyDescent="0.25">
      <c r="E9154" s="27"/>
      <c r="F9154" s="27"/>
      <c r="G9154" s="7"/>
    </row>
    <row r="9155" spans="5:7" x14ac:dyDescent="0.25">
      <c r="E9155" s="27"/>
      <c r="F9155" s="27"/>
      <c r="G9155" s="7"/>
    </row>
    <row r="9156" spans="5:7" x14ac:dyDescent="0.25">
      <c r="E9156" s="27"/>
      <c r="F9156" s="27"/>
      <c r="G9156" s="7"/>
    </row>
    <row r="9157" spans="5:7" x14ac:dyDescent="0.25">
      <c r="E9157" s="27"/>
      <c r="F9157" s="27"/>
      <c r="G9157" s="7"/>
    </row>
    <row r="9158" spans="5:7" x14ac:dyDescent="0.25">
      <c r="E9158" s="27"/>
      <c r="F9158" s="27"/>
      <c r="G9158" s="7"/>
    </row>
    <row r="9159" spans="5:7" x14ac:dyDescent="0.25">
      <c r="E9159" s="27"/>
      <c r="F9159" s="27"/>
      <c r="G9159" s="7"/>
    </row>
    <row r="9160" spans="5:7" x14ac:dyDescent="0.25">
      <c r="E9160" s="27"/>
      <c r="F9160" s="27"/>
      <c r="G9160" s="7"/>
    </row>
    <row r="9161" spans="5:7" x14ac:dyDescent="0.25">
      <c r="E9161" s="27"/>
      <c r="F9161" s="27"/>
      <c r="G9161" s="7"/>
    </row>
    <row r="9162" spans="5:7" x14ac:dyDescent="0.25">
      <c r="E9162" s="27"/>
      <c r="F9162" s="27"/>
      <c r="G9162" s="7"/>
    </row>
    <row r="9163" spans="5:7" x14ac:dyDescent="0.25">
      <c r="E9163" s="27"/>
      <c r="F9163" s="27"/>
      <c r="G9163" s="7"/>
    </row>
    <row r="9164" spans="5:7" x14ac:dyDescent="0.25">
      <c r="E9164" s="27"/>
      <c r="F9164" s="27"/>
      <c r="G9164" s="7"/>
    </row>
    <row r="9165" spans="5:7" x14ac:dyDescent="0.25">
      <c r="E9165" s="27"/>
      <c r="F9165" s="27"/>
      <c r="G9165" s="7"/>
    </row>
    <row r="9166" spans="5:7" x14ac:dyDescent="0.25">
      <c r="E9166" s="27"/>
      <c r="F9166" s="27"/>
      <c r="G9166" s="7"/>
    </row>
    <row r="9167" spans="5:7" x14ac:dyDescent="0.25">
      <c r="E9167" s="27"/>
      <c r="F9167" s="27"/>
      <c r="G9167" s="7"/>
    </row>
    <row r="9168" spans="5:7" x14ac:dyDescent="0.25">
      <c r="E9168" s="27"/>
      <c r="F9168" s="27"/>
      <c r="G9168" s="7"/>
    </row>
    <row r="9169" spans="5:7" x14ac:dyDescent="0.25">
      <c r="E9169" s="27"/>
      <c r="F9169" s="27"/>
      <c r="G9169" s="7"/>
    </row>
    <row r="9170" spans="5:7" x14ac:dyDescent="0.25">
      <c r="E9170" s="27"/>
      <c r="F9170" s="27"/>
      <c r="G9170" s="7"/>
    </row>
    <row r="9171" spans="5:7" x14ac:dyDescent="0.25">
      <c r="E9171" s="27"/>
      <c r="F9171" s="27"/>
      <c r="G9171" s="7"/>
    </row>
    <row r="9172" spans="5:7" x14ac:dyDescent="0.25">
      <c r="E9172" s="27"/>
      <c r="F9172" s="27"/>
      <c r="G9172" s="7"/>
    </row>
    <row r="9173" spans="5:7" x14ac:dyDescent="0.25">
      <c r="E9173" s="27"/>
      <c r="F9173" s="27"/>
      <c r="G9173" s="7"/>
    </row>
    <row r="9174" spans="5:7" x14ac:dyDescent="0.25">
      <c r="E9174" s="27"/>
      <c r="F9174" s="27"/>
      <c r="G9174" s="7"/>
    </row>
    <row r="9175" spans="5:7" x14ac:dyDescent="0.25">
      <c r="E9175" s="27"/>
      <c r="F9175" s="27"/>
      <c r="G9175" s="7"/>
    </row>
    <row r="9176" spans="5:7" x14ac:dyDescent="0.25">
      <c r="E9176" s="27"/>
      <c r="F9176" s="27"/>
      <c r="G9176" s="7"/>
    </row>
    <row r="9177" spans="5:7" x14ac:dyDescent="0.25">
      <c r="E9177" s="27"/>
      <c r="F9177" s="27"/>
      <c r="G9177" s="7"/>
    </row>
    <row r="9178" spans="5:7" x14ac:dyDescent="0.25">
      <c r="E9178" s="27"/>
      <c r="F9178" s="27"/>
      <c r="G9178" s="7"/>
    </row>
    <row r="9179" spans="5:7" x14ac:dyDescent="0.25">
      <c r="E9179" s="27"/>
      <c r="F9179" s="27"/>
      <c r="G9179" s="7"/>
    </row>
    <row r="9180" spans="5:7" x14ac:dyDescent="0.25">
      <c r="E9180" s="27"/>
      <c r="F9180" s="27"/>
      <c r="G9180" s="7"/>
    </row>
    <row r="9181" spans="5:7" x14ac:dyDescent="0.25">
      <c r="E9181" s="27"/>
      <c r="F9181" s="27"/>
      <c r="G9181" s="7"/>
    </row>
    <row r="9182" spans="5:7" x14ac:dyDescent="0.25">
      <c r="E9182" s="27"/>
      <c r="F9182" s="27"/>
      <c r="G9182" s="7"/>
    </row>
    <row r="9183" spans="5:7" x14ac:dyDescent="0.25">
      <c r="E9183" s="27"/>
      <c r="F9183" s="27"/>
      <c r="G9183" s="7"/>
    </row>
    <row r="9184" spans="5:7" x14ac:dyDescent="0.25">
      <c r="E9184" s="27"/>
      <c r="F9184" s="27"/>
      <c r="G9184" s="7"/>
    </row>
    <row r="9185" spans="5:7" x14ac:dyDescent="0.25">
      <c r="E9185" s="27"/>
      <c r="F9185" s="27"/>
      <c r="G9185" s="7"/>
    </row>
    <row r="9186" spans="5:7" x14ac:dyDescent="0.25">
      <c r="E9186" s="27"/>
      <c r="F9186" s="27"/>
      <c r="G9186" s="7"/>
    </row>
    <row r="9187" spans="5:7" x14ac:dyDescent="0.25">
      <c r="E9187" s="27"/>
      <c r="F9187" s="27"/>
      <c r="G9187" s="7"/>
    </row>
    <row r="9188" spans="5:7" x14ac:dyDescent="0.25">
      <c r="E9188" s="27"/>
      <c r="F9188" s="27"/>
      <c r="G9188" s="7"/>
    </row>
    <row r="9189" spans="5:7" x14ac:dyDescent="0.25">
      <c r="E9189" s="27"/>
      <c r="F9189" s="27"/>
      <c r="G9189" s="7"/>
    </row>
    <row r="9190" spans="5:7" x14ac:dyDescent="0.25">
      <c r="E9190" s="27"/>
      <c r="F9190" s="27"/>
      <c r="G9190" s="7"/>
    </row>
    <row r="9191" spans="5:7" x14ac:dyDescent="0.25">
      <c r="E9191" s="27"/>
      <c r="F9191" s="27"/>
      <c r="G9191" s="7"/>
    </row>
    <row r="9192" spans="5:7" x14ac:dyDescent="0.25">
      <c r="E9192" s="27"/>
      <c r="F9192" s="27"/>
      <c r="G9192" s="7"/>
    </row>
    <row r="9193" spans="5:7" x14ac:dyDescent="0.25">
      <c r="E9193" s="27"/>
      <c r="F9193" s="27"/>
      <c r="G9193" s="7"/>
    </row>
    <row r="9194" spans="5:7" x14ac:dyDescent="0.25">
      <c r="E9194" s="27"/>
      <c r="F9194" s="27"/>
      <c r="G9194" s="7"/>
    </row>
    <row r="9195" spans="5:7" x14ac:dyDescent="0.25">
      <c r="E9195" s="27"/>
      <c r="F9195" s="27"/>
      <c r="G9195" s="7"/>
    </row>
    <row r="9196" spans="5:7" x14ac:dyDescent="0.25">
      <c r="E9196" s="27"/>
      <c r="F9196" s="27"/>
      <c r="G9196" s="7"/>
    </row>
    <row r="9197" spans="5:7" x14ac:dyDescent="0.25">
      <c r="E9197" s="27"/>
      <c r="F9197" s="27"/>
      <c r="G9197" s="7"/>
    </row>
    <row r="9198" spans="5:7" x14ac:dyDescent="0.25">
      <c r="E9198" s="27"/>
      <c r="F9198" s="27"/>
      <c r="G9198" s="7"/>
    </row>
    <row r="9199" spans="5:7" x14ac:dyDescent="0.25">
      <c r="E9199" s="27"/>
      <c r="F9199" s="27"/>
      <c r="G9199" s="7"/>
    </row>
    <row r="9200" spans="5:7" x14ac:dyDescent="0.25">
      <c r="E9200" s="27"/>
      <c r="F9200" s="27"/>
      <c r="G9200" s="7"/>
    </row>
    <row r="9201" spans="5:7" x14ac:dyDescent="0.25">
      <c r="E9201" s="27"/>
      <c r="F9201" s="27"/>
      <c r="G9201" s="7"/>
    </row>
    <row r="9202" spans="5:7" x14ac:dyDescent="0.25">
      <c r="E9202" s="27"/>
      <c r="F9202" s="27"/>
      <c r="G9202" s="7"/>
    </row>
    <row r="9203" spans="5:7" x14ac:dyDescent="0.25">
      <c r="E9203" s="27"/>
      <c r="F9203" s="27"/>
      <c r="G9203" s="7"/>
    </row>
    <row r="9204" spans="5:7" x14ac:dyDescent="0.25">
      <c r="E9204" s="27"/>
      <c r="F9204" s="27"/>
      <c r="G9204" s="7"/>
    </row>
    <row r="9205" spans="5:7" x14ac:dyDescent="0.25">
      <c r="E9205" s="27"/>
      <c r="F9205" s="27"/>
      <c r="G9205" s="7"/>
    </row>
    <row r="9206" spans="5:7" x14ac:dyDescent="0.25">
      <c r="E9206" s="27"/>
      <c r="F9206" s="27"/>
      <c r="G9206" s="7"/>
    </row>
    <row r="9207" spans="5:7" x14ac:dyDescent="0.25">
      <c r="E9207" s="27"/>
      <c r="F9207" s="27"/>
      <c r="G9207" s="7"/>
    </row>
    <row r="9208" spans="5:7" x14ac:dyDescent="0.25">
      <c r="E9208" s="27"/>
      <c r="F9208" s="27"/>
      <c r="G9208" s="7"/>
    </row>
    <row r="9209" spans="5:7" x14ac:dyDescent="0.25">
      <c r="E9209" s="27"/>
      <c r="F9209" s="27"/>
      <c r="G9209" s="7"/>
    </row>
    <row r="9210" spans="5:7" x14ac:dyDescent="0.25">
      <c r="E9210" s="27"/>
      <c r="F9210" s="27"/>
      <c r="G9210" s="7"/>
    </row>
    <row r="9211" spans="5:7" x14ac:dyDescent="0.25">
      <c r="E9211" s="27"/>
      <c r="F9211" s="27"/>
      <c r="G9211" s="7"/>
    </row>
    <row r="9212" spans="5:7" x14ac:dyDescent="0.25">
      <c r="E9212" s="27"/>
      <c r="F9212" s="27"/>
      <c r="G9212" s="7"/>
    </row>
    <row r="9213" spans="5:7" x14ac:dyDescent="0.25">
      <c r="E9213" s="27"/>
      <c r="F9213" s="27"/>
      <c r="G9213" s="7"/>
    </row>
    <row r="9214" spans="5:7" x14ac:dyDescent="0.25">
      <c r="E9214" s="27"/>
      <c r="F9214" s="27"/>
      <c r="G9214" s="7"/>
    </row>
    <row r="9215" spans="5:7" x14ac:dyDescent="0.25">
      <c r="E9215" s="27"/>
      <c r="F9215" s="27"/>
      <c r="G9215" s="7"/>
    </row>
    <row r="9216" spans="5:7" x14ac:dyDescent="0.25">
      <c r="E9216" s="27"/>
      <c r="F9216" s="27"/>
      <c r="G9216" s="7"/>
    </row>
    <row r="9217" spans="5:7" x14ac:dyDescent="0.25">
      <c r="E9217" s="27"/>
      <c r="F9217" s="27"/>
      <c r="G9217" s="7"/>
    </row>
    <row r="9218" spans="5:7" x14ac:dyDescent="0.25">
      <c r="E9218" s="27"/>
      <c r="F9218" s="27"/>
      <c r="G9218" s="7"/>
    </row>
    <row r="9219" spans="5:7" x14ac:dyDescent="0.25">
      <c r="E9219" s="27"/>
      <c r="F9219" s="27"/>
      <c r="G9219" s="7"/>
    </row>
    <row r="9220" spans="5:7" x14ac:dyDescent="0.25">
      <c r="E9220" s="27"/>
      <c r="F9220" s="27"/>
      <c r="G9220" s="7"/>
    </row>
    <row r="9221" spans="5:7" x14ac:dyDescent="0.25">
      <c r="E9221" s="27"/>
      <c r="F9221" s="27"/>
      <c r="G9221" s="7"/>
    </row>
    <row r="9222" spans="5:7" x14ac:dyDescent="0.25">
      <c r="E9222" s="27"/>
      <c r="F9222" s="27"/>
      <c r="G9222" s="7"/>
    </row>
    <row r="9223" spans="5:7" x14ac:dyDescent="0.25">
      <c r="E9223" s="27"/>
      <c r="F9223" s="27"/>
      <c r="G9223" s="7"/>
    </row>
    <row r="9224" spans="5:7" x14ac:dyDescent="0.25">
      <c r="E9224" s="27"/>
      <c r="F9224" s="27"/>
      <c r="G9224" s="7"/>
    </row>
    <row r="9225" spans="5:7" x14ac:dyDescent="0.25">
      <c r="E9225" s="27"/>
      <c r="F9225" s="27"/>
      <c r="G9225" s="7"/>
    </row>
    <row r="9226" spans="5:7" x14ac:dyDescent="0.25">
      <c r="E9226" s="27"/>
      <c r="F9226" s="27"/>
      <c r="G9226" s="7"/>
    </row>
    <row r="9227" spans="5:7" x14ac:dyDescent="0.25">
      <c r="E9227" s="27"/>
      <c r="F9227" s="27"/>
      <c r="G9227" s="7"/>
    </row>
    <row r="9228" spans="5:7" x14ac:dyDescent="0.25">
      <c r="E9228" s="27"/>
      <c r="F9228" s="27"/>
      <c r="G9228" s="7"/>
    </row>
    <row r="9229" spans="5:7" x14ac:dyDescent="0.25">
      <c r="E9229" s="27"/>
      <c r="F9229" s="27"/>
      <c r="G9229" s="7"/>
    </row>
    <row r="9230" spans="5:7" x14ac:dyDescent="0.25">
      <c r="E9230" s="27"/>
      <c r="F9230" s="27"/>
      <c r="G9230" s="7"/>
    </row>
    <row r="9231" spans="5:7" x14ac:dyDescent="0.25">
      <c r="E9231" s="27"/>
      <c r="F9231" s="27"/>
      <c r="G9231" s="7"/>
    </row>
    <row r="9232" spans="5:7" x14ac:dyDescent="0.25">
      <c r="E9232" s="27"/>
      <c r="F9232" s="27"/>
      <c r="G9232" s="7"/>
    </row>
    <row r="9233" spans="5:7" x14ac:dyDescent="0.25">
      <c r="E9233" s="27"/>
      <c r="F9233" s="27"/>
      <c r="G9233" s="7"/>
    </row>
    <row r="9234" spans="5:7" x14ac:dyDescent="0.25">
      <c r="E9234" s="27"/>
      <c r="F9234" s="27"/>
      <c r="G9234" s="7"/>
    </row>
    <row r="9235" spans="5:7" x14ac:dyDescent="0.25">
      <c r="E9235" s="27"/>
      <c r="F9235" s="27"/>
      <c r="G9235" s="7"/>
    </row>
    <row r="9236" spans="5:7" x14ac:dyDescent="0.25">
      <c r="E9236" s="27"/>
      <c r="F9236" s="27"/>
      <c r="G9236" s="7"/>
    </row>
    <row r="9237" spans="5:7" x14ac:dyDescent="0.25">
      <c r="E9237" s="27"/>
      <c r="F9237" s="27"/>
      <c r="G9237" s="7"/>
    </row>
    <row r="9238" spans="5:7" x14ac:dyDescent="0.25">
      <c r="E9238" s="27"/>
      <c r="F9238" s="27"/>
      <c r="G9238" s="7"/>
    </row>
    <row r="9239" spans="5:7" x14ac:dyDescent="0.25">
      <c r="E9239" s="27"/>
      <c r="F9239" s="27"/>
      <c r="G9239" s="7"/>
    </row>
    <row r="9240" spans="5:7" x14ac:dyDescent="0.25">
      <c r="E9240" s="27"/>
      <c r="F9240" s="27"/>
      <c r="G9240" s="7"/>
    </row>
    <row r="9241" spans="5:7" x14ac:dyDescent="0.25">
      <c r="E9241" s="27"/>
      <c r="F9241" s="27"/>
      <c r="G9241" s="7"/>
    </row>
    <row r="9242" spans="5:7" x14ac:dyDescent="0.25">
      <c r="E9242" s="27"/>
      <c r="F9242" s="27"/>
      <c r="G9242" s="7"/>
    </row>
    <row r="9243" spans="5:7" x14ac:dyDescent="0.25">
      <c r="E9243" s="27"/>
      <c r="F9243" s="27"/>
      <c r="G9243" s="7"/>
    </row>
    <row r="9244" spans="5:7" x14ac:dyDescent="0.25">
      <c r="E9244" s="27"/>
      <c r="F9244" s="27"/>
      <c r="G9244" s="7"/>
    </row>
    <row r="9245" spans="5:7" x14ac:dyDescent="0.25">
      <c r="E9245" s="27"/>
      <c r="F9245" s="27"/>
      <c r="G9245" s="7"/>
    </row>
    <row r="9246" spans="5:7" x14ac:dyDescent="0.25">
      <c r="E9246" s="27"/>
      <c r="F9246" s="27"/>
      <c r="G9246" s="7"/>
    </row>
    <row r="9247" spans="5:7" x14ac:dyDescent="0.25">
      <c r="E9247" s="27"/>
      <c r="F9247" s="27"/>
      <c r="G9247" s="7"/>
    </row>
    <row r="9248" spans="5:7" x14ac:dyDescent="0.25">
      <c r="E9248" s="27"/>
      <c r="F9248" s="27"/>
      <c r="G9248" s="7"/>
    </row>
    <row r="9249" spans="5:7" x14ac:dyDescent="0.25">
      <c r="E9249" s="27"/>
      <c r="F9249" s="27"/>
      <c r="G9249" s="7"/>
    </row>
    <row r="9250" spans="5:7" x14ac:dyDescent="0.25">
      <c r="E9250" s="27"/>
      <c r="F9250" s="27"/>
      <c r="G9250" s="7"/>
    </row>
    <row r="9251" spans="5:7" x14ac:dyDescent="0.25">
      <c r="E9251" s="27"/>
      <c r="F9251" s="27"/>
      <c r="G9251" s="7"/>
    </row>
    <row r="9252" spans="5:7" x14ac:dyDescent="0.25">
      <c r="E9252" s="27"/>
      <c r="F9252" s="27"/>
      <c r="G9252" s="7"/>
    </row>
    <row r="9253" spans="5:7" x14ac:dyDescent="0.25">
      <c r="E9253" s="27"/>
      <c r="F9253" s="27"/>
      <c r="G9253" s="7"/>
    </row>
    <row r="9254" spans="5:7" x14ac:dyDescent="0.25">
      <c r="E9254" s="27"/>
      <c r="F9254" s="27"/>
      <c r="G9254" s="7"/>
    </row>
    <row r="9255" spans="5:7" x14ac:dyDescent="0.25">
      <c r="E9255" s="27"/>
      <c r="F9255" s="27"/>
      <c r="G9255" s="7"/>
    </row>
    <row r="9256" spans="5:7" x14ac:dyDescent="0.25">
      <c r="E9256" s="27"/>
      <c r="F9256" s="27"/>
      <c r="G9256" s="7"/>
    </row>
    <row r="9257" spans="5:7" x14ac:dyDescent="0.25">
      <c r="E9257" s="27"/>
      <c r="F9257" s="27"/>
      <c r="G9257" s="7"/>
    </row>
    <row r="9258" spans="5:7" x14ac:dyDescent="0.25">
      <c r="E9258" s="27"/>
      <c r="F9258" s="27"/>
      <c r="G9258" s="7"/>
    </row>
    <row r="9259" spans="5:7" x14ac:dyDescent="0.25">
      <c r="E9259" s="27"/>
      <c r="F9259" s="27"/>
      <c r="G9259" s="7"/>
    </row>
    <row r="9260" spans="5:7" x14ac:dyDescent="0.25">
      <c r="E9260" s="27"/>
      <c r="F9260" s="27"/>
      <c r="G9260" s="7"/>
    </row>
    <row r="9261" spans="5:7" x14ac:dyDescent="0.25">
      <c r="E9261" s="27"/>
      <c r="F9261" s="27"/>
      <c r="G9261" s="7"/>
    </row>
    <row r="9262" spans="5:7" x14ac:dyDescent="0.25">
      <c r="E9262" s="27"/>
      <c r="F9262" s="27"/>
      <c r="G9262" s="7"/>
    </row>
    <row r="9263" spans="5:7" x14ac:dyDescent="0.25">
      <c r="E9263" s="27"/>
      <c r="F9263" s="27"/>
      <c r="G9263" s="7"/>
    </row>
    <row r="9264" spans="5:7" x14ac:dyDescent="0.25">
      <c r="E9264" s="27"/>
      <c r="F9264" s="27"/>
      <c r="G9264" s="7"/>
    </row>
    <row r="9265" spans="5:7" x14ac:dyDescent="0.25">
      <c r="E9265" s="27"/>
      <c r="F9265" s="27"/>
      <c r="G9265" s="7"/>
    </row>
    <row r="9266" spans="5:7" x14ac:dyDescent="0.25">
      <c r="E9266" s="27"/>
      <c r="F9266" s="27"/>
      <c r="G9266" s="7"/>
    </row>
    <row r="9267" spans="5:7" x14ac:dyDescent="0.25">
      <c r="E9267" s="27"/>
      <c r="F9267" s="27"/>
      <c r="G9267" s="7"/>
    </row>
    <row r="9268" spans="5:7" x14ac:dyDescent="0.25">
      <c r="E9268" s="27"/>
      <c r="F9268" s="27"/>
      <c r="G9268" s="7"/>
    </row>
    <row r="9269" spans="5:7" x14ac:dyDescent="0.25">
      <c r="E9269" s="27"/>
      <c r="F9269" s="27"/>
      <c r="G9269" s="7"/>
    </row>
    <row r="9270" spans="5:7" x14ac:dyDescent="0.25">
      <c r="E9270" s="27"/>
      <c r="F9270" s="27"/>
      <c r="G9270" s="7"/>
    </row>
    <row r="9271" spans="5:7" x14ac:dyDescent="0.25">
      <c r="E9271" s="27"/>
      <c r="F9271" s="27"/>
      <c r="G9271" s="7"/>
    </row>
    <row r="9272" spans="5:7" x14ac:dyDescent="0.25">
      <c r="E9272" s="27"/>
      <c r="F9272" s="27"/>
      <c r="G9272" s="7"/>
    </row>
    <row r="9273" spans="5:7" x14ac:dyDescent="0.25">
      <c r="E9273" s="27"/>
      <c r="F9273" s="27"/>
      <c r="G9273" s="7"/>
    </row>
    <row r="9274" spans="5:7" x14ac:dyDescent="0.25">
      <c r="E9274" s="27"/>
      <c r="F9274" s="27"/>
      <c r="G9274" s="7"/>
    </row>
    <row r="9275" spans="5:7" x14ac:dyDescent="0.25">
      <c r="E9275" s="27"/>
      <c r="F9275" s="27"/>
      <c r="G9275" s="7"/>
    </row>
    <row r="9276" spans="5:7" x14ac:dyDescent="0.25">
      <c r="E9276" s="27"/>
      <c r="F9276" s="27"/>
      <c r="G9276" s="7"/>
    </row>
    <row r="9277" spans="5:7" x14ac:dyDescent="0.25">
      <c r="E9277" s="27"/>
      <c r="F9277" s="27"/>
      <c r="G9277" s="7"/>
    </row>
    <row r="9278" spans="5:7" x14ac:dyDescent="0.25">
      <c r="E9278" s="27"/>
      <c r="F9278" s="27"/>
      <c r="G9278" s="7"/>
    </row>
    <row r="9279" spans="5:7" x14ac:dyDescent="0.25">
      <c r="E9279" s="27"/>
      <c r="F9279" s="27"/>
      <c r="G9279" s="7"/>
    </row>
    <row r="9280" spans="5:7" x14ac:dyDescent="0.25">
      <c r="E9280" s="27"/>
      <c r="F9280" s="27"/>
      <c r="G9280" s="7"/>
    </row>
    <row r="9281" spans="5:7" x14ac:dyDescent="0.25">
      <c r="E9281" s="27"/>
      <c r="F9281" s="27"/>
      <c r="G9281" s="7"/>
    </row>
    <row r="9282" spans="5:7" x14ac:dyDescent="0.25">
      <c r="E9282" s="27"/>
      <c r="F9282" s="27"/>
      <c r="G9282" s="7"/>
    </row>
    <row r="9283" spans="5:7" x14ac:dyDescent="0.25">
      <c r="E9283" s="27"/>
      <c r="F9283" s="27"/>
      <c r="G9283" s="7"/>
    </row>
    <row r="9284" spans="5:7" x14ac:dyDescent="0.25">
      <c r="E9284" s="27"/>
      <c r="F9284" s="27"/>
      <c r="G9284" s="7"/>
    </row>
    <row r="9285" spans="5:7" x14ac:dyDescent="0.25">
      <c r="E9285" s="27"/>
      <c r="F9285" s="27"/>
      <c r="G9285" s="7"/>
    </row>
    <row r="9286" spans="5:7" x14ac:dyDescent="0.25">
      <c r="E9286" s="27"/>
      <c r="F9286" s="27"/>
      <c r="G9286" s="7"/>
    </row>
    <row r="9287" spans="5:7" x14ac:dyDescent="0.25">
      <c r="E9287" s="27"/>
      <c r="F9287" s="27"/>
      <c r="G9287" s="7"/>
    </row>
    <row r="9288" spans="5:7" x14ac:dyDescent="0.25">
      <c r="E9288" s="27"/>
      <c r="F9288" s="27"/>
      <c r="G9288" s="7"/>
    </row>
    <row r="9289" spans="5:7" x14ac:dyDescent="0.25">
      <c r="E9289" s="27"/>
      <c r="F9289" s="27"/>
      <c r="G9289" s="7"/>
    </row>
    <row r="9290" spans="5:7" x14ac:dyDescent="0.25">
      <c r="E9290" s="27"/>
      <c r="F9290" s="27"/>
      <c r="G9290" s="7"/>
    </row>
    <row r="9291" spans="5:7" x14ac:dyDescent="0.25">
      <c r="E9291" s="27"/>
      <c r="F9291" s="27"/>
      <c r="G9291" s="7"/>
    </row>
    <row r="9292" spans="5:7" x14ac:dyDescent="0.25">
      <c r="E9292" s="27"/>
      <c r="F9292" s="27"/>
      <c r="G9292" s="7"/>
    </row>
    <row r="9293" spans="5:7" x14ac:dyDescent="0.25">
      <c r="E9293" s="27"/>
      <c r="F9293" s="27"/>
      <c r="G9293" s="7"/>
    </row>
    <row r="9294" spans="5:7" x14ac:dyDescent="0.25">
      <c r="E9294" s="27"/>
      <c r="F9294" s="27"/>
      <c r="G9294" s="7"/>
    </row>
    <row r="9295" spans="5:7" x14ac:dyDescent="0.25">
      <c r="E9295" s="27"/>
      <c r="F9295" s="27"/>
      <c r="G9295" s="7"/>
    </row>
    <row r="9296" spans="5:7" x14ac:dyDescent="0.25">
      <c r="E9296" s="27"/>
      <c r="F9296" s="27"/>
      <c r="G9296" s="7"/>
    </row>
    <row r="9297" spans="5:7" x14ac:dyDescent="0.25">
      <c r="E9297" s="27"/>
      <c r="F9297" s="27"/>
      <c r="G9297" s="7"/>
    </row>
    <row r="9298" spans="5:7" x14ac:dyDescent="0.25">
      <c r="E9298" s="27"/>
      <c r="F9298" s="27"/>
      <c r="G9298" s="7"/>
    </row>
    <row r="9299" spans="5:7" x14ac:dyDescent="0.25">
      <c r="E9299" s="27"/>
      <c r="F9299" s="27"/>
      <c r="G9299" s="7"/>
    </row>
    <row r="9300" spans="5:7" x14ac:dyDescent="0.25">
      <c r="E9300" s="27"/>
      <c r="F9300" s="27"/>
      <c r="G9300" s="7"/>
    </row>
    <row r="9301" spans="5:7" x14ac:dyDescent="0.25">
      <c r="E9301" s="27"/>
      <c r="F9301" s="27"/>
      <c r="G9301" s="7"/>
    </row>
    <row r="9302" spans="5:7" x14ac:dyDescent="0.25">
      <c r="E9302" s="27"/>
      <c r="F9302" s="27"/>
      <c r="G9302" s="7"/>
    </row>
    <row r="9303" spans="5:7" x14ac:dyDescent="0.25">
      <c r="E9303" s="27"/>
      <c r="F9303" s="27"/>
      <c r="G9303" s="7"/>
    </row>
    <row r="9304" spans="5:7" x14ac:dyDescent="0.25">
      <c r="E9304" s="27"/>
      <c r="F9304" s="27"/>
      <c r="G9304" s="7"/>
    </row>
    <row r="9305" spans="5:7" x14ac:dyDescent="0.25">
      <c r="E9305" s="27"/>
      <c r="F9305" s="27"/>
      <c r="G9305" s="7"/>
    </row>
    <row r="9306" spans="5:7" x14ac:dyDescent="0.25">
      <c r="E9306" s="27"/>
      <c r="F9306" s="27"/>
      <c r="G9306" s="7"/>
    </row>
    <row r="9307" spans="5:7" x14ac:dyDescent="0.25">
      <c r="E9307" s="27"/>
      <c r="F9307" s="27"/>
      <c r="G9307" s="7"/>
    </row>
    <row r="9308" spans="5:7" x14ac:dyDescent="0.25">
      <c r="E9308" s="27"/>
      <c r="F9308" s="27"/>
      <c r="G9308" s="7"/>
    </row>
    <row r="9309" spans="5:7" x14ac:dyDescent="0.25">
      <c r="E9309" s="27"/>
      <c r="F9309" s="27"/>
      <c r="G9309" s="7"/>
    </row>
    <row r="9310" spans="5:7" x14ac:dyDescent="0.25">
      <c r="E9310" s="27"/>
      <c r="F9310" s="27"/>
      <c r="G9310" s="7"/>
    </row>
    <row r="9311" spans="5:7" x14ac:dyDescent="0.25">
      <c r="E9311" s="27"/>
      <c r="F9311" s="27"/>
      <c r="G9311" s="7"/>
    </row>
    <row r="9312" spans="5:7" x14ac:dyDescent="0.25">
      <c r="E9312" s="27"/>
      <c r="F9312" s="27"/>
      <c r="G9312" s="7"/>
    </row>
    <row r="9313" spans="5:7" x14ac:dyDescent="0.25">
      <c r="E9313" s="27"/>
      <c r="F9313" s="27"/>
      <c r="G9313" s="7"/>
    </row>
    <row r="9314" spans="5:7" x14ac:dyDescent="0.25">
      <c r="E9314" s="27"/>
      <c r="F9314" s="27"/>
      <c r="G9314" s="7"/>
    </row>
    <row r="9315" spans="5:7" x14ac:dyDescent="0.25">
      <c r="E9315" s="27"/>
      <c r="F9315" s="27"/>
      <c r="G9315" s="7"/>
    </row>
    <row r="9316" spans="5:7" x14ac:dyDescent="0.25">
      <c r="E9316" s="27"/>
      <c r="F9316" s="27"/>
      <c r="G9316" s="7"/>
    </row>
    <row r="9317" spans="5:7" x14ac:dyDescent="0.25">
      <c r="E9317" s="27"/>
      <c r="F9317" s="27"/>
      <c r="G9317" s="7"/>
    </row>
    <row r="9318" spans="5:7" x14ac:dyDescent="0.25">
      <c r="E9318" s="27"/>
      <c r="F9318" s="27"/>
      <c r="G9318" s="7"/>
    </row>
    <row r="9319" spans="5:7" x14ac:dyDescent="0.25">
      <c r="E9319" s="27"/>
      <c r="F9319" s="27"/>
      <c r="G9319" s="7"/>
    </row>
    <row r="9320" spans="5:7" x14ac:dyDescent="0.25">
      <c r="E9320" s="27"/>
      <c r="F9320" s="27"/>
      <c r="G9320" s="7"/>
    </row>
    <row r="9321" spans="5:7" x14ac:dyDescent="0.25">
      <c r="E9321" s="27"/>
      <c r="F9321" s="27"/>
      <c r="G9321" s="7"/>
    </row>
    <row r="9322" spans="5:7" x14ac:dyDescent="0.25">
      <c r="E9322" s="27"/>
      <c r="F9322" s="27"/>
      <c r="G9322" s="7"/>
    </row>
    <row r="9323" spans="5:7" x14ac:dyDescent="0.25">
      <c r="E9323" s="27"/>
      <c r="F9323" s="27"/>
      <c r="G9323" s="7"/>
    </row>
    <row r="9324" spans="5:7" x14ac:dyDescent="0.25">
      <c r="E9324" s="27"/>
      <c r="F9324" s="27"/>
      <c r="G9324" s="7"/>
    </row>
    <row r="9325" spans="5:7" x14ac:dyDescent="0.25">
      <c r="E9325" s="27"/>
      <c r="F9325" s="27"/>
      <c r="G9325" s="7"/>
    </row>
    <row r="9326" spans="5:7" x14ac:dyDescent="0.25">
      <c r="E9326" s="27"/>
      <c r="F9326" s="27"/>
      <c r="G9326" s="7"/>
    </row>
    <row r="9327" spans="5:7" x14ac:dyDescent="0.25">
      <c r="E9327" s="27"/>
      <c r="F9327" s="27"/>
      <c r="G9327" s="7"/>
    </row>
    <row r="9328" spans="5:7" x14ac:dyDescent="0.25">
      <c r="E9328" s="27"/>
      <c r="F9328" s="27"/>
      <c r="G9328" s="7"/>
    </row>
    <row r="9329" spans="5:7" x14ac:dyDescent="0.25">
      <c r="E9329" s="27"/>
      <c r="F9329" s="27"/>
      <c r="G9329" s="7"/>
    </row>
    <row r="9330" spans="5:7" x14ac:dyDescent="0.25">
      <c r="E9330" s="27"/>
      <c r="F9330" s="27"/>
      <c r="G9330" s="7"/>
    </row>
    <row r="9331" spans="5:7" x14ac:dyDescent="0.25">
      <c r="E9331" s="27"/>
      <c r="F9331" s="27"/>
      <c r="G9331" s="7"/>
    </row>
    <row r="9332" spans="5:7" x14ac:dyDescent="0.25">
      <c r="E9332" s="27"/>
      <c r="F9332" s="27"/>
      <c r="G9332" s="7"/>
    </row>
    <row r="9333" spans="5:7" x14ac:dyDescent="0.25">
      <c r="E9333" s="27"/>
      <c r="F9333" s="27"/>
      <c r="G9333" s="7"/>
    </row>
    <row r="9334" spans="5:7" x14ac:dyDescent="0.25">
      <c r="E9334" s="27"/>
      <c r="F9334" s="27"/>
      <c r="G9334" s="7"/>
    </row>
    <row r="9335" spans="5:7" x14ac:dyDescent="0.25">
      <c r="E9335" s="27"/>
      <c r="F9335" s="27"/>
      <c r="G9335" s="7"/>
    </row>
    <row r="9336" spans="5:7" x14ac:dyDescent="0.25">
      <c r="E9336" s="27"/>
      <c r="F9336" s="27"/>
      <c r="G9336" s="7"/>
    </row>
    <row r="9337" spans="5:7" x14ac:dyDescent="0.25">
      <c r="E9337" s="27"/>
      <c r="F9337" s="27"/>
      <c r="G9337" s="7"/>
    </row>
    <row r="9338" spans="5:7" x14ac:dyDescent="0.25">
      <c r="E9338" s="27"/>
      <c r="F9338" s="27"/>
      <c r="G9338" s="7"/>
    </row>
    <row r="9339" spans="5:7" x14ac:dyDescent="0.25">
      <c r="E9339" s="27"/>
      <c r="F9339" s="27"/>
      <c r="G9339" s="7"/>
    </row>
    <row r="9340" spans="5:7" x14ac:dyDescent="0.25">
      <c r="E9340" s="27"/>
      <c r="F9340" s="27"/>
      <c r="G9340" s="7"/>
    </row>
    <row r="9341" spans="5:7" x14ac:dyDescent="0.25">
      <c r="E9341" s="27"/>
      <c r="F9341" s="27"/>
      <c r="G9341" s="7"/>
    </row>
    <row r="9342" spans="5:7" x14ac:dyDescent="0.25">
      <c r="E9342" s="27"/>
      <c r="F9342" s="27"/>
      <c r="G9342" s="7"/>
    </row>
    <row r="9343" spans="5:7" x14ac:dyDescent="0.25">
      <c r="E9343" s="27"/>
      <c r="F9343" s="27"/>
      <c r="G9343" s="7"/>
    </row>
    <row r="9344" spans="5:7" x14ac:dyDescent="0.25">
      <c r="E9344" s="27"/>
      <c r="F9344" s="27"/>
      <c r="G9344" s="7"/>
    </row>
    <row r="9345" spans="5:7" x14ac:dyDescent="0.25">
      <c r="E9345" s="27"/>
      <c r="F9345" s="27"/>
      <c r="G9345" s="7"/>
    </row>
    <row r="9346" spans="5:7" x14ac:dyDescent="0.25">
      <c r="E9346" s="27"/>
      <c r="F9346" s="27"/>
      <c r="G9346" s="7"/>
    </row>
    <row r="9347" spans="5:7" x14ac:dyDescent="0.25">
      <c r="E9347" s="27"/>
      <c r="F9347" s="27"/>
      <c r="G9347" s="7"/>
    </row>
    <row r="9348" spans="5:7" x14ac:dyDescent="0.25">
      <c r="E9348" s="27"/>
      <c r="F9348" s="27"/>
      <c r="G9348" s="7"/>
    </row>
    <row r="9349" spans="5:7" x14ac:dyDescent="0.25">
      <c r="E9349" s="27"/>
      <c r="F9349" s="27"/>
      <c r="G9349" s="7"/>
    </row>
    <row r="9350" spans="5:7" x14ac:dyDescent="0.25">
      <c r="E9350" s="27"/>
      <c r="F9350" s="27"/>
      <c r="G9350" s="7"/>
    </row>
    <row r="9351" spans="5:7" x14ac:dyDescent="0.25">
      <c r="E9351" s="27"/>
      <c r="F9351" s="27"/>
      <c r="G9351" s="7"/>
    </row>
    <row r="9352" spans="5:7" x14ac:dyDescent="0.25">
      <c r="E9352" s="27"/>
      <c r="F9352" s="27"/>
      <c r="G9352" s="7"/>
    </row>
    <row r="9353" spans="5:7" x14ac:dyDescent="0.25">
      <c r="E9353" s="27"/>
      <c r="F9353" s="27"/>
      <c r="G9353" s="7"/>
    </row>
    <row r="9354" spans="5:7" x14ac:dyDescent="0.25">
      <c r="E9354" s="27"/>
      <c r="F9354" s="27"/>
      <c r="G9354" s="7"/>
    </row>
    <row r="9355" spans="5:7" x14ac:dyDescent="0.25">
      <c r="E9355" s="27"/>
      <c r="F9355" s="27"/>
      <c r="G9355" s="7"/>
    </row>
    <row r="9356" spans="5:7" x14ac:dyDescent="0.25">
      <c r="E9356" s="27"/>
      <c r="F9356" s="27"/>
      <c r="G9356" s="7"/>
    </row>
    <row r="9357" spans="5:7" x14ac:dyDescent="0.25">
      <c r="E9357" s="27"/>
      <c r="F9357" s="27"/>
      <c r="G9357" s="7"/>
    </row>
    <row r="9358" spans="5:7" x14ac:dyDescent="0.25">
      <c r="E9358" s="27"/>
      <c r="F9358" s="27"/>
      <c r="G9358" s="7"/>
    </row>
    <row r="9359" spans="5:7" x14ac:dyDescent="0.25">
      <c r="E9359" s="27"/>
      <c r="F9359" s="27"/>
      <c r="G9359" s="7"/>
    </row>
    <row r="9360" spans="5:7" x14ac:dyDescent="0.25">
      <c r="E9360" s="27"/>
      <c r="F9360" s="27"/>
      <c r="G9360" s="7"/>
    </row>
    <row r="9361" spans="5:7" x14ac:dyDescent="0.25">
      <c r="E9361" s="27"/>
      <c r="F9361" s="27"/>
      <c r="G9361" s="7"/>
    </row>
    <row r="9362" spans="5:7" x14ac:dyDescent="0.25">
      <c r="E9362" s="27"/>
      <c r="F9362" s="27"/>
      <c r="G9362" s="7"/>
    </row>
    <row r="9363" spans="5:7" x14ac:dyDescent="0.25">
      <c r="E9363" s="27"/>
      <c r="F9363" s="27"/>
      <c r="G9363" s="7"/>
    </row>
    <row r="9364" spans="5:7" x14ac:dyDescent="0.25">
      <c r="E9364" s="27"/>
      <c r="F9364" s="27"/>
      <c r="G9364" s="7"/>
    </row>
    <row r="9365" spans="5:7" x14ac:dyDescent="0.25">
      <c r="E9365" s="27"/>
      <c r="F9365" s="27"/>
      <c r="G9365" s="7"/>
    </row>
    <row r="9366" spans="5:7" x14ac:dyDescent="0.25">
      <c r="E9366" s="27"/>
      <c r="F9366" s="27"/>
      <c r="G9366" s="7"/>
    </row>
    <row r="9367" spans="5:7" x14ac:dyDescent="0.25">
      <c r="E9367" s="27"/>
      <c r="F9367" s="27"/>
      <c r="G9367" s="7"/>
    </row>
    <row r="9368" spans="5:7" x14ac:dyDescent="0.25">
      <c r="E9368" s="27"/>
      <c r="F9368" s="27"/>
      <c r="G9368" s="7"/>
    </row>
    <row r="9369" spans="5:7" x14ac:dyDescent="0.25">
      <c r="E9369" s="27"/>
      <c r="F9369" s="27"/>
      <c r="G9369" s="7"/>
    </row>
    <row r="9370" spans="5:7" x14ac:dyDescent="0.25">
      <c r="E9370" s="27"/>
      <c r="F9370" s="27"/>
      <c r="G9370" s="7"/>
    </row>
    <row r="9371" spans="5:7" x14ac:dyDescent="0.25">
      <c r="E9371" s="27"/>
      <c r="F9371" s="27"/>
      <c r="G9371" s="7"/>
    </row>
    <row r="9372" spans="5:7" x14ac:dyDescent="0.25">
      <c r="E9372" s="27"/>
      <c r="F9372" s="27"/>
      <c r="G9372" s="7"/>
    </row>
    <row r="9373" spans="5:7" x14ac:dyDescent="0.25">
      <c r="E9373" s="27"/>
      <c r="F9373" s="27"/>
      <c r="G9373" s="7"/>
    </row>
    <row r="9374" spans="5:7" x14ac:dyDescent="0.25">
      <c r="E9374" s="27"/>
      <c r="F9374" s="27"/>
      <c r="G9374" s="7"/>
    </row>
    <row r="9375" spans="5:7" x14ac:dyDescent="0.25">
      <c r="E9375" s="27"/>
      <c r="F9375" s="27"/>
      <c r="G9375" s="7"/>
    </row>
    <row r="9376" spans="5:7" x14ac:dyDescent="0.25">
      <c r="E9376" s="27"/>
      <c r="F9376" s="27"/>
      <c r="G9376" s="7"/>
    </row>
    <row r="9377" spans="5:7" x14ac:dyDescent="0.25">
      <c r="E9377" s="27"/>
      <c r="F9377" s="27"/>
      <c r="G9377" s="7"/>
    </row>
    <row r="9378" spans="5:7" x14ac:dyDescent="0.25">
      <c r="E9378" s="27"/>
      <c r="F9378" s="27"/>
      <c r="G9378" s="7"/>
    </row>
    <row r="9379" spans="5:7" x14ac:dyDescent="0.25">
      <c r="E9379" s="27"/>
      <c r="F9379" s="27"/>
      <c r="G9379" s="7"/>
    </row>
    <row r="9380" spans="5:7" x14ac:dyDescent="0.25">
      <c r="E9380" s="27"/>
      <c r="F9380" s="27"/>
      <c r="G9380" s="7"/>
    </row>
    <row r="9381" spans="5:7" x14ac:dyDescent="0.25">
      <c r="E9381" s="27"/>
      <c r="F9381" s="27"/>
      <c r="G9381" s="7"/>
    </row>
    <row r="9382" spans="5:7" x14ac:dyDescent="0.25">
      <c r="E9382" s="27"/>
      <c r="F9382" s="27"/>
      <c r="G9382" s="7"/>
    </row>
    <row r="9383" spans="5:7" x14ac:dyDescent="0.25">
      <c r="E9383" s="27"/>
      <c r="F9383" s="27"/>
      <c r="G9383" s="7"/>
    </row>
    <row r="9384" spans="5:7" x14ac:dyDescent="0.25">
      <c r="E9384" s="27"/>
      <c r="F9384" s="27"/>
      <c r="G9384" s="7"/>
    </row>
    <row r="9385" spans="5:7" x14ac:dyDescent="0.25">
      <c r="E9385" s="27"/>
      <c r="F9385" s="27"/>
      <c r="G9385" s="7"/>
    </row>
    <row r="9386" spans="5:7" x14ac:dyDescent="0.25">
      <c r="E9386" s="27"/>
      <c r="F9386" s="27"/>
      <c r="G9386" s="7"/>
    </row>
    <row r="9387" spans="5:7" x14ac:dyDescent="0.25">
      <c r="E9387" s="27"/>
      <c r="F9387" s="27"/>
      <c r="G9387" s="7"/>
    </row>
    <row r="9388" spans="5:7" x14ac:dyDescent="0.25">
      <c r="E9388" s="27"/>
      <c r="F9388" s="27"/>
      <c r="G9388" s="7"/>
    </row>
    <row r="9389" spans="5:7" x14ac:dyDescent="0.25">
      <c r="E9389" s="27"/>
      <c r="F9389" s="27"/>
      <c r="G9389" s="7"/>
    </row>
    <row r="9390" spans="5:7" x14ac:dyDescent="0.25">
      <c r="E9390" s="27"/>
      <c r="F9390" s="27"/>
      <c r="G9390" s="7"/>
    </row>
    <row r="9391" spans="5:7" x14ac:dyDescent="0.25">
      <c r="E9391" s="27"/>
      <c r="F9391" s="27"/>
      <c r="G9391" s="7"/>
    </row>
    <row r="9392" spans="5:7" x14ac:dyDescent="0.25">
      <c r="E9392" s="27"/>
      <c r="F9392" s="27"/>
      <c r="G9392" s="7"/>
    </row>
    <row r="9393" spans="5:7" x14ac:dyDescent="0.25">
      <c r="E9393" s="27"/>
      <c r="F9393" s="27"/>
      <c r="G9393" s="7"/>
    </row>
    <row r="9394" spans="5:7" x14ac:dyDescent="0.25">
      <c r="E9394" s="27"/>
      <c r="F9394" s="27"/>
      <c r="G9394" s="7"/>
    </row>
    <row r="9395" spans="5:7" x14ac:dyDescent="0.25">
      <c r="E9395" s="27"/>
      <c r="F9395" s="27"/>
      <c r="G9395" s="7"/>
    </row>
    <row r="9396" spans="5:7" x14ac:dyDescent="0.25">
      <c r="E9396" s="27"/>
      <c r="F9396" s="27"/>
      <c r="G9396" s="7"/>
    </row>
    <row r="9397" spans="5:7" x14ac:dyDescent="0.25">
      <c r="E9397" s="27"/>
      <c r="F9397" s="27"/>
      <c r="G9397" s="7"/>
    </row>
    <row r="9398" spans="5:7" x14ac:dyDescent="0.25">
      <c r="E9398" s="27"/>
      <c r="F9398" s="27"/>
      <c r="G9398" s="7"/>
    </row>
    <row r="9399" spans="5:7" x14ac:dyDescent="0.25">
      <c r="E9399" s="27"/>
      <c r="F9399" s="27"/>
      <c r="G9399" s="7"/>
    </row>
    <row r="9400" spans="5:7" x14ac:dyDescent="0.25">
      <c r="E9400" s="27"/>
      <c r="F9400" s="27"/>
      <c r="G9400" s="7"/>
    </row>
    <row r="9401" spans="5:7" x14ac:dyDescent="0.25">
      <c r="E9401" s="27"/>
      <c r="F9401" s="27"/>
      <c r="G9401" s="7"/>
    </row>
    <row r="9402" spans="5:7" x14ac:dyDescent="0.25">
      <c r="E9402" s="27"/>
      <c r="F9402" s="27"/>
      <c r="G9402" s="7"/>
    </row>
    <row r="9403" spans="5:7" x14ac:dyDescent="0.25">
      <c r="E9403" s="27"/>
      <c r="F9403" s="27"/>
      <c r="G9403" s="7"/>
    </row>
    <row r="9404" spans="5:7" x14ac:dyDescent="0.25">
      <c r="E9404" s="27"/>
      <c r="F9404" s="27"/>
      <c r="G9404" s="7"/>
    </row>
    <row r="9405" spans="5:7" x14ac:dyDescent="0.25">
      <c r="E9405" s="27"/>
      <c r="F9405" s="27"/>
      <c r="G9405" s="7"/>
    </row>
    <row r="9406" spans="5:7" x14ac:dyDescent="0.25">
      <c r="E9406" s="27"/>
      <c r="F9406" s="27"/>
      <c r="G9406" s="7"/>
    </row>
    <row r="9407" spans="5:7" x14ac:dyDescent="0.25">
      <c r="E9407" s="27"/>
      <c r="F9407" s="27"/>
      <c r="G9407" s="7"/>
    </row>
    <row r="9408" spans="5:7" x14ac:dyDescent="0.25">
      <c r="E9408" s="27"/>
      <c r="F9408" s="27"/>
      <c r="G9408" s="7"/>
    </row>
    <row r="9409" spans="5:7" x14ac:dyDescent="0.25">
      <c r="E9409" s="27"/>
      <c r="F9409" s="27"/>
      <c r="G9409" s="7"/>
    </row>
    <row r="9410" spans="5:7" x14ac:dyDescent="0.25">
      <c r="E9410" s="27"/>
      <c r="F9410" s="27"/>
      <c r="G9410" s="7"/>
    </row>
    <row r="9411" spans="5:7" x14ac:dyDescent="0.25">
      <c r="E9411" s="27"/>
      <c r="F9411" s="27"/>
      <c r="G9411" s="7"/>
    </row>
    <row r="9412" spans="5:7" x14ac:dyDescent="0.25">
      <c r="E9412" s="27"/>
      <c r="F9412" s="27"/>
      <c r="G9412" s="7"/>
    </row>
    <row r="9413" spans="5:7" x14ac:dyDescent="0.25">
      <c r="E9413" s="27"/>
      <c r="F9413" s="27"/>
      <c r="G9413" s="7"/>
    </row>
    <row r="9414" spans="5:7" x14ac:dyDescent="0.25">
      <c r="E9414" s="27"/>
      <c r="F9414" s="27"/>
      <c r="G9414" s="7"/>
    </row>
    <row r="9415" spans="5:7" x14ac:dyDescent="0.25">
      <c r="E9415" s="27"/>
      <c r="F9415" s="27"/>
      <c r="G9415" s="7"/>
    </row>
    <row r="9416" spans="5:7" x14ac:dyDescent="0.25">
      <c r="E9416" s="27"/>
      <c r="F9416" s="27"/>
      <c r="G9416" s="7"/>
    </row>
    <row r="9417" spans="5:7" x14ac:dyDescent="0.25">
      <c r="E9417" s="27"/>
      <c r="F9417" s="27"/>
      <c r="G9417" s="7"/>
    </row>
    <row r="9418" spans="5:7" x14ac:dyDescent="0.25">
      <c r="E9418" s="27"/>
      <c r="F9418" s="27"/>
      <c r="G9418" s="7"/>
    </row>
    <row r="9419" spans="5:7" x14ac:dyDescent="0.25">
      <c r="E9419" s="27"/>
      <c r="F9419" s="27"/>
      <c r="G9419" s="7"/>
    </row>
    <row r="9420" spans="5:7" x14ac:dyDescent="0.25">
      <c r="E9420" s="27"/>
      <c r="F9420" s="27"/>
      <c r="G9420" s="7"/>
    </row>
    <row r="9421" spans="5:7" x14ac:dyDescent="0.25">
      <c r="E9421" s="27"/>
      <c r="F9421" s="27"/>
      <c r="G9421" s="7"/>
    </row>
    <row r="9422" spans="5:7" x14ac:dyDescent="0.25">
      <c r="E9422" s="27"/>
      <c r="F9422" s="27"/>
      <c r="G9422" s="7"/>
    </row>
    <row r="9423" spans="5:7" x14ac:dyDescent="0.25">
      <c r="E9423" s="27"/>
      <c r="F9423" s="27"/>
      <c r="G9423" s="7"/>
    </row>
    <row r="9424" spans="5:7" x14ac:dyDescent="0.25">
      <c r="E9424" s="27"/>
      <c r="F9424" s="27"/>
      <c r="G9424" s="7"/>
    </row>
    <row r="9425" spans="5:7" x14ac:dyDescent="0.25">
      <c r="E9425" s="27"/>
      <c r="F9425" s="27"/>
      <c r="G9425" s="7"/>
    </row>
    <row r="9426" spans="5:7" x14ac:dyDescent="0.25">
      <c r="E9426" s="27"/>
      <c r="F9426" s="27"/>
      <c r="G9426" s="7"/>
    </row>
    <row r="9427" spans="5:7" x14ac:dyDescent="0.25">
      <c r="E9427" s="27"/>
      <c r="F9427" s="27"/>
      <c r="G9427" s="7"/>
    </row>
    <row r="9428" spans="5:7" x14ac:dyDescent="0.25">
      <c r="E9428" s="27"/>
      <c r="F9428" s="27"/>
      <c r="G9428" s="7"/>
    </row>
    <row r="9429" spans="5:7" x14ac:dyDescent="0.25">
      <c r="E9429" s="27"/>
      <c r="F9429" s="27"/>
      <c r="G9429" s="7"/>
    </row>
    <row r="9430" spans="5:7" x14ac:dyDescent="0.25">
      <c r="E9430" s="27"/>
      <c r="F9430" s="27"/>
      <c r="G9430" s="7"/>
    </row>
    <row r="9431" spans="5:7" x14ac:dyDescent="0.25">
      <c r="E9431" s="27"/>
      <c r="F9431" s="27"/>
      <c r="G9431" s="7"/>
    </row>
    <row r="9432" spans="5:7" x14ac:dyDescent="0.25">
      <c r="E9432" s="27"/>
      <c r="F9432" s="27"/>
      <c r="G9432" s="7"/>
    </row>
    <row r="9433" spans="5:7" x14ac:dyDescent="0.25">
      <c r="E9433" s="27"/>
      <c r="F9433" s="27"/>
      <c r="G9433" s="7"/>
    </row>
    <row r="9434" spans="5:7" x14ac:dyDescent="0.25">
      <c r="E9434" s="27"/>
      <c r="F9434" s="27"/>
      <c r="G9434" s="7"/>
    </row>
    <row r="9435" spans="5:7" x14ac:dyDescent="0.25">
      <c r="E9435" s="27"/>
      <c r="F9435" s="27"/>
      <c r="G9435" s="7"/>
    </row>
    <row r="9436" spans="5:7" x14ac:dyDescent="0.25">
      <c r="E9436" s="27"/>
      <c r="F9436" s="27"/>
      <c r="G9436" s="7"/>
    </row>
    <row r="9437" spans="5:7" x14ac:dyDescent="0.25">
      <c r="E9437" s="27"/>
      <c r="F9437" s="27"/>
      <c r="G9437" s="7"/>
    </row>
    <row r="9438" spans="5:7" x14ac:dyDescent="0.25">
      <c r="E9438" s="27"/>
      <c r="F9438" s="27"/>
      <c r="G9438" s="7"/>
    </row>
    <row r="9439" spans="5:7" x14ac:dyDescent="0.25">
      <c r="E9439" s="27"/>
      <c r="F9439" s="27"/>
      <c r="G9439" s="7"/>
    </row>
    <row r="9440" spans="5:7" x14ac:dyDescent="0.25">
      <c r="E9440" s="27"/>
      <c r="F9440" s="27"/>
      <c r="G9440" s="7"/>
    </row>
    <row r="9441" spans="5:7" x14ac:dyDescent="0.25">
      <c r="E9441" s="27"/>
      <c r="F9441" s="27"/>
      <c r="G9441" s="7"/>
    </row>
    <row r="9442" spans="5:7" x14ac:dyDescent="0.25">
      <c r="E9442" s="27"/>
      <c r="F9442" s="27"/>
      <c r="G9442" s="7"/>
    </row>
    <row r="9443" spans="5:7" x14ac:dyDescent="0.25">
      <c r="E9443" s="27"/>
      <c r="F9443" s="27"/>
      <c r="G9443" s="7"/>
    </row>
    <row r="9444" spans="5:7" x14ac:dyDescent="0.25">
      <c r="E9444" s="27"/>
      <c r="F9444" s="27"/>
      <c r="G9444" s="7"/>
    </row>
    <row r="9445" spans="5:7" x14ac:dyDescent="0.25">
      <c r="E9445" s="27"/>
      <c r="F9445" s="27"/>
      <c r="G9445" s="7"/>
    </row>
    <row r="9446" spans="5:7" x14ac:dyDescent="0.25">
      <c r="E9446" s="27"/>
      <c r="F9446" s="27"/>
      <c r="G9446" s="7"/>
    </row>
    <row r="9447" spans="5:7" x14ac:dyDescent="0.25">
      <c r="E9447" s="27"/>
      <c r="F9447" s="27"/>
      <c r="G9447" s="7"/>
    </row>
    <row r="9448" spans="5:7" x14ac:dyDescent="0.25">
      <c r="E9448" s="27"/>
      <c r="F9448" s="27"/>
      <c r="G9448" s="7"/>
    </row>
    <row r="9449" spans="5:7" x14ac:dyDescent="0.25">
      <c r="E9449" s="27"/>
      <c r="F9449" s="27"/>
      <c r="G9449" s="7"/>
    </row>
    <row r="9450" spans="5:7" x14ac:dyDescent="0.25">
      <c r="E9450" s="27"/>
      <c r="F9450" s="27"/>
      <c r="G9450" s="7"/>
    </row>
    <row r="9451" spans="5:7" x14ac:dyDescent="0.25">
      <c r="E9451" s="27"/>
      <c r="F9451" s="27"/>
      <c r="G9451" s="7"/>
    </row>
    <row r="9452" spans="5:7" x14ac:dyDescent="0.25">
      <c r="E9452" s="27"/>
      <c r="F9452" s="27"/>
      <c r="G9452" s="7"/>
    </row>
    <row r="9453" spans="5:7" x14ac:dyDescent="0.25">
      <c r="E9453" s="27"/>
      <c r="F9453" s="27"/>
      <c r="G9453" s="7"/>
    </row>
    <row r="9454" spans="5:7" x14ac:dyDescent="0.25">
      <c r="E9454" s="27"/>
      <c r="F9454" s="27"/>
      <c r="G9454" s="7"/>
    </row>
    <row r="9455" spans="5:7" x14ac:dyDescent="0.25">
      <c r="E9455" s="27"/>
      <c r="F9455" s="27"/>
      <c r="G9455" s="7"/>
    </row>
    <row r="9456" spans="5:7" x14ac:dyDescent="0.25">
      <c r="E9456" s="27"/>
      <c r="F9456" s="27"/>
      <c r="G9456" s="7"/>
    </row>
    <row r="9457" spans="5:7" x14ac:dyDescent="0.25">
      <c r="E9457" s="27"/>
      <c r="F9457" s="27"/>
      <c r="G9457" s="7"/>
    </row>
    <row r="9458" spans="5:7" x14ac:dyDescent="0.25">
      <c r="E9458" s="27"/>
      <c r="F9458" s="27"/>
      <c r="G9458" s="7"/>
    </row>
    <row r="9459" spans="5:7" x14ac:dyDescent="0.25">
      <c r="E9459" s="27"/>
      <c r="F9459" s="27"/>
      <c r="G9459" s="7"/>
    </row>
    <row r="9460" spans="5:7" x14ac:dyDescent="0.25">
      <c r="E9460" s="27"/>
      <c r="F9460" s="27"/>
      <c r="G9460" s="7"/>
    </row>
    <row r="9461" spans="5:7" x14ac:dyDescent="0.25">
      <c r="E9461" s="27"/>
      <c r="F9461" s="27"/>
      <c r="G9461" s="7"/>
    </row>
    <row r="9462" spans="5:7" x14ac:dyDescent="0.25">
      <c r="E9462" s="27"/>
      <c r="F9462" s="27"/>
      <c r="G9462" s="7"/>
    </row>
    <row r="9463" spans="5:7" x14ac:dyDescent="0.25">
      <c r="E9463" s="27"/>
      <c r="F9463" s="27"/>
      <c r="G9463" s="7"/>
    </row>
    <row r="9464" spans="5:7" x14ac:dyDescent="0.25">
      <c r="E9464" s="27"/>
      <c r="F9464" s="27"/>
      <c r="G9464" s="7"/>
    </row>
    <row r="9465" spans="5:7" x14ac:dyDescent="0.25">
      <c r="E9465" s="27"/>
      <c r="F9465" s="27"/>
      <c r="G9465" s="7"/>
    </row>
    <row r="9466" spans="5:7" x14ac:dyDescent="0.25">
      <c r="E9466" s="27"/>
      <c r="F9466" s="27"/>
      <c r="G9466" s="7"/>
    </row>
    <row r="9467" spans="5:7" x14ac:dyDescent="0.25">
      <c r="E9467" s="27"/>
      <c r="F9467" s="27"/>
      <c r="G9467" s="7"/>
    </row>
    <row r="9468" spans="5:7" x14ac:dyDescent="0.25">
      <c r="E9468" s="27"/>
      <c r="F9468" s="27"/>
      <c r="G9468" s="7"/>
    </row>
    <row r="9469" spans="5:7" x14ac:dyDescent="0.25">
      <c r="E9469" s="27"/>
      <c r="F9469" s="27"/>
      <c r="G9469" s="7"/>
    </row>
    <row r="9470" spans="5:7" x14ac:dyDescent="0.25">
      <c r="E9470" s="27"/>
      <c r="F9470" s="27"/>
      <c r="G9470" s="7"/>
    </row>
    <row r="9471" spans="5:7" x14ac:dyDescent="0.25">
      <c r="E9471" s="27"/>
      <c r="F9471" s="27"/>
      <c r="G9471" s="7"/>
    </row>
    <row r="9472" spans="5:7" x14ac:dyDescent="0.25">
      <c r="E9472" s="27"/>
      <c r="F9472" s="27"/>
      <c r="G9472" s="7"/>
    </row>
    <row r="9473" spans="5:7" x14ac:dyDescent="0.25">
      <c r="E9473" s="27"/>
      <c r="F9473" s="27"/>
      <c r="G9473" s="7"/>
    </row>
    <row r="9474" spans="5:7" x14ac:dyDescent="0.25">
      <c r="E9474" s="27"/>
      <c r="F9474" s="27"/>
      <c r="G9474" s="7"/>
    </row>
    <row r="9475" spans="5:7" x14ac:dyDescent="0.25">
      <c r="E9475" s="27"/>
      <c r="F9475" s="27"/>
      <c r="G9475" s="7"/>
    </row>
    <row r="9476" spans="5:7" x14ac:dyDescent="0.25">
      <c r="E9476" s="27"/>
      <c r="F9476" s="27"/>
      <c r="G9476" s="7"/>
    </row>
    <row r="9477" spans="5:7" x14ac:dyDescent="0.25">
      <c r="E9477" s="27"/>
      <c r="F9477" s="27"/>
      <c r="G9477" s="7"/>
    </row>
    <row r="9478" spans="5:7" x14ac:dyDescent="0.25">
      <c r="E9478" s="27"/>
      <c r="F9478" s="27"/>
      <c r="G9478" s="7"/>
    </row>
    <row r="9479" spans="5:7" x14ac:dyDescent="0.25">
      <c r="E9479" s="27"/>
      <c r="F9479" s="27"/>
      <c r="G9479" s="7"/>
    </row>
    <row r="9480" spans="5:7" x14ac:dyDescent="0.25">
      <c r="E9480" s="27"/>
      <c r="F9480" s="27"/>
      <c r="G9480" s="7"/>
    </row>
    <row r="9481" spans="5:7" x14ac:dyDescent="0.25">
      <c r="E9481" s="27"/>
      <c r="F9481" s="27"/>
      <c r="G9481" s="7"/>
    </row>
    <row r="9482" spans="5:7" x14ac:dyDescent="0.25">
      <c r="E9482" s="27"/>
      <c r="F9482" s="27"/>
      <c r="G9482" s="7"/>
    </row>
    <row r="9483" spans="5:7" x14ac:dyDescent="0.25">
      <c r="E9483" s="27"/>
      <c r="F9483" s="27"/>
      <c r="G9483" s="7"/>
    </row>
    <row r="9484" spans="5:7" x14ac:dyDescent="0.25">
      <c r="E9484" s="27"/>
      <c r="F9484" s="27"/>
      <c r="G9484" s="7"/>
    </row>
    <row r="9485" spans="5:7" x14ac:dyDescent="0.25">
      <c r="E9485" s="27"/>
      <c r="F9485" s="27"/>
      <c r="G9485" s="7"/>
    </row>
    <row r="9486" spans="5:7" x14ac:dyDescent="0.25">
      <c r="E9486" s="27"/>
      <c r="F9486" s="27"/>
      <c r="G9486" s="7"/>
    </row>
    <row r="9487" spans="5:7" x14ac:dyDescent="0.25">
      <c r="E9487" s="27"/>
      <c r="F9487" s="27"/>
      <c r="G9487" s="7"/>
    </row>
    <row r="9488" spans="5:7" x14ac:dyDescent="0.25">
      <c r="E9488" s="27"/>
      <c r="F9488" s="27"/>
      <c r="G9488" s="7"/>
    </row>
    <row r="9489" spans="5:7" x14ac:dyDescent="0.25">
      <c r="E9489" s="27"/>
      <c r="F9489" s="27"/>
      <c r="G9489" s="7"/>
    </row>
    <row r="9490" spans="5:7" x14ac:dyDescent="0.25">
      <c r="E9490" s="27"/>
      <c r="F9490" s="27"/>
      <c r="G9490" s="7"/>
    </row>
    <row r="9491" spans="5:7" x14ac:dyDescent="0.25">
      <c r="E9491" s="27"/>
      <c r="F9491" s="27"/>
      <c r="G9491" s="7"/>
    </row>
    <row r="9492" spans="5:7" x14ac:dyDescent="0.25">
      <c r="E9492" s="27"/>
      <c r="F9492" s="27"/>
      <c r="G9492" s="7"/>
    </row>
    <row r="9493" spans="5:7" x14ac:dyDescent="0.25">
      <c r="E9493" s="27"/>
      <c r="F9493" s="27"/>
      <c r="G9493" s="7"/>
    </row>
    <row r="9494" spans="5:7" x14ac:dyDescent="0.25">
      <c r="E9494" s="27"/>
      <c r="F9494" s="27"/>
      <c r="G9494" s="7"/>
    </row>
    <row r="9495" spans="5:7" x14ac:dyDescent="0.25">
      <c r="E9495" s="27"/>
      <c r="F9495" s="27"/>
      <c r="G9495" s="7"/>
    </row>
    <row r="9496" spans="5:7" x14ac:dyDescent="0.25">
      <c r="E9496" s="27"/>
      <c r="F9496" s="27"/>
      <c r="G9496" s="7"/>
    </row>
    <row r="9497" spans="5:7" x14ac:dyDescent="0.25">
      <c r="E9497" s="27"/>
      <c r="F9497" s="27"/>
      <c r="G9497" s="7"/>
    </row>
    <row r="9498" spans="5:7" x14ac:dyDescent="0.25">
      <c r="E9498" s="27"/>
      <c r="F9498" s="27"/>
      <c r="G9498" s="7"/>
    </row>
    <row r="9499" spans="5:7" x14ac:dyDescent="0.25">
      <c r="E9499" s="27"/>
      <c r="F9499" s="27"/>
      <c r="G9499" s="7"/>
    </row>
    <row r="9500" spans="5:7" x14ac:dyDescent="0.25">
      <c r="E9500" s="27"/>
      <c r="F9500" s="27"/>
      <c r="G9500" s="7"/>
    </row>
    <row r="9501" spans="5:7" x14ac:dyDescent="0.25">
      <c r="E9501" s="27"/>
      <c r="F9501" s="27"/>
      <c r="G9501" s="7"/>
    </row>
    <row r="9502" spans="5:7" x14ac:dyDescent="0.25">
      <c r="E9502" s="27"/>
      <c r="F9502" s="27"/>
      <c r="G9502" s="7"/>
    </row>
    <row r="9503" spans="5:7" x14ac:dyDescent="0.25">
      <c r="E9503" s="27"/>
      <c r="F9503" s="27"/>
      <c r="G9503" s="7"/>
    </row>
    <row r="9504" spans="5:7" x14ac:dyDescent="0.25">
      <c r="E9504" s="27"/>
      <c r="F9504" s="27"/>
      <c r="G9504" s="7"/>
    </row>
    <row r="9505" spans="5:7" x14ac:dyDescent="0.25">
      <c r="E9505" s="27"/>
      <c r="F9505" s="27"/>
      <c r="G9505" s="7"/>
    </row>
    <row r="9506" spans="5:7" x14ac:dyDescent="0.25">
      <c r="E9506" s="27"/>
      <c r="F9506" s="27"/>
      <c r="G9506" s="7"/>
    </row>
    <row r="9507" spans="5:7" x14ac:dyDescent="0.25">
      <c r="E9507" s="27"/>
      <c r="F9507" s="27"/>
      <c r="G9507" s="7"/>
    </row>
    <row r="9508" spans="5:7" x14ac:dyDescent="0.25">
      <c r="E9508" s="27"/>
      <c r="F9508" s="27"/>
      <c r="G9508" s="7"/>
    </row>
    <row r="9509" spans="5:7" x14ac:dyDescent="0.25">
      <c r="E9509" s="27"/>
      <c r="F9509" s="27"/>
      <c r="G9509" s="7"/>
    </row>
    <row r="9510" spans="5:7" x14ac:dyDescent="0.25">
      <c r="E9510" s="27"/>
      <c r="F9510" s="27"/>
      <c r="G9510" s="7"/>
    </row>
    <row r="9511" spans="5:7" x14ac:dyDescent="0.25">
      <c r="E9511" s="27"/>
      <c r="F9511" s="27"/>
      <c r="G9511" s="7"/>
    </row>
    <row r="9512" spans="5:7" x14ac:dyDescent="0.25">
      <c r="E9512" s="27"/>
      <c r="F9512" s="27"/>
      <c r="G9512" s="7"/>
    </row>
    <row r="9513" spans="5:7" x14ac:dyDescent="0.25">
      <c r="E9513" s="27"/>
      <c r="F9513" s="27"/>
      <c r="G9513" s="7"/>
    </row>
    <row r="9514" spans="5:7" x14ac:dyDescent="0.25">
      <c r="E9514" s="27"/>
      <c r="F9514" s="27"/>
      <c r="G9514" s="7"/>
    </row>
    <row r="9515" spans="5:7" x14ac:dyDescent="0.25">
      <c r="E9515" s="27"/>
      <c r="F9515" s="27"/>
      <c r="G9515" s="7"/>
    </row>
    <row r="9516" spans="5:7" x14ac:dyDescent="0.25">
      <c r="E9516" s="27"/>
      <c r="F9516" s="27"/>
      <c r="G9516" s="7"/>
    </row>
    <row r="9517" spans="5:7" x14ac:dyDescent="0.25">
      <c r="E9517" s="27"/>
      <c r="F9517" s="27"/>
      <c r="G9517" s="7"/>
    </row>
    <row r="9518" spans="5:7" x14ac:dyDescent="0.25">
      <c r="E9518" s="27"/>
      <c r="F9518" s="27"/>
      <c r="G9518" s="7"/>
    </row>
    <row r="9519" spans="5:7" x14ac:dyDescent="0.25">
      <c r="E9519" s="27"/>
      <c r="F9519" s="27"/>
      <c r="G9519" s="7"/>
    </row>
    <row r="9520" spans="5:7" x14ac:dyDescent="0.25">
      <c r="E9520" s="27"/>
      <c r="F9520" s="27"/>
      <c r="G9520" s="7"/>
    </row>
    <row r="9521" spans="5:7" x14ac:dyDescent="0.25">
      <c r="E9521" s="27"/>
      <c r="F9521" s="27"/>
      <c r="G9521" s="7"/>
    </row>
    <row r="9522" spans="5:7" x14ac:dyDescent="0.25">
      <c r="E9522" s="27"/>
      <c r="F9522" s="27"/>
      <c r="G9522" s="7"/>
    </row>
    <row r="9523" spans="5:7" x14ac:dyDescent="0.25">
      <c r="E9523" s="27"/>
      <c r="F9523" s="27"/>
      <c r="G9523" s="7"/>
    </row>
    <row r="9524" spans="5:7" x14ac:dyDescent="0.25">
      <c r="E9524" s="27"/>
      <c r="F9524" s="27"/>
      <c r="G9524" s="7"/>
    </row>
    <row r="9525" spans="5:7" x14ac:dyDescent="0.25">
      <c r="E9525" s="27"/>
      <c r="F9525" s="27"/>
      <c r="G9525" s="7"/>
    </row>
    <row r="9526" spans="5:7" x14ac:dyDescent="0.25">
      <c r="E9526" s="27"/>
      <c r="F9526" s="27"/>
      <c r="G9526" s="7"/>
    </row>
    <row r="9527" spans="5:7" x14ac:dyDescent="0.25">
      <c r="E9527" s="27"/>
      <c r="F9527" s="27"/>
      <c r="G9527" s="7"/>
    </row>
    <row r="9528" spans="5:7" x14ac:dyDescent="0.25">
      <c r="E9528" s="27"/>
      <c r="F9528" s="27"/>
      <c r="G9528" s="7"/>
    </row>
    <row r="9529" spans="5:7" x14ac:dyDescent="0.25">
      <c r="E9529" s="27"/>
      <c r="F9529" s="27"/>
      <c r="G9529" s="7"/>
    </row>
    <row r="9530" spans="5:7" x14ac:dyDescent="0.25">
      <c r="E9530" s="27"/>
      <c r="F9530" s="27"/>
      <c r="G9530" s="7"/>
    </row>
    <row r="9531" spans="5:7" x14ac:dyDescent="0.25">
      <c r="E9531" s="27"/>
      <c r="F9531" s="27"/>
      <c r="G9531" s="7"/>
    </row>
    <row r="9532" spans="5:7" x14ac:dyDescent="0.25">
      <c r="E9532" s="27"/>
      <c r="F9532" s="27"/>
      <c r="G9532" s="7"/>
    </row>
    <row r="9533" spans="5:7" x14ac:dyDescent="0.25">
      <c r="E9533" s="27"/>
      <c r="F9533" s="27"/>
      <c r="G9533" s="7"/>
    </row>
    <row r="9534" spans="5:7" x14ac:dyDescent="0.25">
      <c r="E9534" s="27"/>
      <c r="F9534" s="27"/>
      <c r="G9534" s="7"/>
    </row>
    <row r="9535" spans="5:7" x14ac:dyDescent="0.25">
      <c r="E9535" s="27"/>
      <c r="F9535" s="27"/>
      <c r="G9535" s="7"/>
    </row>
    <row r="9536" spans="5:7" x14ac:dyDescent="0.25">
      <c r="E9536" s="27"/>
      <c r="F9536" s="27"/>
      <c r="G9536" s="7"/>
    </row>
    <row r="9537" spans="5:7" x14ac:dyDescent="0.25">
      <c r="E9537" s="27"/>
      <c r="F9537" s="27"/>
      <c r="G9537" s="7"/>
    </row>
    <row r="9538" spans="5:7" x14ac:dyDescent="0.25">
      <c r="E9538" s="27"/>
      <c r="F9538" s="27"/>
      <c r="G9538" s="7"/>
    </row>
    <row r="9539" spans="5:7" x14ac:dyDescent="0.25">
      <c r="E9539" s="27"/>
      <c r="F9539" s="27"/>
      <c r="G9539" s="7"/>
    </row>
    <row r="9540" spans="5:7" x14ac:dyDescent="0.25">
      <c r="E9540" s="27"/>
      <c r="F9540" s="27"/>
      <c r="G9540" s="7"/>
    </row>
    <row r="9541" spans="5:7" x14ac:dyDescent="0.25">
      <c r="E9541" s="27"/>
      <c r="F9541" s="27"/>
      <c r="G9541" s="7"/>
    </row>
    <row r="9542" spans="5:7" x14ac:dyDescent="0.25">
      <c r="E9542" s="27"/>
      <c r="F9542" s="27"/>
      <c r="G9542" s="7"/>
    </row>
    <row r="9543" spans="5:7" x14ac:dyDescent="0.25">
      <c r="E9543" s="27"/>
      <c r="F9543" s="27"/>
      <c r="G9543" s="7"/>
    </row>
    <row r="9544" spans="5:7" x14ac:dyDescent="0.25">
      <c r="E9544" s="27"/>
      <c r="F9544" s="27"/>
      <c r="G9544" s="7"/>
    </row>
    <row r="9545" spans="5:7" x14ac:dyDescent="0.25">
      <c r="E9545" s="27"/>
      <c r="F9545" s="27"/>
      <c r="G9545" s="7"/>
    </row>
    <row r="9546" spans="5:7" x14ac:dyDescent="0.25">
      <c r="E9546" s="27"/>
      <c r="F9546" s="27"/>
      <c r="G9546" s="7"/>
    </row>
    <row r="9547" spans="5:7" x14ac:dyDescent="0.25">
      <c r="E9547" s="27"/>
      <c r="F9547" s="27"/>
      <c r="G9547" s="7"/>
    </row>
    <row r="9548" spans="5:7" x14ac:dyDescent="0.25">
      <c r="E9548" s="27"/>
      <c r="F9548" s="27"/>
      <c r="G9548" s="7"/>
    </row>
    <row r="9549" spans="5:7" x14ac:dyDescent="0.25">
      <c r="E9549" s="27"/>
      <c r="F9549" s="27"/>
      <c r="G9549" s="7"/>
    </row>
    <row r="9550" spans="5:7" x14ac:dyDescent="0.25">
      <c r="E9550" s="27"/>
      <c r="F9550" s="27"/>
      <c r="G9550" s="7"/>
    </row>
    <row r="9551" spans="5:7" x14ac:dyDescent="0.25">
      <c r="E9551" s="27"/>
      <c r="F9551" s="27"/>
      <c r="G9551" s="7"/>
    </row>
    <row r="9552" spans="5:7" x14ac:dyDescent="0.25">
      <c r="E9552" s="27"/>
      <c r="F9552" s="27"/>
      <c r="G9552" s="7"/>
    </row>
    <row r="9553" spans="5:7" x14ac:dyDescent="0.25">
      <c r="E9553" s="27"/>
      <c r="F9553" s="27"/>
      <c r="G9553" s="7"/>
    </row>
    <row r="9554" spans="5:7" x14ac:dyDescent="0.25">
      <c r="E9554" s="27"/>
      <c r="F9554" s="27"/>
      <c r="G9554" s="7"/>
    </row>
    <row r="9555" spans="5:7" x14ac:dyDescent="0.25">
      <c r="E9555" s="27"/>
      <c r="F9555" s="27"/>
      <c r="G9555" s="7"/>
    </row>
    <row r="9556" spans="5:7" x14ac:dyDescent="0.25">
      <c r="E9556" s="27"/>
      <c r="F9556" s="27"/>
      <c r="G9556" s="7"/>
    </row>
    <row r="9557" spans="5:7" x14ac:dyDescent="0.25">
      <c r="E9557" s="27"/>
      <c r="F9557" s="27"/>
      <c r="G9557" s="7"/>
    </row>
    <row r="9558" spans="5:7" x14ac:dyDescent="0.25">
      <c r="E9558" s="27"/>
      <c r="F9558" s="27"/>
      <c r="G9558" s="7"/>
    </row>
    <row r="9559" spans="5:7" x14ac:dyDescent="0.25">
      <c r="E9559" s="27"/>
      <c r="F9559" s="27"/>
      <c r="G9559" s="7"/>
    </row>
    <row r="9560" spans="5:7" x14ac:dyDescent="0.25">
      <c r="E9560" s="27"/>
      <c r="F9560" s="27"/>
      <c r="G9560" s="7"/>
    </row>
    <row r="9561" spans="5:7" x14ac:dyDescent="0.25">
      <c r="E9561" s="27"/>
      <c r="F9561" s="27"/>
      <c r="G9561" s="7"/>
    </row>
    <row r="9562" spans="5:7" x14ac:dyDescent="0.25">
      <c r="E9562" s="27"/>
      <c r="F9562" s="27"/>
      <c r="G9562" s="7"/>
    </row>
    <row r="9563" spans="5:7" x14ac:dyDescent="0.25">
      <c r="E9563" s="27"/>
      <c r="F9563" s="27"/>
      <c r="G9563" s="7"/>
    </row>
    <row r="9564" spans="5:7" x14ac:dyDescent="0.25">
      <c r="E9564" s="27"/>
      <c r="F9564" s="27"/>
      <c r="G9564" s="7"/>
    </row>
    <row r="9565" spans="5:7" x14ac:dyDescent="0.25">
      <c r="E9565" s="27"/>
      <c r="F9565" s="27"/>
      <c r="G9565" s="7"/>
    </row>
    <row r="9566" spans="5:7" x14ac:dyDescent="0.25">
      <c r="E9566" s="27"/>
      <c r="F9566" s="27"/>
      <c r="G9566" s="7"/>
    </row>
    <row r="9567" spans="5:7" x14ac:dyDescent="0.25">
      <c r="E9567" s="27"/>
      <c r="F9567" s="27"/>
      <c r="G9567" s="7"/>
    </row>
    <row r="9568" spans="5:7" x14ac:dyDescent="0.25">
      <c r="E9568" s="27"/>
      <c r="F9568" s="27"/>
      <c r="G9568" s="7"/>
    </row>
    <row r="9569" spans="5:7" x14ac:dyDescent="0.25">
      <c r="E9569" s="27"/>
      <c r="F9569" s="27"/>
      <c r="G9569" s="7"/>
    </row>
    <row r="9570" spans="5:7" x14ac:dyDescent="0.25">
      <c r="E9570" s="27"/>
      <c r="F9570" s="27"/>
      <c r="G9570" s="7"/>
    </row>
    <row r="9571" spans="5:7" x14ac:dyDescent="0.25">
      <c r="E9571" s="27"/>
      <c r="F9571" s="27"/>
      <c r="G9571" s="7"/>
    </row>
    <row r="9572" spans="5:7" x14ac:dyDescent="0.25">
      <c r="E9572" s="27"/>
      <c r="F9572" s="27"/>
      <c r="G9572" s="7"/>
    </row>
    <row r="9573" spans="5:7" x14ac:dyDescent="0.25">
      <c r="E9573" s="27"/>
      <c r="F9573" s="27"/>
      <c r="G9573" s="7"/>
    </row>
    <row r="9574" spans="5:7" x14ac:dyDescent="0.25">
      <c r="E9574" s="27"/>
      <c r="F9574" s="27"/>
      <c r="G9574" s="7"/>
    </row>
    <row r="9575" spans="5:7" x14ac:dyDescent="0.25">
      <c r="E9575" s="27"/>
      <c r="F9575" s="27"/>
      <c r="G9575" s="7"/>
    </row>
    <row r="9576" spans="5:7" x14ac:dyDescent="0.25">
      <c r="E9576" s="27"/>
      <c r="F9576" s="27"/>
      <c r="G9576" s="7"/>
    </row>
    <row r="9577" spans="5:7" x14ac:dyDescent="0.25">
      <c r="E9577" s="27"/>
      <c r="F9577" s="27"/>
      <c r="G9577" s="7"/>
    </row>
    <row r="9578" spans="5:7" x14ac:dyDescent="0.25">
      <c r="E9578" s="27"/>
      <c r="F9578" s="27"/>
      <c r="G9578" s="7"/>
    </row>
    <row r="9579" spans="5:7" x14ac:dyDescent="0.25">
      <c r="E9579" s="27"/>
      <c r="F9579" s="27"/>
      <c r="G9579" s="7"/>
    </row>
    <row r="9580" spans="5:7" x14ac:dyDescent="0.25">
      <c r="E9580" s="27"/>
      <c r="F9580" s="27"/>
      <c r="G9580" s="7"/>
    </row>
    <row r="9581" spans="5:7" x14ac:dyDescent="0.25">
      <c r="E9581" s="27"/>
      <c r="F9581" s="27"/>
      <c r="G9581" s="7"/>
    </row>
    <row r="9582" spans="5:7" x14ac:dyDescent="0.25">
      <c r="E9582" s="27"/>
      <c r="F9582" s="27"/>
      <c r="G9582" s="7"/>
    </row>
    <row r="9583" spans="5:7" x14ac:dyDescent="0.25">
      <c r="E9583" s="27"/>
      <c r="F9583" s="27"/>
      <c r="G9583" s="7"/>
    </row>
    <row r="9584" spans="5:7" x14ac:dyDescent="0.25">
      <c r="E9584" s="27"/>
      <c r="F9584" s="27"/>
      <c r="G9584" s="7"/>
    </row>
    <row r="9585" spans="5:7" x14ac:dyDescent="0.25">
      <c r="E9585" s="27"/>
      <c r="F9585" s="27"/>
      <c r="G9585" s="7"/>
    </row>
    <row r="9586" spans="5:7" x14ac:dyDescent="0.25">
      <c r="E9586" s="27"/>
      <c r="F9586" s="27"/>
      <c r="G9586" s="7"/>
    </row>
    <row r="9587" spans="5:7" x14ac:dyDescent="0.25">
      <c r="E9587" s="27"/>
      <c r="F9587" s="27"/>
      <c r="G9587" s="7"/>
    </row>
    <row r="9588" spans="5:7" x14ac:dyDescent="0.25">
      <c r="E9588" s="27"/>
      <c r="F9588" s="27"/>
      <c r="G9588" s="7"/>
    </row>
    <row r="9589" spans="5:7" x14ac:dyDescent="0.25">
      <c r="E9589" s="27"/>
      <c r="F9589" s="27"/>
      <c r="G9589" s="7"/>
    </row>
    <row r="9590" spans="5:7" x14ac:dyDescent="0.25">
      <c r="E9590" s="27"/>
      <c r="F9590" s="27"/>
      <c r="G9590" s="7"/>
    </row>
    <row r="9591" spans="5:7" x14ac:dyDescent="0.25">
      <c r="E9591" s="27"/>
      <c r="F9591" s="27"/>
      <c r="G9591" s="7"/>
    </row>
    <row r="9592" spans="5:7" x14ac:dyDescent="0.25">
      <c r="E9592" s="27"/>
      <c r="F9592" s="27"/>
      <c r="G9592" s="7"/>
    </row>
    <row r="9593" spans="5:7" x14ac:dyDescent="0.25">
      <c r="E9593" s="27"/>
      <c r="F9593" s="27"/>
      <c r="G9593" s="7"/>
    </row>
    <row r="9594" spans="5:7" x14ac:dyDescent="0.25">
      <c r="E9594" s="27"/>
      <c r="F9594" s="27"/>
      <c r="G9594" s="7"/>
    </row>
    <row r="9595" spans="5:7" x14ac:dyDescent="0.25">
      <c r="E9595" s="27"/>
      <c r="F9595" s="27"/>
      <c r="G9595" s="7"/>
    </row>
    <row r="9596" spans="5:7" x14ac:dyDescent="0.25">
      <c r="E9596" s="27"/>
      <c r="F9596" s="27"/>
      <c r="G9596" s="7"/>
    </row>
    <row r="9597" spans="5:7" x14ac:dyDescent="0.25">
      <c r="E9597" s="27"/>
      <c r="F9597" s="27"/>
      <c r="G9597" s="7"/>
    </row>
    <row r="9598" spans="5:7" x14ac:dyDescent="0.25">
      <c r="E9598" s="27"/>
      <c r="F9598" s="27"/>
      <c r="G9598" s="7"/>
    </row>
    <row r="9599" spans="5:7" x14ac:dyDescent="0.25">
      <c r="E9599" s="27"/>
      <c r="F9599" s="27"/>
      <c r="G9599" s="7"/>
    </row>
    <row r="9600" spans="5:7" x14ac:dyDescent="0.25">
      <c r="E9600" s="27"/>
      <c r="F9600" s="27"/>
      <c r="G9600" s="7"/>
    </row>
    <row r="9601" spans="5:7" x14ac:dyDescent="0.25">
      <c r="E9601" s="27"/>
      <c r="F9601" s="27"/>
      <c r="G9601" s="7"/>
    </row>
    <row r="9602" spans="5:7" x14ac:dyDescent="0.25">
      <c r="E9602" s="27"/>
      <c r="F9602" s="27"/>
      <c r="G9602" s="7"/>
    </row>
    <row r="9603" spans="5:7" x14ac:dyDescent="0.25">
      <c r="E9603" s="27"/>
      <c r="F9603" s="27"/>
      <c r="G9603" s="7"/>
    </row>
    <row r="9604" spans="5:7" x14ac:dyDescent="0.25">
      <c r="E9604" s="27"/>
      <c r="F9604" s="27"/>
      <c r="G9604" s="7"/>
    </row>
    <row r="9605" spans="5:7" x14ac:dyDescent="0.25">
      <c r="E9605" s="27"/>
      <c r="F9605" s="27"/>
      <c r="G9605" s="7"/>
    </row>
    <row r="9606" spans="5:7" x14ac:dyDescent="0.25">
      <c r="E9606" s="27"/>
      <c r="F9606" s="27"/>
      <c r="G9606" s="7"/>
    </row>
    <row r="9607" spans="5:7" x14ac:dyDescent="0.25">
      <c r="E9607" s="27"/>
      <c r="F9607" s="27"/>
      <c r="G9607" s="7"/>
    </row>
    <row r="9608" spans="5:7" x14ac:dyDescent="0.25">
      <c r="E9608" s="27"/>
      <c r="F9608" s="27"/>
      <c r="G9608" s="7"/>
    </row>
    <row r="9609" spans="5:7" x14ac:dyDescent="0.25">
      <c r="E9609" s="27"/>
      <c r="F9609" s="27"/>
      <c r="G9609" s="7"/>
    </row>
    <row r="9610" spans="5:7" x14ac:dyDescent="0.25">
      <c r="E9610" s="27"/>
      <c r="F9610" s="27"/>
      <c r="G9610" s="7"/>
    </row>
    <row r="9611" spans="5:7" x14ac:dyDescent="0.25">
      <c r="E9611" s="27"/>
      <c r="F9611" s="27"/>
      <c r="G9611" s="7"/>
    </row>
    <row r="9612" spans="5:7" x14ac:dyDescent="0.25">
      <c r="E9612" s="27"/>
      <c r="F9612" s="27"/>
      <c r="G9612" s="7"/>
    </row>
    <row r="9613" spans="5:7" x14ac:dyDescent="0.25">
      <c r="E9613" s="27"/>
      <c r="F9613" s="27"/>
      <c r="G9613" s="7"/>
    </row>
    <row r="9614" spans="5:7" x14ac:dyDescent="0.25">
      <c r="E9614" s="27"/>
      <c r="F9614" s="27"/>
      <c r="G9614" s="7"/>
    </row>
    <row r="9615" spans="5:7" x14ac:dyDescent="0.25">
      <c r="E9615" s="27"/>
      <c r="F9615" s="27"/>
      <c r="G9615" s="7"/>
    </row>
    <row r="9616" spans="5:7" x14ac:dyDescent="0.25">
      <c r="E9616" s="27"/>
      <c r="F9616" s="27"/>
      <c r="G9616" s="7"/>
    </row>
    <row r="9617" spans="5:7" x14ac:dyDescent="0.25">
      <c r="E9617" s="27"/>
      <c r="F9617" s="27"/>
      <c r="G9617" s="7"/>
    </row>
    <row r="9618" spans="5:7" x14ac:dyDescent="0.25">
      <c r="E9618" s="27"/>
      <c r="F9618" s="27"/>
      <c r="G9618" s="7"/>
    </row>
    <row r="9619" spans="5:7" x14ac:dyDescent="0.25">
      <c r="E9619" s="27"/>
      <c r="F9619" s="27"/>
      <c r="G9619" s="7"/>
    </row>
    <row r="9620" spans="5:7" x14ac:dyDescent="0.25">
      <c r="E9620" s="27"/>
      <c r="F9620" s="27"/>
      <c r="G9620" s="7"/>
    </row>
    <row r="9621" spans="5:7" x14ac:dyDescent="0.25">
      <c r="E9621" s="27"/>
      <c r="F9621" s="27"/>
      <c r="G9621" s="7"/>
    </row>
    <row r="9622" spans="5:7" x14ac:dyDescent="0.25">
      <c r="E9622" s="27"/>
      <c r="F9622" s="27"/>
      <c r="G9622" s="7"/>
    </row>
    <row r="9623" spans="5:7" x14ac:dyDescent="0.25">
      <c r="E9623" s="27"/>
      <c r="F9623" s="27"/>
      <c r="G9623" s="7"/>
    </row>
    <row r="9624" spans="5:7" x14ac:dyDescent="0.25">
      <c r="E9624" s="27"/>
      <c r="F9624" s="27"/>
      <c r="G9624" s="7"/>
    </row>
    <row r="9625" spans="5:7" x14ac:dyDescent="0.25">
      <c r="E9625" s="27"/>
      <c r="F9625" s="27"/>
      <c r="G9625" s="7"/>
    </row>
    <row r="9626" spans="5:7" x14ac:dyDescent="0.25">
      <c r="E9626" s="27"/>
      <c r="F9626" s="27"/>
      <c r="G9626" s="7"/>
    </row>
    <row r="9627" spans="5:7" x14ac:dyDescent="0.25">
      <c r="E9627" s="27"/>
      <c r="F9627" s="27"/>
      <c r="G9627" s="7"/>
    </row>
    <row r="9628" spans="5:7" x14ac:dyDescent="0.25">
      <c r="E9628" s="27"/>
      <c r="F9628" s="27"/>
      <c r="G9628" s="7"/>
    </row>
    <row r="9629" spans="5:7" x14ac:dyDescent="0.25">
      <c r="E9629" s="27"/>
      <c r="F9629" s="27"/>
      <c r="G9629" s="7"/>
    </row>
    <row r="9630" spans="5:7" x14ac:dyDescent="0.25">
      <c r="E9630" s="27"/>
      <c r="F9630" s="27"/>
      <c r="G9630" s="7"/>
    </row>
    <row r="9631" spans="5:7" x14ac:dyDescent="0.25">
      <c r="E9631" s="27"/>
      <c r="F9631" s="27"/>
      <c r="G9631" s="7"/>
    </row>
    <row r="9632" spans="5:7" x14ac:dyDescent="0.25">
      <c r="E9632" s="27"/>
      <c r="F9632" s="27"/>
      <c r="G9632" s="7"/>
    </row>
    <row r="9633" spans="5:7" x14ac:dyDescent="0.25">
      <c r="E9633" s="27"/>
      <c r="F9633" s="27"/>
      <c r="G9633" s="7"/>
    </row>
    <row r="9634" spans="5:7" x14ac:dyDescent="0.25">
      <c r="E9634" s="27"/>
      <c r="F9634" s="27"/>
      <c r="G9634" s="7"/>
    </row>
    <row r="9635" spans="5:7" x14ac:dyDescent="0.25">
      <c r="E9635" s="27"/>
      <c r="F9635" s="27"/>
      <c r="G9635" s="7"/>
    </row>
    <row r="9636" spans="5:7" x14ac:dyDescent="0.25">
      <c r="E9636" s="27"/>
      <c r="F9636" s="27"/>
      <c r="G9636" s="7"/>
    </row>
    <row r="9637" spans="5:7" x14ac:dyDescent="0.25">
      <c r="E9637" s="27"/>
      <c r="F9637" s="27"/>
      <c r="G9637" s="7"/>
    </row>
    <row r="9638" spans="5:7" x14ac:dyDescent="0.25">
      <c r="E9638" s="27"/>
      <c r="F9638" s="27"/>
      <c r="G9638" s="7"/>
    </row>
    <row r="9639" spans="5:7" x14ac:dyDescent="0.25">
      <c r="E9639" s="27"/>
      <c r="F9639" s="27"/>
      <c r="G9639" s="7"/>
    </row>
    <row r="9640" spans="5:7" x14ac:dyDescent="0.25">
      <c r="E9640" s="27"/>
      <c r="F9640" s="27"/>
      <c r="G9640" s="7"/>
    </row>
    <row r="9641" spans="5:7" x14ac:dyDescent="0.25">
      <c r="E9641" s="27"/>
      <c r="F9641" s="27"/>
      <c r="G9641" s="7"/>
    </row>
    <row r="9642" spans="5:7" x14ac:dyDescent="0.25">
      <c r="E9642" s="27"/>
      <c r="F9642" s="27"/>
      <c r="G9642" s="7"/>
    </row>
    <row r="9643" spans="5:7" x14ac:dyDescent="0.25">
      <c r="E9643" s="27"/>
      <c r="F9643" s="27"/>
      <c r="G9643" s="7"/>
    </row>
    <row r="9644" spans="5:7" x14ac:dyDescent="0.25">
      <c r="E9644" s="27"/>
      <c r="F9644" s="27"/>
      <c r="G9644" s="7"/>
    </row>
    <row r="9645" spans="5:7" x14ac:dyDescent="0.25">
      <c r="E9645" s="27"/>
      <c r="F9645" s="27"/>
      <c r="G9645" s="7"/>
    </row>
    <row r="9646" spans="5:7" x14ac:dyDescent="0.25">
      <c r="E9646" s="27"/>
      <c r="F9646" s="27"/>
      <c r="G9646" s="7"/>
    </row>
    <row r="9647" spans="5:7" x14ac:dyDescent="0.25">
      <c r="E9647" s="27"/>
      <c r="F9647" s="27"/>
      <c r="G9647" s="7"/>
    </row>
    <row r="9648" spans="5:7" x14ac:dyDescent="0.25">
      <c r="E9648" s="27"/>
      <c r="F9648" s="27"/>
      <c r="G9648" s="7"/>
    </row>
    <row r="9649" spans="5:7" x14ac:dyDescent="0.25">
      <c r="E9649" s="27"/>
      <c r="F9649" s="27"/>
      <c r="G9649" s="7"/>
    </row>
    <row r="9650" spans="5:7" x14ac:dyDescent="0.25">
      <c r="E9650" s="27"/>
      <c r="F9650" s="27"/>
      <c r="G9650" s="7"/>
    </row>
    <row r="9651" spans="5:7" x14ac:dyDescent="0.25">
      <c r="E9651" s="27"/>
      <c r="F9651" s="27"/>
      <c r="G9651" s="7"/>
    </row>
    <row r="9652" spans="5:7" x14ac:dyDescent="0.25">
      <c r="E9652" s="27"/>
      <c r="F9652" s="27"/>
      <c r="G9652" s="7"/>
    </row>
    <row r="9653" spans="5:7" x14ac:dyDescent="0.25">
      <c r="E9653" s="27"/>
      <c r="F9653" s="27"/>
      <c r="G9653" s="7"/>
    </row>
    <row r="9654" spans="5:7" x14ac:dyDescent="0.25">
      <c r="E9654" s="27"/>
      <c r="F9654" s="27"/>
      <c r="G9654" s="7"/>
    </row>
    <row r="9655" spans="5:7" x14ac:dyDescent="0.25">
      <c r="E9655" s="27"/>
      <c r="F9655" s="27"/>
      <c r="G9655" s="7"/>
    </row>
    <row r="9656" spans="5:7" x14ac:dyDescent="0.25">
      <c r="E9656" s="27"/>
      <c r="F9656" s="27"/>
      <c r="G9656" s="7"/>
    </row>
    <row r="9657" spans="5:7" x14ac:dyDescent="0.25">
      <c r="E9657" s="27"/>
      <c r="F9657" s="27"/>
      <c r="G9657" s="7"/>
    </row>
    <row r="9658" spans="5:7" x14ac:dyDescent="0.25">
      <c r="E9658" s="27"/>
      <c r="F9658" s="27"/>
      <c r="G9658" s="7"/>
    </row>
    <row r="9659" spans="5:7" x14ac:dyDescent="0.25">
      <c r="E9659" s="27"/>
      <c r="F9659" s="27"/>
      <c r="G9659" s="7"/>
    </row>
    <row r="9660" spans="5:7" x14ac:dyDescent="0.25">
      <c r="E9660" s="27"/>
      <c r="F9660" s="27"/>
      <c r="G9660" s="7"/>
    </row>
    <row r="9661" spans="5:7" x14ac:dyDescent="0.25">
      <c r="E9661" s="27"/>
      <c r="F9661" s="27"/>
      <c r="G9661" s="7"/>
    </row>
    <row r="9662" spans="5:7" x14ac:dyDescent="0.25">
      <c r="E9662" s="27"/>
      <c r="F9662" s="27"/>
      <c r="G9662" s="7"/>
    </row>
    <row r="9663" spans="5:7" x14ac:dyDescent="0.25">
      <c r="E9663" s="27"/>
      <c r="F9663" s="27"/>
      <c r="G9663" s="7"/>
    </row>
    <row r="9664" spans="5:7" x14ac:dyDescent="0.25">
      <c r="E9664" s="27"/>
      <c r="F9664" s="27"/>
      <c r="G9664" s="7"/>
    </row>
    <row r="9665" spans="5:7" x14ac:dyDescent="0.25">
      <c r="E9665" s="27"/>
      <c r="F9665" s="27"/>
      <c r="G9665" s="7"/>
    </row>
    <row r="9666" spans="5:7" x14ac:dyDescent="0.25">
      <c r="E9666" s="27"/>
      <c r="F9666" s="27"/>
      <c r="G9666" s="7"/>
    </row>
    <row r="9667" spans="5:7" x14ac:dyDescent="0.25">
      <c r="E9667" s="27"/>
      <c r="F9667" s="27"/>
      <c r="G9667" s="7"/>
    </row>
    <row r="9668" spans="5:7" x14ac:dyDescent="0.25">
      <c r="E9668" s="27"/>
      <c r="F9668" s="27"/>
      <c r="G9668" s="7"/>
    </row>
    <row r="9669" spans="5:7" x14ac:dyDescent="0.25">
      <c r="E9669" s="27"/>
      <c r="F9669" s="27"/>
      <c r="G9669" s="7"/>
    </row>
    <row r="9670" spans="5:7" x14ac:dyDescent="0.25">
      <c r="E9670" s="27"/>
      <c r="F9670" s="27"/>
      <c r="G9670" s="7"/>
    </row>
    <row r="9671" spans="5:7" x14ac:dyDescent="0.25">
      <c r="E9671" s="27"/>
      <c r="F9671" s="27"/>
      <c r="G9671" s="7"/>
    </row>
    <row r="9672" spans="5:7" x14ac:dyDescent="0.25">
      <c r="E9672" s="27"/>
      <c r="F9672" s="27"/>
      <c r="G9672" s="7"/>
    </row>
    <row r="9673" spans="5:7" x14ac:dyDescent="0.25">
      <c r="E9673" s="27"/>
      <c r="F9673" s="27"/>
      <c r="G9673" s="7"/>
    </row>
    <row r="9674" spans="5:7" x14ac:dyDescent="0.25">
      <c r="E9674" s="27"/>
      <c r="F9674" s="27"/>
      <c r="G9674" s="7"/>
    </row>
    <row r="9675" spans="5:7" x14ac:dyDescent="0.25">
      <c r="E9675" s="27"/>
      <c r="F9675" s="27"/>
      <c r="G9675" s="7"/>
    </row>
    <row r="9676" spans="5:7" x14ac:dyDescent="0.25">
      <c r="E9676" s="27"/>
      <c r="F9676" s="27"/>
      <c r="G9676" s="7"/>
    </row>
    <row r="9677" spans="5:7" x14ac:dyDescent="0.25">
      <c r="E9677" s="27"/>
      <c r="F9677" s="27"/>
      <c r="G9677" s="7"/>
    </row>
    <row r="9678" spans="5:7" x14ac:dyDescent="0.25">
      <c r="E9678" s="27"/>
      <c r="F9678" s="27"/>
      <c r="G9678" s="7"/>
    </row>
    <row r="9679" spans="5:7" x14ac:dyDescent="0.25">
      <c r="E9679" s="27"/>
      <c r="F9679" s="27"/>
      <c r="G9679" s="7"/>
    </row>
    <row r="9680" spans="5:7" x14ac:dyDescent="0.25">
      <c r="E9680" s="27"/>
      <c r="F9680" s="27"/>
      <c r="G9680" s="7"/>
    </row>
    <row r="9681" spans="5:7" x14ac:dyDescent="0.25">
      <c r="E9681" s="27"/>
      <c r="F9681" s="27"/>
      <c r="G9681" s="7"/>
    </row>
    <row r="9682" spans="5:7" x14ac:dyDescent="0.25">
      <c r="E9682" s="27"/>
      <c r="F9682" s="27"/>
      <c r="G9682" s="7"/>
    </row>
    <row r="9683" spans="5:7" x14ac:dyDescent="0.25">
      <c r="E9683" s="27"/>
      <c r="F9683" s="27"/>
      <c r="G9683" s="7"/>
    </row>
    <row r="9684" spans="5:7" x14ac:dyDescent="0.25">
      <c r="E9684" s="27"/>
      <c r="F9684" s="27"/>
      <c r="G9684" s="7"/>
    </row>
    <row r="9685" spans="5:7" x14ac:dyDescent="0.25">
      <c r="E9685" s="27"/>
      <c r="F9685" s="27"/>
      <c r="G9685" s="7"/>
    </row>
    <row r="9686" spans="5:7" x14ac:dyDescent="0.25">
      <c r="E9686" s="27"/>
      <c r="F9686" s="27"/>
      <c r="G9686" s="7"/>
    </row>
    <row r="9687" spans="5:7" x14ac:dyDescent="0.25">
      <c r="E9687" s="27"/>
      <c r="F9687" s="27"/>
      <c r="G9687" s="7"/>
    </row>
    <row r="9688" spans="5:7" x14ac:dyDescent="0.25">
      <c r="E9688" s="27"/>
      <c r="F9688" s="27"/>
      <c r="G9688" s="7"/>
    </row>
    <row r="9689" spans="5:7" x14ac:dyDescent="0.25">
      <c r="E9689" s="27"/>
      <c r="F9689" s="27"/>
      <c r="G9689" s="7"/>
    </row>
    <row r="9690" spans="5:7" x14ac:dyDescent="0.25">
      <c r="E9690" s="27"/>
      <c r="F9690" s="27"/>
      <c r="G9690" s="7"/>
    </row>
    <row r="9691" spans="5:7" x14ac:dyDescent="0.25">
      <c r="E9691" s="27"/>
      <c r="F9691" s="27"/>
      <c r="G9691" s="7"/>
    </row>
    <row r="9692" spans="5:7" x14ac:dyDescent="0.25">
      <c r="E9692" s="27"/>
      <c r="F9692" s="27"/>
      <c r="G9692" s="7"/>
    </row>
    <row r="9693" spans="5:7" x14ac:dyDescent="0.25">
      <c r="E9693" s="27"/>
      <c r="F9693" s="27"/>
      <c r="G9693" s="7"/>
    </row>
    <row r="9694" spans="5:7" x14ac:dyDescent="0.25">
      <c r="E9694" s="27"/>
      <c r="F9694" s="27"/>
      <c r="G9694" s="7"/>
    </row>
    <row r="9695" spans="5:7" x14ac:dyDescent="0.25">
      <c r="E9695" s="27"/>
      <c r="F9695" s="27"/>
      <c r="G9695" s="7"/>
    </row>
    <row r="9696" spans="5:7" x14ac:dyDescent="0.25">
      <c r="E9696" s="27"/>
      <c r="F9696" s="27"/>
      <c r="G9696" s="7"/>
    </row>
    <row r="9697" spans="5:7" x14ac:dyDescent="0.25">
      <c r="E9697" s="27"/>
      <c r="F9697" s="27"/>
      <c r="G9697" s="7"/>
    </row>
    <row r="9698" spans="5:7" x14ac:dyDescent="0.25">
      <c r="E9698" s="27"/>
      <c r="F9698" s="27"/>
      <c r="G9698" s="7"/>
    </row>
    <row r="9699" spans="5:7" x14ac:dyDescent="0.25">
      <c r="E9699" s="27"/>
      <c r="F9699" s="27"/>
      <c r="G9699" s="7"/>
    </row>
    <row r="9700" spans="5:7" x14ac:dyDescent="0.25">
      <c r="E9700" s="27"/>
      <c r="F9700" s="27"/>
      <c r="G9700" s="7"/>
    </row>
    <row r="9701" spans="5:7" x14ac:dyDescent="0.25">
      <c r="E9701" s="27"/>
      <c r="F9701" s="27"/>
      <c r="G9701" s="7"/>
    </row>
    <row r="9702" spans="5:7" x14ac:dyDescent="0.25">
      <c r="E9702" s="27"/>
      <c r="F9702" s="27"/>
      <c r="G9702" s="7"/>
    </row>
    <row r="9703" spans="5:7" x14ac:dyDescent="0.25">
      <c r="E9703" s="27"/>
      <c r="F9703" s="27"/>
      <c r="G9703" s="7"/>
    </row>
    <row r="9704" spans="5:7" x14ac:dyDescent="0.25">
      <c r="E9704" s="27"/>
      <c r="F9704" s="27"/>
      <c r="G9704" s="7"/>
    </row>
    <row r="9705" spans="5:7" x14ac:dyDescent="0.25">
      <c r="E9705" s="27"/>
      <c r="F9705" s="27"/>
      <c r="G9705" s="7"/>
    </row>
    <row r="9706" spans="5:7" x14ac:dyDescent="0.25">
      <c r="E9706" s="27"/>
      <c r="F9706" s="27"/>
      <c r="G9706" s="7"/>
    </row>
    <row r="9707" spans="5:7" x14ac:dyDescent="0.25">
      <c r="E9707" s="27"/>
      <c r="F9707" s="27"/>
      <c r="G9707" s="7"/>
    </row>
    <row r="9708" spans="5:7" x14ac:dyDescent="0.25">
      <c r="E9708" s="27"/>
      <c r="F9708" s="27"/>
      <c r="G9708" s="7"/>
    </row>
    <row r="9709" spans="5:7" x14ac:dyDescent="0.25">
      <c r="E9709" s="27"/>
      <c r="F9709" s="27"/>
      <c r="G9709" s="7"/>
    </row>
    <row r="9710" spans="5:7" x14ac:dyDescent="0.25">
      <c r="E9710" s="27"/>
      <c r="F9710" s="27"/>
      <c r="G9710" s="7"/>
    </row>
    <row r="9711" spans="5:7" x14ac:dyDescent="0.25">
      <c r="E9711" s="27"/>
      <c r="F9711" s="27"/>
      <c r="G9711" s="7"/>
    </row>
    <row r="9712" spans="5:7" x14ac:dyDescent="0.25">
      <c r="E9712" s="27"/>
      <c r="F9712" s="27"/>
      <c r="G9712" s="7"/>
    </row>
    <row r="9713" spans="5:7" x14ac:dyDescent="0.25">
      <c r="E9713" s="27"/>
      <c r="F9713" s="27"/>
      <c r="G9713" s="7"/>
    </row>
    <row r="9714" spans="5:7" x14ac:dyDescent="0.25">
      <c r="E9714" s="27"/>
      <c r="F9714" s="27"/>
      <c r="G9714" s="7"/>
    </row>
    <row r="9715" spans="5:7" x14ac:dyDescent="0.25">
      <c r="E9715" s="27"/>
      <c r="F9715" s="27"/>
      <c r="G9715" s="7"/>
    </row>
    <row r="9716" spans="5:7" x14ac:dyDescent="0.25">
      <c r="E9716" s="27"/>
      <c r="F9716" s="27"/>
      <c r="G9716" s="7"/>
    </row>
    <row r="9717" spans="5:7" x14ac:dyDescent="0.25">
      <c r="E9717" s="27"/>
      <c r="F9717" s="27"/>
      <c r="G9717" s="7"/>
    </row>
    <row r="9718" spans="5:7" x14ac:dyDescent="0.25">
      <c r="E9718" s="27"/>
      <c r="F9718" s="27"/>
      <c r="G9718" s="7"/>
    </row>
    <row r="9719" spans="5:7" x14ac:dyDescent="0.25">
      <c r="E9719" s="27"/>
      <c r="F9719" s="27"/>
      <c r="G9719" s="7"/>
    </row>
    <row r="9720" spans="5:7" x14ac:dyDescent="0.25">
      <c r="E9720" s="27"/>
      <c r="F9720" s="27"/>
      <c r="G9720" s="7"/>
    </row>
    <row r="9721" spans="5:7" x14ac:dyDescent="0.25">
      <c r="E9721" s="27"/>
      <c r="F9721" s="27"/>
      <c r="G9721" s="7"/>
    </row>
    <row r="9722" spans="5:7" x14ac:dyDescent="0.25">
      <c r="E9722" s="27"/>
      <c r="F9722" s="27"/>
      <c r="G9722" s="7"/>
    </row>
    <row r="9723" spans="5:7" x14ac:dyDescent="0.25">
      <c r="E9723" s="27"/>
      <c r="F9723" s="27"/>
      <c r="G9723" s="7"/>
    </row>
    <row r="9724" spans="5:7" x14ac:dyDescent="0.25">
      <c r="E9724" s="27"/>
      <c r="F9724" s="27"/>
      <c r="G9724" s="7"/>
    </row>
    <row r="9725" spans="5:7" x14ac:dyDescent="0.25">
      <c r="E9725" s="27"/>
      <c r="F9725" s="27"/>
      <c r="G9725" s="7"/>
    </row>
    <row r="9726" spans="5:7" x14ac:dyDescent="0.25">
      <c r="E9726" s="27"/>
      <c r="F9726" s="27"/>
      <c r="G9726" s="7"/>
    </row>
    <row r="9727" spans="5:7" x14ac:dyDescent="0.25">
      <c r="E9727" s="27"/>
      <c r="F9727" s="27"/>
      <c r="G9727" s="7"/>
    </row>
    <row r="9728" spans="5:7" x14ac:dyDescent="0.25">
      <c r="E9728" s="27"/>
      <c r="F9728" s="27"/>
      <c r="G9728" s="7"/>
    </row>
    <row r="9729" spans="5:7" x14ac:dyDescent="0.25">
      <c r="E9729" s="27"/>
      <c r="F9729" s="27"/>
      <c r="G9729" s="7"/>
    </row>
    <row r="9730" spans="5:7" x14ac:dyDescent="0.25">
      <c r="E9730" s="27"/>
      <c r="F9730" s="27"/>
      <c r="G9730" s="7"/>
    </row>
    <row r="9731" spans="5:7" x14ac:dyDescent="0.25">
      <c r="E9731" s="27"/>
      <c r="F9731" s="27"/>
      <c r="G9731" s="7"/>
    </row>
    <row r="9732" spans="5:7" x14ac:dyDescent="0.25">
      <c r="E9732" s="27"/>
      <c r="F9732" s="27"/>
      <c r="G9732" s="7"/>
    </row>
    <row r="9733" spans="5:7" x14ac:dyDescent="0.25">
      <c r="E9733" s="27"/>
      <c r="F9733" s="27"/>
      <c r="G9733" s="7"/>
    </row>
    <row r="9734" spans="5:7" x14ac:dyDescent="0.25">
      <c r="E9734" s="27"/>
      <c r="F9734" s="27"/>
      <c r="G9734" s="7"/>
    </row>
    <row r="9735" spans="5:7" x14ac:dyDescent="0.25">
      <c r="E9735" s="27"/>
      <c r="F9735" s="27"/>
      <c r="G9735" s="7"/>
    </row>
    <row r="9736" spans="5:7" x14ac:dyDescent="0.25">
      <c r="E9736" s="27"/>
      <c r="F9736" s="27"/>
      <c r="G9736" s="7"/>
    </row>
    <row r="9737" spans="5:7" x14ac:dyDescent="0.25">
      <c r="E9737" s="27"/>
      <c r="F9737" s="27"/>
      <c r="G9737" s="7"/>
    </row>
    <row r="9738" spans="5:7" x14ac:dyDescent="0.25">
      <c r="E9738" s="27"/>
      <c r="F9738" s="27"/>
      <c r="G9738" s="7"/>
    </row>
    <row r="9739" spans="5:7" x14ac:dyDescent="0.25">
      <c r="E9739" s="27"/>
      <c r="F9739" s="27"/>
      <c r="G9739" s="7"/>
    </row>
    <row r="9740" spans="5:7" x14ac:dyDescent="0.25">
      <c r="E9740" s="27"/>
      <c r="F9740" s="27"/>
      <c r="G9740" s="7"/>
    </row>
    <row r="9741" spans="5:7" x14ac:dyDescent="0.25">
      <c r="E9741" s="27"/>
      <c r="F9741" s="27"/>
      <c r="G9741" s="7"/>
    </row>
    <row r="9742" spans="5:7" x14ac:dyDescent="0.25">
      <c r="E9742" s="27"/>
      <c r="F9742" s="27"/>
      <c r="G9742" s="7"/>
    </row>
    <row r="9743" spans="5:7" x14ac:dyDescent="0.25">
      <c r="E9743" s="27"/>
      <c r="F9743" s="27"/>
      <c r="G9743" s="7"/>
    </row>
    <row r="9744" spans="5:7" x14ac:dyDescent="0.25">
      <c r="E9744" s="27"/>
      <c r="F9744" s="27"/>
      <c r="G9744" s="7"/>
    </row>
    <row r="9745" spans="5:7" x14ac:dyDescent="0.25">
      <c r="E9745" s="27"/>
      <c r="F9745" s="27"/>
      <c r="G9745" s="7"/>
    </row>
    <row r="9746" spans="5:7" x14ac:dyDescent="0.25">
      <c r="E9746" s="27"/>
      <c r="F9746" s="27"/>
      <c r="G9746" s="7"/>
    </row>
    <row r="9747" spans="5:7" x14ac:dyDescent="0.25">
      <c r="E9747" s="27"/>
      <c r="F9747" s="27"/>
      <c r="G9747" s="7"/>
    </row>
    <row r="9748" spans="5:7" x14ac:dyDescent="0.25">
      <c r="E9748" s="27"/>
      <c r="F9748" s="27"/>
      <c r="G9748" s="7"/>
    </row>
    <row r="9749" spans="5:7" x14ac:dyDescent="0.25">
      <c r="E9749" s="27"/>
      <c r="F9749" s="27"/>
      <c r="G9749" s="7"/>
    </row>
    <row r="9750" spans="5:7" x14ac:dyDescent="0.25">
      <c r="E9750" s="27"/>
      <c r="F9750" s="27"/>
      <c r="G9750" s="7"/>
    </row>
    <row r="9751" spans="5:7" x14ac:dyDescent="0.25">
      <c r="E9751" s="27"/>
      <c r="F9751" s="27"/>
      <c r="G9751" s="7"/>
    </row>
    <row r="9752" spans="5:7" x14ac:dyDescent="0.25">
      <c r="E9752" s="27"/>
      <c r="F9752" s="27"/>
      <c r="G9752" s="7"/>
    </row>
    <row r="9753" spans="5:7" x14ac:dyDescent="0.25">
      <c r="E9753" s="27"/>
      <c r="F9753" s="27"/>
      <c r="G9753" s="7"/>
    </row>
    <row r="9754" spans="5:7" x14ac:dyDescent="0.25">
      <c r="E9754" s="27"/>
      <c r="F9754" s="27"/>
      <c r="G9754" s="7"/>
    </row>
    <row r="9755" spans="5:7" x14ac:dyDescent="0.25">
      <c r="E9755" s="27"/>
      <c r="F9755" s="27"/>
      <c r="G9755" s="7"/>
    </row>
    <row r="9756" spans="5:7" x14ac:dyDescent="0.25">
      <c r="E9756" s="27"/>
      <c r="F9756" s="27"/>
      <c r="G9756" s="7"/>
    </row>
    <row r="9757" spans="5:7" x14ac:dyDescent="0.25">
      <c r="E9757" s="27"/>
      <c r="F9757" s="27"/>
      <c r="G9757" s="7"/>
    </row>
    <row r="9758" spans="5:7" x14ac:dyDescent="0.25">
      <c r="E9758" s="27"/>
      <c r="F9758" s="27"/>
      <c r="G9758" s="7"/>
    </row>
    <row r="9759" spans="5:7" x14ac:dyDescent="0.25">
      <c r="E9759" s="27"/>
      <c r="F9759" s="27"/>
      <c r="G9759" s="7"/>
    </row>
    <row r="9760" spans="5:7" x14ac:dyDescent="0.25">
      <c r="E9760" s="27"/>
      <c r="F9760" s="27"/>
      <c r="G9760" s="7"/>
    </row>
    <row r="9761" spans="5:7" x14ac:dyDescent="0.25">
      <c r="E9761" s="27"/>
      <c r="F9761" s="27"/>
      <c r="G9761" s="7"/>
    </row>
    <row r="9762" spans="5:7" x14ac:dyDescent="0.25">
      <c r="E9762" s="27"/>
      <c r="F9762" s="27"/>
      <c r="G9762" s="7"/>
    </row>
    <row r="9763" spans="5:7" x14ac:dyDescent="0.25">
      <c r="E9763" s="27"/>
      <c r="F9763" s="27"/>
      <c r="G9763" s="7"/>
    </row>
    <row r="9764" spans="5:7" x14ac:dyDescent="0.25">
      <c r="E9764" s="27"/>
      <c r="F9764" s="27"/>
      <c r="G9764" s="7"/>
    </row>
    <row r="9765" spans="5:7" x14ac:dyDescent="0.25">
      <c r="E9765" s="27"/>
      <c r="F9765" s="27"/>
      <c r="G9765" s="7"/>
    </row>
    <row r="9766" spans="5:7" x14ac:dyDescent="0.25">
      <c r="E9766" s="27"/>
      <c r="F9766" s="27"/>
      <c r="G9766" s="7"/>
    </row>
    <row r="9767" spans="5:7" x14ac:dyDescent="0.25">
      <c r="E9767" s="27"/>
      <c r="F9767" s="27"/>
      <c r="G9767" s="7"/>
    </row>
    <row r="9768" spans="5:7" x14ac:dyDescent="0.25">
      <c r="E9768" s="27"/>
      <c r="F9768" s="27"/>
      <c r="G9768" s="7"/>
    </row>
    <row r="9769" spans="5:7" x14ac:dyDescent="0.25">
      <c r="E9769" s="27"/>
      <c r="F9769" s="27"/>
      <c r="G9769" s="7"/>
    </row>
    <row r="9770" spans="5:7" x14ac:dyDescent="0.25">
      <c r="E9770" s="27"/>
      <c r="F9770" s="27"/>
      <c r="G9770" s="7"/>
    </row>
    <row r="9771" spans="5:7" x14ac:dyDescent="0.25">
      <c r="E9771" s="27"/>
      <c r="F9771" s="27"/>
      <c r="G9771" s="7"/>
    </row>
    <row r="9772" spans="5:7" x14ac:dyDescent="0.25">
      <c r="E9772" s="27"/>
      <c r="F9772" s="27"/>
      <c r="G9772" s="7"/>
    </row>
    <row r="9773" spans="5:7" x14ac:dyDescent="0.25">
      <c r="E9773" s="27"/>
      <c r="F9773" s="27"/>
      <c r="G9773" s="7"/>
    </row>
    <row r="9774" spans="5:7" x14ac:dyDescent="0.25">
      <c r="E9774" s="27"/>
      <c r="F9774" s="27"/>
      <c r="G9774" s="7"/>
    </row>
    <row r="9775" spans="5:7" x14ac:dyDescent="0.25">
      <c r="E9775" s="27"/>
      <c r="F9775" s="27"/>
      <c r="G9775" s="7"/>
    </row>
    <row r="9776" spans="5:7" x14ac:dyDescent="0.25">
      <c r="E9776" s="27"/>
      <c r="F9776" s="27"/>
      <c r="G9776" s="7"/>
    </row>
    <row r="9777" spans="5:7" x14ac:dyDescent="0.25">
      <c r="E9777" s="27"/>
      <c r="F9777" s="27"/>
      <c r="G9777" s="7"/>
    </row>
    <row r="9778" spans="5:7" x14ac:dyDescent="0.25">
      <c r="E9778" s="27"/>
      <c r="F9778" s="27"/>
      <c r="G9778" s="7"/>
    </row>
    <row r="9779" spans="5:7" x14ac:dyDescent="0.25">
      <c r="E9779" s="27"/>
      <c r="F9779" s="27"/>
      <c r="G9779" s="7"/>
    </row>
    <row r="9780" spans="5:7" x14ac:dyDescent="0.25">
      <c r="E9780" s="27"/>
      <c r="F9780" s="27"/>
      <c r="G9780" s="7"/>
    </row>
    <row r="9781" spans="5:7" x14ac:dyDescent="0.25">
      <c r="E9781" s="27"/>
      <c r="F9781" s="27"/>
      <c r="G9781" s="7"/>
    </row>
    <row r="9782" spans="5:7" x14ac:dyDescent="0.25">
      <c r="E9782" s="27"/>
      <c r="F9782" s="27"/>
      <c r="G9782" s="7"/>
    </row>
    <row r="9783" spans="5:7" x14ac:dyDescent="0.25">
      <c r="E9783" s="27"/>
      <c r="F9783" s="27"/>
      <c r="G9783" s="7"/>
    </row>
    <row r="9784" spans="5:7" x14ac:dyDescent="0.25">
      <c r="E9784" s="27"/>
      <c r="F9784" s="27"/>
      <c r="G9784" s="7"/>
    </row>
    <row r="9785" spans="5:7" x14ac:dyDescent="0.25">
      <c r="E9785" s="27"/>
      <c r="F9785" s="27"/>
      <c r="G9785" s="7"/>
    </row>
    <row r="9786" spans="5:7" x14ac:dyDescent="0.25">
      <c r="E9786" s="27"/>
      <c r="F9786" s="27"/>
      <c r="G9786" s="7"/>
    </row>
    <row r="9787" spans="5:7" x14ac:dyDescent="0.25">
      <c r="E9787" s="27"/>
      <c r="F9787" s="27"/>
      <c r="G9787" s="7"/>
    </row>
    <row r="9788" spans="5:7" x14ac:dyDescent="0.25">
      <c r="E9788" s="27"/>
      <c r="F9788" s="27"/>
      <c r="G9788" s="7"/>
    </row>
    <row r="9789" spans="5:7" x14ac:dyDescent="0.25">
      <c r="E9789" s="27"/>
      <c r="F9789" s="27"/>
      <c r="G9789" s="7"/>
    </row>
    <row r="9790" spans="5:7" x14ac:dyDescent="0.25">
      <c r="E9790" s="27"/>
      <c r="F9790" s="27"/>
      <c r="G9790" s="7"/>
    </row>
    <row r="9791" spans="5:7" x14ac:dyDescent="0.25">
      <c r="E9791" s="27"/>
      <c r="F9791" s="27"/>
      <c r="G9791" s="7"/>
    </row>
    <row r="9792" spans="5:7" x14ac:dyDescent="0.25">
      <c r="E9792" s="27"/>
      <c r="F9792" s="27"/>
      <c r="G9792" s="7"/>
    </row>
    <row r="9793" spans="5:7" x14ac:dyDescent="0.25">
      <c r="E9793" s="27"/>
      <c r="F9793" s="27"/>
      <c r="G9793" s="7"/>
    </row>
    <row r="9794" spans="5:7" x14ac:dyDescent="0.25">
      <c r="E9794" s="27"/>
      <c r="F9794" s="27"/>
      <c r="G9794" s="7"/>
    </row>
    <row r="9795" spans="5:7" x14ac:dyDescent="0.25">
      <c r="E9795" s="27"/>
      <c r="F9795" s="27"/>
      <c r="G9795" s="7"/>
    </row>
    <row r="9796" spans="5:7" x14ac:dyDescent="0.25">
      <c r="E9796" s="27"/>
      <c r="F9796" s="27"/>
      <c r="G9796" s="7"/>
    </row>
    <row r="9797" spans="5:7" x14ac:dyDescent="0.25">
      <c r="E9797" s="27"/>
      <c r="F9797" s="27"/>
      <c r="G9797" s="7"/>
    </row>
    <row r="9798" spans="5:7" x14ac:dyDescent="0.25">
      <c r="E9798" s="27"/>
      <c r="F9798" s="27"/>
      <c r="G9798" s="7"/>
    </row>
    <row r="9799" spans="5:7" x14ac:dyDescent="0.25">
      <c r="E9799" s="27"/>
      <c r="F9799" s="27"/>
      <c r="G9799" s="7"/>
    </row>
    <row r="9800" spans="5:7" x14ac:dyDescent="0.25">
      <c r="E9800" s="27"/>
      <c r="F9800" s="27"/>
      <c r="G9800" s="7"/>
    </row>
    <row r="9801" spans="5:7" x14ac:dyDescent="0.25">
      <c r="E9801" s="27"/>
      <c r="F9801" s="27"/>
      <c r="G9801" s="7"/>
    </row>
    <row r="9802" spans="5:7" x14ac:dyDescent="0.25">
      <c r="E9802" s="27"/>
      <c r="F9802" s="27"/>
      <c r="G9802" s="7"/>
    </row>
    <row r="9803" spans="5:7" x14ac:dyDescent="0.25">
      <c r="E9803" s="27"/>
      <c r="F9803" s="27"/>
      <c r="G9803" s="7"/>
    </row>
    <row r="9804" spans="5:7" x14ac:dyDescent="0.25">
      <c r="E9804" s="27"/>
      <c r="F9804" s="27"/>
      <c r="G9804" s="7"/>
    </row>
    <row r="9805" spans="5:7" x14ac:dyDescent="0.25">
      <c r="E9805" s="27"/>
      <c r="F9805" s="27"/>
      <c r="G9805" s="7"/>
    </row>
    <row r="9806" spans="5:7" x14ac:dyDescent="0.25">
      <c r="E9806" s="27"/>
      <c r="F9806" s="27"/>
      <c r="G9806" s="7"/>
    </row>
    <row r="9807" spans="5:7" x14ac:dyDescent="0.25">
      <c r="E9807" s="27"/>
      <c r="F9807" s="27"/>
      <c r="G9807" s="7"/>
    </row>
    <row r="9808" spans="5:7" x14ac:dyDescent="0.25">
      <c r="E9808" s="27"/>
      <c r="F9808" s="27"/>
      <c r="G9808" s="7"/>
    </row>
    <row r="9809" spans="5:7" x14ac:dyDescent="0.25">
      <c r="E9809" s="27"/>
      <c r="F9809" s="27"/>
      <c r="G9809" s="7"/>
    </row>
    <row r="9810" spans="5:7" x14ac:dyDescent="0.25">
      <c r="E9810" s="27"/>
      <c r="F9810" s="27"/>
      <c r="G9810" s="7"/>
    </row>
    <row r="9811" spans="5:7" x14ac:dyDescent="0.25">
      <c r="E9811" s="27"/>
      <c r="F9811" s="27"/>
      <c r="G9811" s="7"/>
    </row>
    <row r="9812" spans="5:7" x14ac:dyDescent="0.25">
      <c r="E9812" s="27"/>
      <c r="F9812" s="27"/>
      <c r="G9812" s="7"/>
    </row>
    <row r="9813" spans="5:7" x14ac:dyDescent="0.25">
      <c r="E9813" s="27"/>
      <c r="F9813" s="27"/>
      <c r="G9813" s="7"/>
    </row>
    <row r="9814" spans="5:7" x14ac:dyDescent="0.25">
      <c r="E9814" s="27"/>
      <c r="F9814" s="27"/>
      <c r="G9814" s="7"/>
    </row>
    <row r="9815" spans="5:7" x14ac:dyDescent="0.25">
      <c r="E9815" s="27"/>
      <c r="F9815" s="27"/>
      <c r="G9815" s="7"/>
    </row>
    <row r="9816" spans="5:7" x14ac:dyDescent="0.25">
      <c r="E9816" s="27"/>
      <c r="F9816" s="27"/>
      <c r="G9816" s="7"/>
    </row>
    <row r="9817" spans="5:7" x14ac:dyDescent="0.25">
      <c r="E9817" s="27"/>
      <c r="F9817" s="27"/>
      <c r="G9817" s="7"/>
    </row>
    <row r="9818" spans="5:7" x14ac:dyDescent="0.25">
      <c r="E9818" s="27"/>
      <c r="F9818" s="27"/>
      <c r="G9818" s="7"/>
    </row>
    <row r="9819" spans="5:7" x14ac:dyDescent="0.25">
      <c r="E9819" s="27"/>
      <c r="F9819" s="27"/>
      <c r="G9819" s="7"/>
    </row>
    <row r="9820" spans="5:7" x14ac:dyDescent="0.25">
      <c r="E9820" s="27"/>
      <c r="F9820" s="27"/>
      <c r="G9820" s="7"/>
    </row>
    <row r="9821" spans="5:7" x14ac:dyDescent="0.25">
      <c r="E9821" s="27"/>
      <c r="F9821" s="27"/>
      <c r="G9821" s="7"/>
    </row>
    <row r="9822" spans="5:7" x14ac:dyDescent="0.25">
      <c r="E9822" s="27"/>
      <c r="F9822" s="27"/>
      <c r="G9822" s="7"/>
    </row>
    <row r="9823" spans="5:7" x14ac:dyDescent="0.25">
      <c r="E9823" s="27"/>
      <c r="F9823" s="27"/>
      <c r="G9823" s="7"/>
    </row>
    <row r="9824" spans="5:7" x14ac:dyDescent="0.25">
      <c r="E9824" s="27"/>
      <c r="F9824" s="27"/>
      <c r="G9824" s="7"/>
    </row>
    <row r="9825" spans="5:7" x14ac:dyDescent="0.25">
      <c r="E9825" s="27"/>
      <c r="F9825" s="27"/>
      <c r="G9825" s="7"/>
    </row>
    <row r="9826" spans="5:7" x14ac:dyDescent="0.25">
      <c r="E9826" s="27"/>
      <c r="F9826" s="27"/>
      <c r="G9826" s="7"/>
    </row>
    <row r="9827" spans="5:7" x14ac:dyDescent="0.25">
      <c r="E9827" s="27"/>
      <c r="F9827" s="27"/>
      <c r="G9827" s="7"/>
    </row>
    <row r="9828" spans="5:7" x14ac:dyDescent="0.25">
      <c r="E9828" s="27"/>
      <c r="F9828" s="27"/>
      <c r="G9828" s="7"/>
    </row>
    <row r="9829" spans="5:7" x14ac:dyDescent="0.25">
      <c r="E9829" s="27"/>
      <c r="F9829" s="27"/>
      <c r="G9829" s="7"/>
    </row>
    <row r="9830" spans="5:7" x14ac:dyDescent="0.25">
      <c r="E9830" s="27"/>
      <c r="F9830" s="27"/>
      <c r="G9830" s="7"/>
    </row>
    <row r="9831" spans="5:7" x14ac:dyDescent="0.25">
      <c r="E9831" s="27"/>
      <c r="F9831" s="27"/>
      <c r="G9831" s="7"/>
    </row>
    <row r="9832" spans="5:7" x14ac:dyDescent="0.25">
      <c r="E9832" s="27"/>
      <c r="F9832" s="27"/>
      <c r="G9832" s="7"/>
    </row>
    <row r="9833" spans="5:7" x14ac:dyDescent="0.25">
      <c r="E9833" s="27"/>
      <c r="F9833" s="27"/>
      <c r="G9833" s="7"/>
    </row>
    <row r="9834" spans="5:7" x14ac:dyDescent="0.25">
      <c r="E9834" s="27"/>
      <c r="F9834" s="27"/>
      <c r="G9834" s="7"/>
    </row>
    <row r="9835" spans="5:7" x14ac:dyDescent="0.25">
      <c r="E9835" s="27"/>
      <c r="F9835" s="27"/>
      <c r="G9835" s="7"/>
    </row>
    <row r="9836" spans="5:7" x14ac:dyDescent="0.25">
      <c r="E9836" s="27"/>
      <c r="F9836" s="27"/>
      <c r="G9836" s="7"/>
    </row>
    <row r="9837" spans="5:7" x14ac:dyDescent="0.25">
      <c r="E9837" s="27"/>
      <c r="F9837" s="27"/>
      <c r="G9837" s="7"/>
    </row>
    <row r="9838" spans="5:7" x14ac:dyDescent="0.25">
      <c r="E9838" s="27"/>
      <c r="F9838" s="27"/>
      <c r="G9838" s="7"/>
    </row>
    <row r="9839" spans="5:7" x14ac:dyDescent="0.25">
      <c r="E9839" s="27"/>
      <c r="F9839" s="27"/>
      <c r="G9839" s="7"/>
    </row>
    <row r="9840" spans="5:7" x14ac:dyDescent="0.25">
      <c r="E9840" s="27"/>
      <c r="F9840" s="27"/>
      <c r="G9840" s="7"/>
    </row>
    <row r="9841" spans="5:7" x14ac:dyDescent="0.25">
      <c r="E9841" s="27"/>
      <c r="F9841" s="27"/>
      <c r="G9841" s="7"/>
    </row>
    <row r="9842" spans="5:7" x14ac:dyDescent="0.25">
      <c r="E9842" s="27"/>
      <c r="F9842" s="27"/>
      <c r="G9842" s="7"/>
    </row>
    <row r="9843" spans="5:7" x14ac:dyDescent="0.25">
      <c r="E9843" s="27"/>
      <c r="F9843" s="27"/>
      <c r="G9843" s="7"/>
    </row>
    <row r="9844" spans="5:7" x14ac:dyDescent="0.25">
      <c r="E9844" s="27"/>
      <c r="F9844" s="27"/>
      <c r="G9844" s="7"/>
    </row>
    <row r="9845" spans="5:7" x14ac:dyDescent="0.25">
      <c r="E9845" s="27"/>
      <c r="F9845" s="27"/>
      <c r="G9845" s="7"/>
    </row>
    <row r="9846" spans="5:7" x14ac:dyDescent="0.25">
      <c r="E9846" s="27"/>
      <c r="F9846" s="27"/>
      <c r="G9846" s="7"/>
    </row>
    <row r="9847" spans="5:7" x14ac:dyDescent="0.25">
      <c r="E9847" s="27"/>
      <c r="F9847" s="27"/>
      <c r="G9847" s="7"/>
    </row>
    <row r="9848" spans="5:7" x14ac:dyDescent="0.25">
      <c r="E9848" s="27"/>
      <c r="F9848" s="27"/>
      <c r="G9848" s="7"/>
    </row>
    <row r="9849" spans="5:7" x14ac:dyDescent="0.25">
      <c r="E9849" s="27"/>
      <c r="F9849" s="27"/>
      <c r="G9849" s="7"/>
    </row>
    <row r="9850" spans="5:7" x14ac:dyDescent="0.25">
      <c r="E9850" s="27"/>
      <c r="F9850" s="27"/>
      <c r="G9850" s="7"/>
    </row>
    <row r="9851" spans="5:7" x14ac:dyDescent="0.25">
      <c r="E9851" s="27"/>
      <c r="F9851" s="27"/>
      <c r="G9851" s="7"/>
    </row>
    <row r="9852" spans="5:7" x14ac:dyDescent="0.25">
      <c r="E9852" s="27"/>
      <c r="F9852" s="27"/>
      <c r="G9852" s="7"/>
    </row>
    <row r="9853" spans="5:7" x14ac:dyDescent="0.25">
      <c r="E9853" s="27"/>
      <c r="F9853" s="27"/>
      <c r="G9853" s="7"/>
    </row>
    <row r="9854" spans="5:7" x14ac:dyDescent="0.25">
      <c r="E9854" s="27"/>
      <c r="F9854" s="27"/>
      <c r="G9854" s="7"/>
    </row>
    <row r="9855" spans="5:7" x14ac:dyDescent="0.25">
      <c r="E9855" s="27"/>
      <c r="F9855" s="27"/>
      <c r="G9855" s="7"/>
    </row>
    <row r="9856" spans="5:7" x14ac:dyDescent="0.25">
      <c r="E9856" s="27"/>
      <c r="F9856" s="27"/>
      <c r="G9856" s="7"/>
    </row>
    <row r="9857" spans="5:7" x14ac:dyDescent="0.25">
      <c r="E9857" s="27"/>
      <c r="F9857" s="27"/>
      <c r="G9857" s="7"/>
    </row>
    <row r="9858" spans="5:7" x14ac:dyDescent="0.25">
      <c r="E9858" s="27"/>
      <c r="F9858" s="27"/>
      <c r="G9858" s="7"/>
    </row>
    <row r="9859" spans="5:7" x14ac:dyDescent="0.25">
      <c r="E9859" s="27"/>
      <c r="F9859" s="27"/>
      <c r="G9859" s="7"/>
    </row>
    <row r="9860" spans="5:7" x14ac:dyDescent="0.25">
      <c r="E9860" s="27"/>
      <c r="F9860" s="27"/>
      <c r="G9860" s="7"/>
    </row>
    <row r="9861" spans="5:7" x14ac:dyDescent="0.25">
      <c r="E9861" s="27"/>
      <c r="F9861" s="27"/>
      <c r="G9861" s="7"/>
    </row>
    <row r="9862" spans="5:7" x14ac:dyDescent="0.25">
      <c r="E9862" s="27"/>
      <c r="F9862" s="27"/>
      <c r="G9862" s="7"/>
    </row>
    <row r="9863" spans="5:7" x14ac:dyDescent="0.25">
      <c r="E9863" s="27"/>
      <c r="F9863" s="27"/>
      <c r="G9863" s="7"/>
    </row>
    <row r="9864" spans="5:7" x14ac:dyDescent="0.25">
      <c r="E9864" s="27"/>
      <c r="F9864" s="27"/>
      <c r="G9864" s="7"/>
    </row>
    <row r="9865" spans="5:7" x14ac:dyDescent="0.25">
      <c r="E9865" s="27"/>
      <c r="F9865" s="27"/>
      <c r="G9865" s="7"/>
    </row>
    <row r="9866" spans="5:7" x14ac:dyDescent="0.25">
      <c r="E9866" s="27"/>
      <c r="F9866" s="27"/>
      <c r="G9866" s="7"/>
    </row>
    <row r="9867" spans="5:7" x14ac:dyDescent="0.25">
      <c r="E9867" s="27"/>
      <c r="F9867" s="27"/>
      <c r="G9867" s="7"/>
    </row>
    <row r="9868" spans="5:7" x14ac:dyDescent="0.25">
      <c r="E9868" s="27"/>
      <c r="F9868" s="27"/>
      <c r="G9868" s="7"/>
    </row>
    <row r="9869" spans="5:7" x14ac:dyDescent="0.25">
      <c r="E9869" s="27"/>
      <c r="F9869" s="27"/>
      <c r="G9869" s="7"/>
    </row>
    <row r="9870" spans="5:7" x14ac:dyDescent="0.25">
      <c r="E9870" s="27"/>
      <c r="F9870" s="27"/>
      <c r="G9870" s="7"/>
    </row>
    <row r="9871" spans="5:7" x14ac:dyDescent="0.25">
      <c r="E9871" s="27"/>
      <c r="F9871" s="27"/>
      <c r="G9871" s="7"/>
    </row>
    <row r="9872" spans="5:7" x14ac:dyDescent="0.25">
      <c r="E9872" s="27"/>
      <c r="F9872" s="27"/>
      <c r="G9872" s="7"/>
    </row>
    <row r="9873" spans="5:7" x14ac:dyDescent="0.25">
      <c r="E9873" s="27"/>
      <c r="F9873" s="27"/>
      <c r="G9873" s="7"/>
    </row>
    <row r="9874" spans="5:7" x14ac:dyDescent="0.25">
      <c r="E9874" s="27"/>
      <c r="F9874" s="27"/>
      <c r="G9874" s="7"/>
    </row>
    <row r="9875" spans="5:7" x14ac:dyDescent="0.25">
      <c r="E9875" s="27"/>
      <c r="F9875" s="27"/>
      <c r="G9875" s="7"/>
    </row>
    <row r="9876" spans="5:7" x14ac:dyDescent="0.25">
      <c r="E9876" s="27"/>
      <c r="F9876" s="27"/>
      <c r="G9876" s="7"/>
    </row>
    <row r="9877" spans="5:7" x14ac:dyDescent="0.25">
      <c r="E9877" s="27"/>
      <c r="F9877" s="27"/>
      <c r="G9877" s="7"/>
    </row>
    <row r="9878" spans="5:7" x14ac:dyDescent="0.25">
      <c r="E9878" s="27"/>
      <c r="F9878" s="27"/>
      <c r="G9878" s="7"/>
    </row>
    <row r="9879" spans="5:7" x14ac:dyDescent="0.25">
      <c r="E9879" s="27"/>
      <c r="F9879" s="27"/>
      <c r="G9879" s="7"/>
    </row>
    <row r="9880" spans="5:7" x14ac:dyDescent="0.25">
      <c r="E9880" s="27"/>
      <c r="F9880" s="27"/>
      <c r="G9880" s="7"/>
    </row>
    <row r="9881" spans="5:7" x14ac:dyDescent="0.25">
      <c r="E9881" s="27"/>
      <c r="F9881" s="27"/>
      <c r="G9881" s="7"/>
    </row>
    <row r="9882" spans="5:7" x14ac:dyDescent="0.25">
      <c r="E9882" s="27"/>
      <c r="F9882" s="27"/>
      <c r="G9882" s="7"/>
    </row>
    <row r="9883" spans="5:7" x14ac:dyDescent="0.25">
      <c r="E9883" s="27"/>
      <c r="F9883" s="27"/>
      <c r="G9883" s="7"/>
    </row>
    <row r="9884" spans="5:7" x14ac:dyDescent="0.25">
      <c r="E9884" s="27"/>
      <c r="F9884" s="27"/>
      <c r="G9884" s="7"/>
    </row>
    <row r="9885" spans="5:7" x14ac:dyDescent="0.25">
      <c r="E9885" s="27"/>
      <c r="F9885" s="27"/>
      <c r="G9885" s="7"/>
    </row>
    <row r="9886" spans="5:7" x14ac:dyDescent="0.25">
      <c r="E9886" s="27"/>
      <c r="F9886" s="27"/>
      <c r="G9886" s="7"/>
    </row>
    <row r="9887" spans="5:7" x14ac:dyDescent="0.25">
      <c r="E9887" s="27"/>
      <c r="F9887" s="27"/>
      <c r="G9887" s="7"/>
    </row>
    <row r="9888" spans="5:7" x14ac:dyDescent="0.25">
      <c r="E9888" s="27"/>
      <c r="F9888" s="27"/>
      <c r="G9888" s="7"/>
    </row>
    <row r="9889" spans="5:7" x14ac:dyDescent="0.25">
      <c r="E9889" s="27"/>
      <c r="F9889" s="27"/>
      <c r="G9889" s="7"/>
    </row>
    <row r="9890" spans="5:7" x14ac:dyDescent="0.25">
      <c r="E9890" s="27"/>
      <c r="F9890" s="27"/>
      <c r="G9890" s="7"/>
    </row>
    <row r="9891" spans="5:7" x14ac:dyDescent="0.25">
      <c r="E9891" s="27"/>
      <c r="F9891" s="27"/>
      <c r="G9891" s="7"/>
    </row>
    <row r="9892" spans="5:7" x14ac:dyDescent="0.25">
      <c r="E9892" s="27"/>
      <c r="F9892" s="27"/>
      <c r="G9892" s="7"/>
    </row>
    <row r="9893" spans="5:7" x14ac:dyDescent="0.25">
      <c r="E9893" s="27"/>
      <c r="F9893" s="27"/>
      <c r="G9893" s="7"/>
    </row>
    <row r="9894" spans="5:7" x14ac:dyDescent="0.25">
      <c r="E9894" s="27"/>
      <c r="F9894" s="27"/>
      <c r="G9894" s="7"/>
    </row>
    <row r="9895" spans="5:7" x14ac:dyDescent="0.25">
      <c r="E9895" s="27"/>
      <c r="F9895" s="27"/>
      <c r="G9895" s="7"/>
    </row>
    <row r="9896" spans="5:7" x14ac:dyDescent="0.25">
      <c r="E9896" s="27"/>
      <c r="F9896" s="27"/>
      <c r="G9896" s="7"/>
    </row>
    <row r="9897" spans="5:7" x14ac:dyDescent="0.25">
      <c r="E9897" s="27"/>
      <c r="F9897" s="27"/>
      <c r="G9897" s="7"/>
    </row>
    <row r="9898" spans="5:7" x14ac:dyDescent="0.25">
      <c r="E9898" s="27"/>
      <c r="F9898" s="27"/>
      <c r="G9898" s="7"/>
    </row>
    <row r="9899" spans="5:7" x14ac:dyDescent="0.25">
      <c r="E9899" s="27"/>
      <c r="F9899" s="27"/>
      <c r="G9899" s="7"/>
    </row>
    <row r="9900" spans="5:7" x14ac:dyDescent="0.25">
      <c r="E9900" s="27"/>
      <c r="F9900" s="27"/>
      <c r="G9900" s="7"/>
    </row>
    <row r="9901" spans="5:7" x14ac:dyDescent="0.25">
      <c r="E9901" s="27"/>
      <c r="F9901" s="27"/>
      <c r="G9901" s="7"/>
    </row>
    <row r="9902" spans="5:7" x14ac:dyDescent="0.25">
      <c r="E9902" s="27"/>
      <c r="F9902" s="27"/>
      <c r="G9902" s="7"/>
    </row>
    <row r="9903" spans="5:7" x14ac:dyDescent="0.25">
      <c r="E9903" s="27"/>
      <c r="F9903" s="27"/>
      <c r="G9903" s="7"/>
    </row>
    <row r="9904" spans="5:7" x14ac:dyDescent="0.25">
      <c r="E9904" s="27"/>
      <c r="F9904" s="27"/>
      <c r="G9904" s="7"/>
    </row>
    <row r="9905" spans="5:7" x14ac:dyDescent="0.25">
      <c r="E9905" s="27"/>
      <c r="F9905" s="27"/>
      <c r="G9905" s="7"/>
    </row>
    <row r="9906" spans="5:7" x14ac:dyDescent="0.25">
      <c r="E9906" s="27"/>
      <c r="F9906" s="27"/>
      <c r="G9906" s="7"/>
    </row>
    <row r="9907" spans="5:7" x14ac:dyDescent="0.25">
      <c r="E9907" s="27"/>
      <c r="F9907" s="27"/>
      <c r="G9907" s="7"/>
    </row>
    <row r="9908" spans="5:7" x14ac:dyDescent="0.25">
      <c r="E9908" s="27"/>
      <c r="F9908" s="27"/>
      <c r="G9908" s="7"/>
    </row>
    <row r="9909" spans="5:7" x14ac:dyDescent="0.25">
      <c r="E9909" s="27"/>
      <c r="F9909" s="27"/>
      <c r="G9909" s="7"/>
    </row>
    <row r="9910" spans="5:7" x14ac:dyDescent="0.25">
      <c r="E9910" s="27"/>
      <c r="F9910" s="27"/>
      <c r="G9910" s="7"/>
    </row>
    <row r="9911" spans="5:7" x14ac:dyDescent="0.25">
      <c r="E9911" s="27"/>
      <c r="F9911" s="27"/>
      <c r="G9911" s="7"/>
    </row>
    <row r="9912" spans="5:7" x14ac:dyDescent="0.25">
      <c r="E9912" s="27"/>
      <c r="F9912" s="27"/>
      <c r="G9912" s="7"/>
    </row>
    <row r="9913" spans="5:7" x14ac:dyDescent="0.25">
      <c r="E9913" s="27"/>
      <c r="F9913" s="27"/>
      <c r="G9913" s="7"/>
    </row>
    <row r="9914" spans="5:7" x14ac:dyDescent="0.25">
      <c r="E9914" s="27"/>
      <c r="F9914" s="27"/>
      <c r="G9914" s="7"/>
    </row>
    <row r="9915" spans="5:7" x14ac:dyDescent="0.25">
      <c r="E9915" s="27"/>
      <c r="F9915" s="27"/>
      <c r="G9915" s="7"/>
    </row>
    <row r="9916" spans="5:7" x14ac:dyDescent="0.25">
      <c r="E9916" s="27"/>
      <c r="F9916" s="27"/>
      <c r="G9916" s="7"/>
    </row>
    <row r="9917" spans="5:7" x14ac:dyDescent="0.25">
      <c r="E9917" s="27"/>
      <c r="F9917" s="27"/>
      <c r="G9917" s="7"/>
    </row>
    <row r="9918" spans="5:7" x14ac:dyDescent="0.25">
      <c r="E9918" s="27"/>
      <c r="F9918" s="27"/>
      <c r="G9918" s="7"/>
    </row>
    <row r="9919" spans="5:7" x14ac:dyDescent="0.25">
      <c r="E9919" s="27"/>
      <c r="F9919" s="27"/>
      <c r="G9919" s="7"/>
    </row>
    <row r="9920" spans="5:7" x14ac:dyDescent="0.25">
      <c r="E9920" s="27"/>
      <c r="F9920" s="27"/>
      <c r="G9920" s="7"/>
    </row>
    <row r="9921" spans="5:7" x14ac:dyDescent="0.25">
      <c r="E9921" s="27"/>
      <c r="F9921" s="27"/>
      <c r="G9921" s="7"/>
    </row>
    <row r="9922" spans="5:7" x14ac:dyDescent="0.25">
      <c r="E9922" s="27"/>
      <c r="F9922" s="27"/>
      <c r="G9922" s="7"/>
    </row>
    <row r="9923" spans="5:7" x14ac:dyDescent="0.25">
      <c r="E9923" s="27"/>
      <c r="F9923" s="27"/>
      <c r="G9923" s="7"/>
    </row>
    <row r="9924" spans="5:7" x14ac:dyDescent="0.25">
      <c r="E9924" s="27"/>
      <c r="F9924" s="27"/>
      <c r="G9924" s="7"/>
    </row>
    <row r="9925" spans="5:7" x14ac:dyDescent="0.25">
      <c r="E9925" s="27"/>
      <c r="F9925" s="27"/>
      <c r="G9925" s="7"/>
    </row>
    <row r="9926" spans="5:7" x14ac:dyDescent="0.25">
      <c r="E9926" s="27"/>
      <c r="F9926" s="27"/>
      <c r="G9926" s="7"/>
    </row>
    <row r="9927" spans="5:7" x14ac:dyDescent="0.25">
      <c r="E9927" s="27"/>
      <c r="F9927" s="27"/>
      <c r="G9927" s="7"/>
    </row>
    <row r="9928" spans="5:7" x14ac:dyDescent="0.25">
      <c r="E9928" s="27"/>
      <c r="F9928" s="27"/>
      <c r="G9928" s="7"/>
    </row>
    <row r="9929" spans="5:7" x14ac:dyDescent="0.25">
      <c r="E9929" s="27"/>
      <c r="F9929" s="27"/>
      <c r="G9929" s="7"/>
    </row>
    <row r="9930" spans="5:7" x14ac:dyDescent="0.25">
      <c r="E9930" s="27"/>
      <c r="F9930" s="27"/>
      <c r="G9930" s="7"/>
    </row>
    <row r="9931" spans="5:7" x14ac:dyDescent="0.25">
      <c r="E9931" s="27"/>
      <c r="F9931" s="27"/>
      <c r="G9931" s="7"/>
    </row>
    <row r="9932" spans="5:7" x14ac:dyDescent="0.25">
      <c r="E9932" s="27"/>
      <c r="F9932" s="27"/>
      <c r="G9932" s="7"/>
    </row>
    <row r="9933" spans="5:7" x14ac:dyDescent="0.25">
      <c r="E9933" s="27"/>
      <c r="F9933" s="27"/>
      <c r="G9933" s="7"/>
    </row>
    <row r="9934" spans="5:7" x14ac:dyDescent="0.25">
      <c r="E9934" s="27"/>
      <c r="F9934" s="27"/>
      <c r="G9934" s="7"/>
    </row>
    <row r="9935" spans="5:7" x14ac:dyDescent="0.25">
      <c r="E9935" s="27"/>
      <c r="F9935" s="27"/>
      <c r="G9935" s="7"/>
    </row>
    <row r="9936" spans="5:7" x14ac:dyDescent="0.25">
      <c r="E9936" s="27"/>
      <c r="F9936" s="27"/>
      <c r="G9936" s="7"/>
    </row>
    <row r="9937" spans="5:7" x14ac:dyDescent="0.25">
      <c r="E9937" s="27"/>
      <c r="F9937" s="27"/>
      <c r="G9937" s="7"/>
    </row>
    <row r="9938" spans="5:7" x14ac:dyDescent="0.25">
      <c r="E9938" s="27"/>
      <c r="F9938" s="27"/>
      <c r="G9938" s="7"/>
    </row>
    <row r="9939" spans="5:7" x14ac:dyDescent="0.25">
      <c r="E9939" s="27"/>
      <c r="F9939" s="27"/>
      <c r="G9939" s="7"/>
    </row>
    <row r="9940" spans="5:7" x14ac:dyDescent="0.25">
      <c r="E9940" s="27"/>
      <c r="F9940" s="27"/>
      <c r="G9940" s="7"/>
    </row>
    <row r="9941" spans="5:7" x14ac:dyDescent="0.25">
      <c r="E9941" s="27"/>
      <c r="F9941" s="27"/>
      <c r="G9941" s="7"/>
    </row>
    <row r="9942" spans="5:7" x14ac:dyDescent="0.25">
      <c r="E9942" s="27"/>
      <c r="F9942" s="27"/>
      <c r="G9942" s="7"/>
    </row>
    <row r="9943" spans="5:7" x14ac:dyDescent="0.25">
      <c r="E9943" s="27"/>
      <c r="F9943" s="27"/>
      <c r="G9943" s="7"/>
    </row>
    <row r="9944" spans="5:7" x14ac:dyDescent="0.25">
      <c r="E9944" s="27"/>
      <c r="F9944" s="27"/>
      <c r="G9944" s="7"/>
    </row>
    <row r="9945" spans="5:7" x14ac:dyDescent="0.25">
      <c r="E9945" s="27"/>
      <c r="F9945" s="27"/>
      <c r="G9945" s="7"/>
    </row>
    <row r="9946" spans="5:7" x14ac:dyDescent="0.25">
      <c r="E9946" s="27"/>
      <c r="F9946" s="27"/>
      <c r="G9946" s="7"/>
    </row>
    <row r="9947" spans="5:7" x14ac:dyDescent="0.25">
      <c r="E9947" s="27"/>
      <c r="F9947" s="27"/>
      <c r="G9947" s="7"/>
    </row>
    <row r="9948" spans="5:7" x14ac:dyDescent="0.25">
      <c r="E9948" s="27"/>
      <c r="F9948" s="27"/>
      <c r="G9948" s="7"/>
    </row>
    <row r="9949" spans="5:7" x14ac:dyDescent="0.25">
      <c r="E9949" s="27"/>
      <c r="F9949" s="27"/>
      <c r="G9949" s="7"/>
    </row>
    <row r="9950" spans="5:7" x14ac:dyDescent="0.25">
      <c r="E9950" s="27"/>
      <c r="F9950" s="27"/>
      <c r="G9950" s="7"/>
    </row>
    <row r="9951" spans="5:7" x14ac:dyDescent="0.25">
      <c r="E9951" s="27"/>
      <c r="F9951" s="27"/>
      <c r="G9951" s="7"/>
    </row>
    <row r="9952" spans="5:7" x14ac:dyDescent="0.25">
      <c r="E9952" s="27"/>
      <c r="F9952" s="27"/>
      <c r="G9952" s="7"/>
    </row>
    <row r="9953" spans="5:7" x14ac:dyDescent="0.25">
      <c r="E9953" s="27"/>
      <c r="F9953" s="27"/>
      <c r="G9953" s="7"/>
    </row>
    <row r="9954" spans="5:7" x14ac:dyDescent="0.25">
      <c r="E9954" s="27"/>
      <c r="F9954" s="27"/>
      <c r="G9954" s="7"/>
    </row>
    <row r="9955" spans="5:7" x14ac:dyDescent="0.25">
      <c r="E9955" s="27"/>
      <c r="F9955" s="27"/>
      <c r="G9955" s="7"/>
    </row>
    <row r="9956" spans="5:7" x14ac:dyDescent="0.25">
      <c r="E9956" s="27"/>
      <c r="F9956" s="27"/>
      <c r="G9956" s="7"/>
    </row>
    <row r="9957" spans="5:7" x14ac:dyDescent="0.25">
      <c r="E9957" s="27"/>
      <c r="F9957" s="27"/>
      <c r="G9957" s="7"/>
    </row>
    <row r="9958" spans="5:7" x14ac:dyDescent="0.25">
      <c r="E9958" s="27"/>
      <c r="F9958" s="27"/>
      <c r="G9958" s="7"/>
    </row>
    <row r="9959" spans="5:7" x14ac:dyDescent="0.25">
      <c r="E9959" s="27"/>
      <c r="F9959" s="27"/>
      <c r="G9959" s="7"/>
    </row>
    <row r="9960" spans="5:7" x14ac:dyDescent="0.25">
      <c r="E9960" s="27"/>
      <c r="F9960" s="27"/>
      <c r="G9960" s="7"/>
    </row>
    <row r="9961" spans="5:7" x14ac:dyDescent="0.25">
      <c r="E9961" s="27"/>
      <c r="F9961" s="27"/>
      <c r="G9961" s="7"/>
    </row>
    <row r="9962" spans="5:7" x14ac:dyDescent="0.25">
      <c r="E9962" s="27"/>
      <c r="F9962" s="27"/>
      <c r="G9962" s="7"/>
    </row>
    <row r="9963" spans="5:7" x14ac:dyDescent="0.25">
      <c r="E9963" s="27"/>
      <c r="F9963" s="27"/>
      <c r="G9963" s="7"/>
    </row>
    <row r="9964" spans="5:7" x14ac:dyDescent="0.25">
      <c r="E9964" s="27"/>
      <c r="F9964" s="27"/>
      <c r="G9964" s="7"/>
    </row>
    <row r="9965" spans="5:7" x14ac:dyDescent="0.25">
      <c r="E9965" s="27"/>
      <c r="F9965" s="27"/>
      <c r="G9965" s="7"/>
    </row>
    <row r="9966" spans="5:7" x14ac:dyDescent="0.25">
      <c r="E9966" s="27"/>
      <c r="F9966" s="27"/>
      <c r="G9966" s="7"/>
    </row>
    <row r="9967" spans="5:7" x14ac:dyDescent="0.25">
      <c r="E9967" s="27"/>
      <c r="F9967" s="27"/>
      <c r="G9967" s="7"/>
    </row>
    <row r="9968" spans="5:7" x14ac:dyDescent="0.25">
      <c r="E9968" s="27"/>
      <c r="F9968" s="27"/>
      <c r="G9968" s="7"/>
    </row>
    <row r="9969" spans="5:7" x14ac:dyDescent="0.25">
      <c r="E9969" s="27"/>
      <c r="F9969" s="27"/>
      <c r="G9969" s="7"/>
    </row>
    <row r="9970" spans="5:7" x14ac:dyDescent="0.25">
      <c r="E9970" s="27"/>
      <c r="F9970" s="27"/>
      <c r="G9970" s="7"/>
    </row>
    <row r="9971" spans="5:7" x14ac:dyDescent="0.25">
      <c r="E9971" s="27"/>
      <c r="F9971" s="27"/>
      <c r="G9971" s="7"/>
    </row>
    <row r="9972" spans="5:7" x14ac:dyDescent="0.25">
      <c r="E9972" s="27"/>
      <c r="F9972" s="27"/>
      <c r="G9972" s="7"/>
    </row>
    <row r="9973" spans="5:7" x14ac:dyDescent="0.25">
      <c r="E9973" s="27"/>
      <c r="F9973" s="27"/>
      <c r="G9973" s="7"/>
    </row>
    <row r="9974" spans="5:7" x14ac:dyDescent="0.25">
      <c r="E9974" s="27"/>
      <c r="F9974" s="27"/>
      <c r="G9974" s="7"/>
    </row>
    <row r="9975" spans="5:7" x14ac:dyDescent="0.25">
      <c r="E9975" s="27"/>
      <c r="F9975" s="27"/>
      <c r="G9975" s="7"/>
    </row>
    <row r="9976" spans="5:7" x14ac:dyDescent="0.25">
      <c r="E9976" s="27"/>
      <c r="F9976" s="27"/>
      <c r="G9976" s="7"/>
    </row>
    <row r="9977" spans="5:7" x14ac:dyDescent="0.25">
      <c r="E9977" s="27"/>
      <c r="F9977" s="27"/>
      <c r="G9977" s="7"/>
    </row>
    <row r="9978" spans="5:7" x14ac:dyDescent="0.25">
      <c r="E9978" s="27"/>
      <c r="F9978" s="27"/>
      <c r="G9978" s="7"/>
    </row>
    <row r="9979" spans="5:7" x14ac:dyDescent="0.25">
      <c r="E9979" s="27"/>
      <c r="F9979" s="27"/>
      <c r="G9979" s="7"/>
    </row>
    <row r="9980" spans="5:7" x14ac:dyDescent="0.25">
      <c r="E9980" s="27"/>
      <c r="F9980" s="27"/>
      <c r="G9980" s="7"/>
    </row>
    <row r="9981" spans="5:7" x14ac:dyDescent="0.25">
      <c r="E9981" s="27"/>
      <c r="F9981" s="27"/>
      <c r="G9981" s="7"/>
    </row>
    <row r="9982" spans="5:7" x14ac:dyDescent="0.25">
      <c r="E9982" s="27"/>
      <c r="F9982" s="27"/>
      <c r="G9982" s="7"/>
    </row>
    <row r="9983" spans="5:7" x14ac:dyDescent="0.25">
      <c r="E9983" s="27"/>
      <c r="F9983" s="27"/>
      <c r="G9983" s="7"/>
    </row>
    <row r="9984" spans="5:7" x14ac:dyDescent="0.25">
      <c r="E9984" s="27"/>
      <c r="F9984" s="27"/>
      <c r="G9984" s="7"/>
    </row>
    <row r="9985" spans="5:7" x14ac:dyDescent="0.25">
      <c r="E9985" s="27"/>
      <c r="F9985" s="27"/>
      <c r="G9985" s="7"/>
    </row>
    <row r="9986" spans="5:7" x14ac:dyDescent="0.25">
      <c r="E9986" s="27"/>
      <c r="F9986" s="27"/>
      <c r="G9986" s="7"/>
    </row>
    <row r="9987" spans="5:7" x14ac:dyDescent="0.25">
      <c r="E9987" s="27"/>
      <c r="F9987" s="27"/>
      <c r="G9987" s="7"/>
    </row>
    <row r="9988" spans="5:7" x14ac:dyDescent="0.25">
      <c r="E9988" s="27"/>
      <c r="F9988" s="27"/>
      <c r="G9988" s="7"/>
    </row>
    <row r="9989" spans="5:7" x14ac:dyDescent="0.25">
      <c r="E9989" s="27"/>
      <c r="F9989" s="27"/>
      <c r="G9989" s="7"/>
    </row>
    <row r="9990" spans="5:7" x14ac:dyDescent="0.25">
      <c r="E9990" s="27"/>
      <c r="F9990" s="27"/>
      <c r="G9990" s="7"/>
    </row>
    <row r="9991" spans="5:7" x14ac:dyDescent="0.25">
      <c r="E9991" s="27"/>
      <c r="F9991" s="27"/>
      <c r="G9991" s="7"/>
    </row>
    <row r="9992" spans="5:7" x14ac:dyDescent="0.25">
      <c r="E9992" s="27"/>
      <c r="F9992" s="27"/>
      <c r="G9992" s="7"/>
    </row>
    <row r="9993" spans="5:7" x14ac:dyDescent="0.25">
      <c r="E9993" s="27"/>
      <c r="F9993" s="27"/>
      <c r="G9993" s="7"/>
    </row>
    <row r="9994" spans="5:7" x14ac:dyDescent="0.25">
      <c r="E9994" s="27"/>
      <c r="F9994" s="27"/>
      <c r="G9994" s="7"/>
    </row>
    <row r="9995" spans="5:7" x14ac:dyDescent="0.25">
      <c r="E9995" s="27"/>
      <c r="F9995" s="27"/>
      <c r="G9995" s="7"/>
    </row>
    <row r="9996" spans="5:7" x14ac:dyDescent="0.25">
      <c r="E9996" s="27"/>
      <c r="F9996" s="27"/>
      <c r="G9996" s="7"/>
    </row>
    <row r="9997" spans="5:7" x14ac:dyDescent="0.25">
      <c r="E9997" s="27"/>
      <c r="F9997" s="27"/>
      <c r="G9997" s="7"/>
    </row>
    <row r="9998" spans="5:7" x14ac:dyDescent="0.25">
      <c r="E9998" s="27"/>
      <c r="F9998" s="27"/>
      <c r="G9998" s="7"/>
    </row>
    <row r="9999" spans="5:7" x14ac:dyDescent="0.25">
      <c r="E9999" s="27"/>
      <c r="F9999" s="27"/>
      <c r="G9999" s="7"/>
    </row>
    <row r="10000" spans="5:7" x14ac:dyDescent="0.25">
      <c r="E10000" s="27"/>
      <c r="F10000" s="27"/>
      <c r="G10000" s="7"/>
    </row>
    <row r="10001" spans="5:7" x14ac:dyDescent="0.25">
      <c r="E10001" s="27"/>
      <c r="F10001" s="27"/>
      <c r="G10001" s="7"/>
    </row>
    <row r="10002" spans="5:7" x14ac:dyDescent="0.25">
      <c r="E10002" s="27"/>
      <c r="F10002" s="27"/>
      <c r="G10002" s="7"/>
    </row>
    <row r="10003" spans="5:7" x14ac:dyDescent="0.25">
      <c r="E10003" s="27"/>
      <c r="F10003" s="27"/>
      <c r="G10003" s="7"/>
    </row>
    <row r="10004" spans="5:7" x14ac:dyDescent="0.25">
      <c r="E10004" s="27"/>
      <c r="F10004" s="27"/>
      <c r="G10004" s="7"/>
    </row>
    <row r="10005" spans="5:7" x14ac:dyDescent="0.25">
      <c r="E10005" s="27"/>
      <c r="F10005" s="27"/>
      <c r="G10005" s="7"/>
    </row>
  </sheetData>
  <mergeCells count="8">
    <mergeCell ref="H3:I3"/>
    <mergeCell ref="O37:R37"/>
    <mergeCell ref="T38:U38"/>
    <mergeCell ref="V38:W38"/>
    <mergeCell ref="E4:H4"/>
    <mergeCell ref="E5:F5"/>
    <mergeCell ref="G5:H5"/>
    <mergeCell ref="K10:M1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767AC-5669-4B92-AFBA-F40A44E3823A}">
  <sheetPr codeName="Sheet3"/>
  <dimension ref="B1:P36"/>
  <sheetViews>
    <sheetView workbookViewId="0">
      <selection activeCell="N11" sqref="N11"/>
    </sheetView>
  </sheetViews>
  <sheetFormatPr defaultColWidth="8.85546875" defaultRowHeight="15" x14ac:dyDescent="0.25"/>
  <cols>
    <col min="1" max="3" width="8.85546875" style="5"/>
    <col min="4" max="4" width="12.5703125" style="5" bestFit="1" customWidth="1"/>
    <col min="5" max="5" width="8.85546875" style="5"/>
    <col min="6" max="6" width="11" style="5" bestFit="1" customWidth="1"/>
    <col min="7" max="7" width="8.85546875" style="5"/>
    <col min="8" max="9" width="8.85546875" style="6"/>
    <col min="10" max="10" width="9.5703125" style="6" bestFit="1" customWidth="1"/>
    <col min="11" max="11" width="8.85546875" style="6"/>
    <col min="12" max="12" width="11" style="6" bestFit="1" customWidth="1"/>
    <col min="13" max="13" width="8.85546875" style="5"/>
    <col min="14" max="14" width="29.85546875" style="5" bestFit="1" customWidth="1"/>
    <col min="15" max="16384" width="8.85546875" style="5"/>
  </cols>
  <sheetData>
    <row r="1" spans="2:16" x14ac:dyDescent="0.25">
      <c r="H1" s="5"/>
      <c r="I1" s="5"/>
      <c r="J1" s="5"/>
      <c r="K1" s="5"/>
      <c r="L1" s="5"/>
    </row>
    <row r="2" spans="2:16" x14ac:dyDescent="0.25">
      <c r="H2" s="5"/>
      <c r="I2" s="5"/>
      <c r="J2" s="5"/>
      <c r="K2" s="5"/>
      <c r="L2" s="5"/>
    </row>
    <row r="3" spans="2:16" x14ac:dyDescent="0.25">
      <c r="B3" s="162" t="s">
        <v>18</v>
      </c>
      <c r="C3" s="162"/>
      <c r="D3" s="162"/>
      <c r="E3" s="162"/>
      <c r="F3" s="162"/>
      <c r="H3" s="162" t="s">
        <v>22</v>
      </c>
      <c r="I3" s="162"/>
      <c r="J3" s="162"/>
      <c r="K3" s="162"/>
      <c r="L3" s="162"/>
    </row>
    <row r="4" spans="2:16" x14ac:dyDescent="0.25">
      <c r="B4" s="82" t="s">
        <v>17</v>
      </c>
      <c r="C4" s="82" t="s">
        <v>19</v>
      </c>
      <c r="D4" s="82" t="s">
        <v>34</v>
      </c>
      <c r="E4" s="82" t="s">
        <v>20</v>
      </c>
      <c r="F4" s="82" t="s">
        <v>21</v>
      </c>
      <c r="H4" s="82" t="s">
        <v>17</v>
      </c>
      <c r="I4" s="82" t="s">
        <v>19</v>
      </c>
      <c r="J4" s="82" t="s">
        <v>43</v>
      </c>
      <c r="K4" s="82" t="s">
        <v>20</v>
      </c>
      <c r="L4" s="82" t="s">
        <v>21</v>
      </c>
      <c r="N4" s="48" t="s">
        <v>176</v>
      </c>
      <c r="O4" s="89">
        <f>'2-phase calc'!D16</f>
        <v>9.9999999999999991E-5</v>
      </c>
      <c r="P4" s="50" t="str">
        <f>'2-phase calc'!E16</f>
        <v>m</v>
      </c>
    </row>
    <row r="5" spans="2:16" x14ac:dyDescent="0.25">
      <c r="B5" s="53">
        <v>0</v>
      </c>
      <c r="C5" s="84">
        <v>0.34</v>
      </c>
      <c r="D5" s="81">
        <f>u_og($O$4,$O$6,$O$7,C5)</f>
        <v>1.1233193828051455</v>
      </c>
      <c r="E5" s="85" cm="1">
        <f t="array" ref="E5">N_re_og($O$6,D5,$O$4,$O$8)</f>
        <v>42.224929210575993</v>
      </c>
      <c r="F5" s="59"/>
      <c r="H5" s="86">
        <v>0</v>
      </c>
      <c r="I5" s="84">
        <v>0.34</v>
      </c>
      <c r="J5" s="81" cm="1">
        <f t="array" ref="J5">u_go($O$5,$O$6,$O$7,I5)</f>
        <v>9.7920449071541488E-2</v>
      </c>
      <c r="K5" s="85" cm="1">
        <f t="array" ref="K5">N_re_go($O$7,J5,$O$5,$O$9)</f>
        <v>14.859988759864464</v>
      </c>
      <c r="L5" s="87"/>
      <c r="N5" s="48" t="s">
        <v>177</v>
      </c>
      <c r="O5" s="89">
        <f>'2-phase calc'!C16</f>
        <v>2.5000000000000001E-4</v>
      </c>
      <c r="P5" s="50" t="str">
        <f>'2-phase calc'!E16</f>
        <v>m</v>
      </c>
    </row>
    <row r="6" spans="2:16" x14ac:dyDescent="0.25">
      <c r="B6" s="53">
        <v>1</v>
      </c>
      <c r="C6" s="85">
        <f>Cd(E5)</f>
        <v>1.3700600708593897</v>
      </c>
      <c r="D6" s="81" cm="1">
        <f t="array" ref="D6">u_og($O$4,$O$6,$O$7,C6)</f>
        <v>0.5595938159759215</v>
      </c>
      <c r="E6" s="85" cm="1">
        <f t="array" ref="E6">N_re_og($O$6,D6,$O$4,$O$8)</f>
        <v>21.034809536762086</v>
      </c>
      <c r="F6" s="67">
        <f>C6/C5-1</f>
        <v>3.0295884437040872</v>
      </c>
      <c r="H6" s="86">
        <v>1</v>
      </c>
      <c r="I6" s="85" cm="1">
        <f t="array" ref="I6">Cd(K5)</f>
        <v>2.7333124958175912</v>
      </c>
      <c r="J6" s="81" cm="1">
        <f t="array" ref="J6">u_go($O$5,$O$6,$O$7,I6)</f>
        <v>3.4535695907540138E-2</v>
      </c>
      <c r="K6" s="85" cm="1">
        <f t="array" ref="K6">N_re_go($O$7,J6,$O$5,$O$9)</f>
        <v>5.240989577419068</v>
      </c>
      <c r="L6" s="88">
        <f>I6/I5-1</f>
        <v>7.0391543994635022</v>
      </c>
      <c r="N6" s="48" t="s">
        <v>178</v>
      </c>
      <c r="O6" s="89">
        <f>'2-phase calc'!C18</f>
        <v>2.4169999999999998</v>
      </c>
      <c r="P6" s="50" t="str">
        <f>'2-phase calc'!E18</f>
        <v>kg/m3</v>
      </c>
    </row>
    <row r="7" spans="2:16" x14ac:dyDescent="0.25">
      <c r="B7" s="53">
        <v>2</v>
      </c>
      <c r="C7" s="85" cm="1">
        <f t="array" ref="C7">Cd(E6)</f>
        <v>2.1350776495784229</v>
      </c>
      <c r="D7" s="81" cm="1">
        <f t="array" ref="D7">u_og($O$4,$O$6,$O$7,C7)</f>
        <v>0.44826607661297302</v>
      </c>
      <c r="E7" s="85" cm="1">
        <f t="array" ref="E7">N_re_og($O$6,D7,$O$4,$O$8)</f>
        <v>16.850063875171941</v>
      </c>
      <c r="F7" s="67">
        <f>C7/C6-1</f>
        <v>0.55838250817656854</v>
      </c>
      <c r="H7" s="86">
        <v>2</v>
      </c>
      <c r="I7" s="85" cm="1">
        <f t="array" ref="I7">Cd(K6)</f>
        <v>6.2297202230840352</v>
      </c>
      <c r="J7" s="81" cm="1">
        <f t="array" ref="J7">u_go($O$5,$O$6,$O$7,I7)</f>
        <v>2.2875920762969185E-2</v>
      </c>
      <c r="K7" s="85" cm="1">
        <f t="array" ref="K7">N_re_go($O$7,J7,$O$5,$O$9)</f>
        <v>3.4715519447925756</v>
      </c>
      <c r="L7" s="88">
        <f t="shared" ref="L7:L26" si="0">I7/I6-1</f>
        <v>1.2791833105861521</v>
      </c>
      <c r="N7" s="48" t="s">
        <v>179</v>
      </c>
      <c r="O7" s="89">
        <f>'2-phase calc'!D18</f>
        <v>795.2</v>
      </c>
      <c r="P7" s="50" t="str">
        <f>'2-phase calc'!E18</f>
        <v>kg/m3</v>
      </c>
    </row>
    <row r="8" spans="2:16" x14ac:dyDescent="0.25">
      <c r="B8" s="53">
        <v>3</v>
      </c>
      <c r="C8" s="85" cm="1">
        <f t="array" ref="C8">Cd(E7)</f>
        <v>2.4951638653288377</v>
      </c>
      <c r="D8" s="81" cm="1">
        <f t="array" ref="D8">u_og($O$4,$O$6,$O$7,C8)</f>
        <v>0.41466098500500898</v>
      </c>
      <c r="E8" s="85" cm="1">
        <f t="array" ref="E8">N_re_og($O$6,D8,$O$4,$O$8)</f>
        <v>15.586867818928566</v>
      </c>
      <c r="F8" s="67">
        <f>C8/C7-1</f>
        <v>0.16865251520080071</v>
      </c>
      <c r="H8" s="86">
        <v>3</v>
      </c>
      <c r="I8" s="85" cm="1">
        <f t="array" ref="I8">Cd(K7)</f>
        <v>8.8634589098314382</v>
      </c>
      <c r="J8" s="81" cm="1">
        <f t="array" ref="J8">u_go($O$5,$O$6,$O$7,I8)</f>
        <v>1.91783498704103E-2</v>
      </c>
      <c r="K8" s="85" cm="1">
        <f t="array" ref="K8">N_re_go($O$7,J8,$O$5,$O$9)</f>
        <v>2.9104243925477618</v>
      </c>
      <c r="L8" s="88">
        <f t="shared" si="0"/>
        <v>0.42276997881673184</v>
      </c>
      <c r="N8" s="48" t="s">
        <v>240</v>
      </c>
      <c r="O8" s="89">
        <f>'2-phase calc'!C19</f>
        <v>6.4299999999999994E-6</v>
      </c>
      <c r="P8" s="50" t="str">
        <f>'2-phase calc'!E19</f>
        <v>Pa s</v>
      </c>
    </row>
    <row r="9" spans="2:16" x14ac:dyDescent="0.25">
      <c r="B9" s="53">
        <v>4</v>
      </c>
      <c r="C9" s="85" cm="1">
        <f t="array" ref="C9">Cd(E8)</f>
        <v>2.6396321427414668</v>
      </c>
      <c r="D9" s="81" cm="1">
        <f t="array" ref="D9">u_og($O$4,$O$6,$O$7,C9)</f>
        <v>0.40315403157133017</v>
      </c>
      <c r="E9" s="85" cm="1">
        <f t="array" ref="E9">N_re_og($O$6,D9,$O$4,$O$8)</f>
        <v>15.154328060776127</v>
      </c>
      <c r="F9" s="67">
        <f t="shared" ref="F9:F21" si="1">C9/C8-1</f>
        <v>5.7899314518002454E-2</v>
      </c>
      <c r="H9" s="86">
        <v>4</v>
      </c>
      <c r="I9" s="85" cm="1">
        <f t="array" ref="I9">Cd(K8)</f>
        <v>10.344722977411276</v>
      </c>
      <c r="J9" s="81" cm="1">
        <f t="array" ref="J9">u_go($O$5,$O$6,$O$7,I9)</f>
        <v>1.7752250701304224E-2</v>
      </c>
      <c r="K9" s="85" cm="1">
        <f t="array" ref="K9">N_re_go($O$7,J9,$O$5,$O$9)</f>
        <v>2.6940056789460147</v>
      </c>
      <c r="L9" s="88">
        <f t="shared" si="0"/>
        <v>0.16712031754745382</v>
      </c>
      <c r="N9" s="48" t="s">
        <v>180</v>
      </c>
      <c r="O9" s="89">
        <f>'2-phase calc'!D19</f>
        <v>1.3100000000000002E-3</v>
      </c>
      <c r="P9" s="50" t="str">
        <f>'2-phase calc'!E19</f>
        <v>Pa s</v>
      </c>
    </row>
    <row r="10" spans="2:16" x14ac:dyDescent="0.25">
      <c r="B10" s="53">
        <v>5</v>
      </c>
      <c r="C10" s="85" cm="1">
        <f t="array" ref="C10">Cd(E9)</f>
        <v>2.69434840418125</v>
      </c>
      <c r="D10" s="81" cm="1">
        <f t="array" ref="D10">u_og($O$4,$O$6,$O$7,C10)</f>
        <v>0.39903945122230339</v>
      </c>
      <c r="E10" s="85" cm="1">
        <f t="array" ref="E10">N_re_og($O$6,D10,$O$4,$O$8)</f>
        <v>14.999663353099645</v>
      </c>
      <c r="F10" s="67">
        <f t="shared" ref="F10:F20" si="2">C10/C9-1</f>
        <v>2.0728744946618249E-2</v>
      </c>
      <c r="H10" s="86">
        <v>5</v>
      </c>
      <c r="I10" s="85" cm="1">
        <f t="array" ref="I10">Cd(K9)</f>
        <v>11.076439110592542</v>
      </c>
      <c r="J10" s="81" cm="1">
        <f t="array" ref="J10">u_go($O$5,$O$6,$O$7,I10)</f>
        <v>1.7155871032686888E-2</v>
      </c>
      <c r="K10" s="85" cm="1">
        <f t="array" ref="K10">N_re_go($O$7,J10,$O$5,$O$9)</f>
        <v>2.6035016498459185</v>
      </c>
      <c r="L10" s="88">
        <f t="shared" si="0"/>
        <v>7.0733274808715496E-2</v>
      </c>
    </row>
    <row r="11" spans="2:16" x14ac:dyDescent="0.25">
      <c r="B11" s="53">
        <v>6</v>
      </c>
      <c r="C11" s="85" cm="1">
        <f t="array" ref="C11">Cd(E10)</f>
        <v>2.7146412713820194</v>
      </c>
      <c r="D11" s="81" cm="1">
        <f t="array" ref="D11">u_og($O$4,$O$6,$O$7,C11)</f>
        <v>0.39754517559067598</v>
      </c>
      <c r="E11" s="85" cm="1">
        <f t="array" ref="E11">N_re_og($O$6,D11,$O$4,$O$8)</f>
        <v>14.943494391954335</v>
      </c>
      <c r="F11" s="67">
        <f t="shared" si="2"/>
        <v>7.5316418505038119E-3</v>
      </c>
      <c r="H11" s="86">
        <v>6</v>
      </c>
      <c r="I11" s="85" cm="1">
        <f t="array" ref="I11">Cd(K10)</f>
        <v>11.417623477296656</v>
      </c>
      <c r="J11" s="81" cm="1">
        <f t="array" ref="J11">u_go($O$5,$O$6,$O$7,I11)</f>
        <v>1.6897598881117054E-2</v>
      </c>
      <c r="K11" s="85" cm="1">
        <f t="array" ref="K11">N_re_go($O$7,J11,$O$5,$O$9)</f>
        <v>2.56430737218784</v>
      </c>
      <c r="L11" s="88">
        <f t="shared" si="0"/>
        <v>3.0802712252337106E-2</v>
      </c>
      <c r="O11" s="142"/>
    </row>
    <row r="12" spans="2:16" x14ac:dyDescent="0.25">
      <c r="B12" s="53">
        <v>7</v>
      </c>
      <c r="C12" s="85" cm="1">
        <f t="array" ref="C12">Cd(E11)</f>
        <v>2.7221098284085561</v>
      </c>
      <c r="D12" s="81" cm="1">
        <f t="array" ref="D12">u_og($O$4,$O$6,$O$7,C12)</f>
        <v>0.39699943564141627</v>
      </c>
      <c r="E12" s="85" cm="1">
        <f t="array" ref="E12">N_re_og($O$6,D12,$O$4,$O$8)</f>
        <v>14.922980341295537</v>
      </c>
      <c r="F12" s="67">
        <f t="shared" si="2"/>
        <v>2.7512132469476036E-3</v>
      </c>
      <c r="H12" s="86">
        <v>7</v>
      </c>
      <c r="I12" s="85" cm="1">
        <f t="array" ref="I12">Cd(K11)</f>
        <v>11.572677009253677</v>
      </c>
      <c r="J12" s="81" cm="1">
        <f t="array" ref="J12">u_go($O$5,$O$6,$O$7,I12)</f>
        <v>1.6784018089418946E-2</v>
      </c>
      <c r="K12" s="85" cm="1">
        <f t="array" ref="K12">N_re_go($O$7,J12,$O$5,$O$9)</f>
        <v>2.5470708367759434</v>
      </c>
      <c r="L12" s="88">
        <f t="shared" si="0"/>
        <v>1.3580193134353769E-2</v>
      </c>
    </row>
    <row r="13" spans="2:16" x14ac:dyDescent="0.25">
      <c r="B13" s="53">
        <v>8</v>
      </c>
      <c r="C13" s="85" cm="1">
        <f t="array" ref="C13">Cd(E12)</f>
        <v>2.7248508306944661</v>
      </c>
      <c r="D13" s="81" cm="1">
        <f t="array" ref="D13">u_og($O$4,$O$6,$O$7,C13)</f>
        <v>0.39679970908341816</v>
      </c>
      <c r="E13" s="85" cm="1">
        <f t="array" ref="E13">N_re_og($O$6,D13,$O$4,$O$8)</f>
        <v>14.91547273490858</v>
      </c>
      <c r="F13" s="67">
        <f t="shared" si="2"/>
        <v>1.0069403729799919E-3</v>
      </c>
      <c r="H13" s="86">
        <v>8</v>
      </c>
      <c r="I13" s="85" cm="1">
        <f t="array" ref="I13">Cd(K12)</f>
        <v>11.642341164132679</v>
      </c>
      <c r="J13" s="81" cm="1">
        <f t="array" ref="J13">u_go($O$5,$O$6,$O$7,I13)</f>
        <v>1.6733727569206099E-2</v>
      </c>
      <c r="K13" s="85" cm="1">
        <f t="array" ref="K13">N_re_go($O$7,J13,$O$5,$O$9)</f>
        <v>2.5394389624108187</v>
      </c>
      <c r="L13" s="88">
        <f t="shared" si="0"/>
        <v>6.0197095990233151E-3</v>
      </c>
    </row>
    <row r="14" spans="2:16" x14ac:dyDescent="0.25">
      <c r="B14" s="53">
        <v>9</v>
      </c>
      <c r="C14" s="85" cm="1">
        <f t="array" ref="C14">Cd(E13)</f>
        <v>2.7258557587696295</v>
      </c>
      <c r="D14" s="81" cm="1">
        <f t="array" ref="D14">u_og($O$4,$O$6,$O$7,C14)</f>
        <v>0.39672655922485484</v>
      </c>
      <c r="E14" s="85" cm="1">
        <f t="array" ref="E14">N_re_og($O$6,D14,$O$4,$O$8)</f>
        <v>14.912723073817638</v>
      </c>
      <c r="F14" s="67">
        <f>C14/C13-1</f>
        <v>3.6880113356785316E-4</v>
      </c>
      <c r="H14" s="86">
        <v>9</v>
      </c>
      <c r="I14" s="85" cm="1">
        <f t="array" ref="I14">Cd(K13)</f>
        <v>11.673481762140787</v>
      </c>
      <c r="J14" s="81" cm="1">
        <f t="array" ref="J14">u_go($O$5,$O$6,$O$7,I14)</f>
        <v>1.6711392918608486E-2</v>
      </c>
      <c r="K14" s="85" cm="1">
        <f t="array" ref="K14">N_re_go($O$7,J14,$O$5,$O$9)</f>
        <v>2.5360495513124941</v>
      </c>
      <c r="L14" s="88">
        <f t="shared" si="0"/>
        <v>2.6747711279966335E-3</v>
      </c>
    </row>
    <row r="15" spans="2:16" x14ac:dyDescent="0.25">
      <c r="B15" s="53">
        <v>10</v>
      </c>
      <c r="C15" s="85" cm="1">
        <f t="array" ref="C15">Cd(E14)</f>
        <v>2.7262240545562935</v>
      </c>
      <c r="D15" s="81" cm="1">
        <f t="array" ref="D15">u_og($O$4,$O$6,$O$7,C15)</f>
        <v>0.39669976068365687</v>
      </c>
      <c r="E15" s="85" cm="1">
        <f t="array" ref="E15">N_re_og($O$6,D15,$O$4,$O$8)</f>
        <v>14.911715732074628</v>
      </c>
      <c r="F15" s="67">
        <f t="shared" si="2"/>
        <v>1.3511198656757095E-4</v>
      </c>
      <c r="H15" s="86">
        <v>10</v>
      </c>
      <c r="I15" s="85" cm="1">
        <f t="array" ref="I15">Cd(K14)</f>
        <v>11.687370431112717</v>
      </c>
      <c r="J15" s="81" cm="1">
        <f t="array" ref="J15">u_go($O$5,$O$6,$O$7,I15)</f>
        <v>1.6701460487686538E-2</v>
      </c>
      <c r="K15" s="85" cm="1">
        <f t="array" ref="K15">N_re_go($O$7,J15,$O$5,$O$9)</f>
        <v>2.5345422480550255</v>
      </c>
      <c r="L15" s="88">
        <f t="shared" si="0"/>
        <v>1.1897623395424883E-3</v>
      </c>
    </row>
    <row r="16" spans="2:16" x14ac:dyDescent="0.25">
      <c r="B16" s="53">
        <v>11</v>
      </c>
      <c r="C16" s="85" cm="1">
        <f t="array" ref="C16">Cd(E15)</f>
        <v>2.7263590125153541</v>
      </c>
      <c r="D16" s="81" cm="1">
        <f t="array" ref="D16">u_og($O$4,$O$6,$O$7,C16)</f>
        <v>0.39668994201113827</v>
      </c>
      <c r="E16" s="85" cm="1">
        <f t="array" ref="E16">N_re_og($O$6,D16,$O$4,$O$8)</f>
        <v>14.911346653824591</v>
      </c>
      <c r="F16" s="67">
        <f t="shared" si="2"/>
        <v>4.9503619790502995E-5</v>
      </c>
      <c r="H16" s="86">
        <v>11</v>
      </c>
      <c r="I16" s="85" cm="1">
        <f t="array" ref="I16">Cd(K15)</f>
        <v>11.693558516412912</v>
      </c>
      <c r="J16" s="81" cm="1">
        <f t="array" ref="J16">u_go($O$5,$O$6,$O$7,I16)</f>
        <v>1.6697040800621201E-2</v>
      </c>
      <c r="K16" s="85" cm="1">
        <f t="array" ref="K16">N_re_go($O$7,J16,$O$5,$O$9)</f>
        <v>2.5338715352393089</v>
      </c>
      <c r="L16" s="88">
        <f t="shared" si="0"/>
        <v>5.2946771360318223E-4</v>
      </c>
    </row>
    <row r="17" spans="2:12" x14ac:dyDescent="0.25">
      <c r="B17" s="53">
        <v>12</v>
      </c>
      <c r="C17" s="85" cm="1">
        <f t="array" ref="C17">Cd(E16)</f>
        <v>2.7264084638778368</v>
      </c>
      <c r="D17" s="81" cm="1">
        <f t="array" ref="D17">u_og($O$4,$O$6,$O$7,C17)</f>
        <v>0.39668634443078143</v>
      </c>
      <c r="E17" s="85" cm="1">
        <f t="array" ref="E17">N_re_og($O$6,D17,$O$4,$O$8)</f>
        <v>14.911211422849123</v>
      </c>
      <c r="F17" s="67">
        <f t="shared" si="2"/>
        <v>1.8138243076393223E-5</v>
      </c>
      <c r="H17" s="86">
        <v>12</v>
      </c>
      <c r="I17" s="85" cm="1">
        <f t="array" ref="I17">Cd(K16)</f>
        <v>11.696314375191042</v>
      </c>
      <c r="J17" s="81" cm="1">
        <f t="array" ref="J17">u_go($O$5,$O$6,$O$7,I17)</f>
        <v>1.6695073625502137E-2</v>
      </c>
      <c r="K17" s="85" cm="1">
        <f t="array" ref="K17">N_re_go($O$7,J17,$O$5,$O$9)</f>
        <v>2.533573005152538</v>
      </c>
      <c r="L17" s="88">
        <f t="shared" si="0"/>
        <v>2.3567323618922664E-4</v>
      </c>
    </row>
    <row r="18" spans="2:12" x14ac:dyDescent="0.25">
      <c r="B18" s="53">
        <v>13</v>
      </c>
      <c r="C18" s="85" cm="1">
        <f t="array" ref="C18">Cd(E17)</f>
        <v>2.7264265835344808</v>
      </c>
      <c r="D18" s="81" cm="1">
        <f t="array" ref="D18">u_og($O$4,$O$6,$O$7,C18)</f>
        <v>0.3966850262525583</v>
      </c>
      <c r="E18" s="85" cm="1">
        <f t="array" ref="E18">N_re_og($O$6,D18,$O$4,$O$8)</f>
        <v>14.911161873288233</v>
      </c>
      <c r="F18" s="67">
        <f t="shared" si="2"/>
        <v>6.6459801912888139E-6</v>
      </c>
      <c r="H18" s="86">
        <v>13</v>
      </c>
      <c r="I18" s="85" cm="1">
        <f t="array" ref="I18">Cd(K17)</f>
        <v>11.697541449363822</v>
      </c>
      <c r="J18" s="81" cm="1">
        <f t="array" ref="J18">u_go($O$5,$O$6,$O$7,I18)</f>
        <v>1.6694197944444534E-2</v>
      </c>
      <c r="K18" s="85" cm="1">
        <f t="array" ref="K18">N_re_go($O$7,J18,$O$5,$O$9)</f>
        <v>2.5334401155386055</v>
      </c>
      <c r="L18" s="88">
        <f t="shared" si="0"/>
        <v>1.0491118256727994E-4</v>
      </c>
    </row>
    <row r="19" spans="2:12" x14ac:dyDescent="0.25">
      <c r="B19" s="53">
        <v>14</v>
      </c>
      <c r="C19" s="85" cm="1">
        <f t="array" ref="C19">Cd(E18)</f>
        <v>2.7264332227797583</v>
      </c>
      <c r="D19" s="81" cm="1">
        <f t="array" ref="D19">u_og($O$4,$O$6,$O$7,C19)</f>
        <v>0.3966845432605729</v>
      </c>
      <c r="E19" s="85" cm="1">
        <f t="array" ref="E19">N_re_og($O$6,D19,$O$4,$O$8)</f>
        <v>14.911143717897428</v>
      </c>
      <c r="F19" s="67">
        <f t="shared" si="2"/>
        <v>2.4351454455118215E-6</v>
      </c>
      <c r="H19" s="86">
        <v>14</v>
      </c>
      <c r="I19" s="85" cm="1">
        <f t="array" ref="I19">Cd(K18)</f>
        <v>11.6980877680116</v>
      </c>
      <c r="J19" s="81" cm="1">
        <f t="array" ref="J19">u_go($O$5,$O$6,$O$7,I19)</f>
        <v>1.6693808117563692E-2</v>
      </c>
      <c r="K19" s="85" cm="1">
        <f t="array" ref="K19">N_re_go($O$7,J19,$O$5,$O$9)</f>
        <v>2.5333809570776045</v>
      </c>
      <c r="L19" s="88">
        <f t="shared" si="0"/>
        <v>4.67037154896488E-5</v>
      </c>
    </row>
    <row r="20" spans="2:12" x14ac:dyDescent="0.25">
      <c r="B20" s="53">
        <v>15</v>
      </c>
      <c r="C20" s="85" cm="1">
        <f t="array" ref="C20">Cd(E19)</f>
        <v>2.7264356554675802</v>
      </c>
      <c r="D20" s="81" cm="1">
        <f t="array" ref="D20">u_og($O$4,$O$6,$O$7,C20)</f>
        <v>0.39668436628777864</v>
      </c>
      <c r="E20" s="85" cm="1">
        <f t="array" ref="E20">N_re_og($O$6,D20,$O$4,$O$8)</f>
        <v>14.911137065591927</v>
      </c>
      <c r="F20" s="67">
        <f t="shared" si="2"/>
        <v>8.9226018862298417E-7</v>
      </c>
      <c r="H20" s="86">
        <v>15</v>
      </c>
      <c r="I20" s="85" cm="1">
        <f t="array" ref="I20">Cd(K19)</f>
        <v>11.698330990668936</v>
      </c>
      <c r="J20" s="81" cm="1">
        <f t="array" ref="J20">u_go($O$5,$O$6,$O$7,I20)</f>
        <v>1.6693634574283051E-2</v>
      </c>
      <c r="K20" s="85" cm="1">
        <f t="array" ref="K20">N_re_go($O$7,J20,$O$5,$O$9)</f>
        <v>2.5333546208911986</v>
      </c>
      <c r="L20" s="88">
        <f t="shared" si="0"/>
        <v>2.0791659470997814E-5</v>
      </c>
    </row>
    <row r="21" spans="2:12" x14ac:dyDescent="0.25">
      <c r="B21" s="53">
        <v>16</v>
      </c>
      <c r="C21" s="85" cm="1">
        <f t="array" ref="C21">Cd(E20)</f>
        <v>2.7264365468286296</v>
      </c>
      <c r="D21" s="81" cm="1">
        <f t="array" ref="D21">u_og($O$4,$O$6,$O$7,C21)</f>
        <v>0.39668430144324329</v>
      </c>
      <c r="E21" s="85" cm="1">
        <f t="array" ref="E21">N_re_og($O$6,D21,$O$4,$O$8)</f>
        <v>14.911134628123158</v>
      </c>
      <c r="F21" s="67">
        <f t="shared" si="1"/>
        <v>3.2693272911110682E-7</v>
      </c>
      <c r="H21" s="86">
        <v>16</v>
      </c>
      <c r="I21" s="85" cm="1">
        <f t="array" ref="I21">Cd(K20)</f>
        <v>11.698439272196477</v>
      </c>
      <c r="J21" s="81" cm="1">
        <f t="array" ref="J21">u_go($O$5,$O$6,$O$7,I21)</f>
        <v>1.6693557315411472E-2</v>
      </c>
      <c r="K21" s="85" cm="1">
        <f t="array" ref="K21">N_re_go($O$7,J21,$O$5,$O$9)</f>
        <v>2.5333428964151148</v>
      </c>
      <c r="L21" s="88">
        <f t="shared" si="0"/>
        <v>9.2561518072464821E-6</v>
      </c>
    </row>
    <row r="22" spans="2:12" x14ac:dyDescent="0.25">
      <c r="B22" s="53">
        <v>17</v>
      </c>
      <c r="C22" s="85" cm="1">
        <f t="array" ref="C22">Cd(E21)</f>
        <v>2.7264368734320872</v>
      </c>
      <c r="D22" s="81" cm="1">
        <f t="array" ref="D22">u_og($O$4,$O$6,$O$7,C22)</f>
        <v>0.39668427768357561</v>
      </c>
      <c r="E22" s="85" cm="1">
        <f t="array" ref="E22">N_re_og($O$6,D22,$O$4,$O$8)</f>
        <v>14.911133735010919</v>
      </c>
      <c r="F22" s="67">
        <f>C22/C21-1</f>
        <v>1.197913290784669E-7</v>
      </c>
      <c r="H22" s="86">
        <v>17</v>
      </c>
      <c r="I22" s="85" cm="1">
        <f t="array" ref="I22">Cd(K21)</f>
        <v>11.698487478220024</v>
      </c>
      <c r="J22" s="81" cm="1">
        <f t="array" ref="J22">u_go($O$5,$O$6,$O$7,I22)</f>
        <v>1.6693522920757993E-2</v>
      </c>
      <c r="K22" s="85" cm="1">
        <f t="array" ref="K22">N_re_go($O$7,J22,$O$5,$O$9)</f>
        <v>2.5333376768295337</v>
      </c>
      <c r="L22" s="88">
        <f t="shared" si="0"/>
        <v>4.1207226386674733E-6</v>
      </c>
    </row>
    <row r="23" spans="2:12" x14ac:dyDescent="0.25">
      <c r="B23" s="53">
        <v>18</v>
      </c>
      <c r="C23" s="85" cm="1">
        <f t="array" ref="C23">Cd(E22)</f>
        <v>2.726436993102793</v>
      </c>
      <c r="D23" s="81" cm="1">
        <f t="array" ref="D23">u_og($O$4,$O$6,$O$7,C23)</f>
        <v>0.39668426897780174</v>
      </c>
      <c r="E23" s="85" cm="1">
        <f t="array" ref="E23">N_re_og($O$6,D23,$O$4,$O$8)</f>
        <v>14.91113340776589</v>
      </c>
      <c r="F23" s="67">
        <f>C23/C22-1</f>
        <v>4.3892711021342734E-8</v>
      </c>
      <c r="H23" s="86">
        <v>18</v>
      </c>
      <c r="I23" s="85" cm="1">
        <f t="array" ref="I23">Cd(K22)</f>
        <v>11.698508939060446</v>
      </c>
      <c r="J23" s="81" cm="1">
        <f t="array" ref="J23">u_go($O$5,$O$6,$O$7,I23)</f>
        <v>1.6693507608670034E-2</v>
      </c>
      <c r="K23" s="85" cm="1">
        <f t="array" ref="K23">N_re_go($O$7,J23,$O$5,$O$9)</f>
        <v>2.5333353531325211</v>
      </c>
      <c r="L23" s="88">
        <f t="shared" si="0"/>
        <v>1.8344970205141919E-6</v>
      </c>
    </row>
    <row r="24" spans="2:12" x14ac:dyDescent="0.25">
      <c r="B24" s="53">
        <v>19</v>
      </c>
      <c r="C24" s="85" cm="1">
        <f t="array" ref="C24">Cd(E23)</f>
        <v>2.7264370369513093</v>
      </c>
      <c r="D24" s="81" cm="1">
        <f t="array" ref="D24">u_og($O$4,$O$6,$O$7,C24)</f>
        <v>0.39668426578792121</v>
      </c>
      <c r="E24" s="85" cm="1">
        <f t="array" ref="E24">N_re_og($O$6,D24,$O$4,$O$8)</f>
        <v>14.911133287860116</v>
      </c>
      <c r="F24" s="67">
        <f>C24/C23-1</f>
        <v>1.6082717602117214E-8</v>
      </c>
      <c r="H24" s="86">
        <v>19</v>
      </c>
      <c r="I24" s="85" cm="1">
        <f t="array" ref="I24">Cd(K23)</f>
        <v>11.698518493197481</v>
      </c>
      <c r="J24" s="81" cm="1">
        <f t="array" ref="J24">u_go($O$5,$O$6,$O$7,I24)</f>
        <v>1.6693500791905503E-2</v>
      </c>
      <c r="K24" s="85" cm="1">
        <f t="array" ref="K24">N_re_go($O$7,J24,$O$5,$O$9)</f>
        <v>2.5333343186494761</v>
      </c>
      <c r="L24" s="88">
        <f t="shared" si="0"/>
        <v>8.1669698981379213E-7</v>
      </c>
    </row>
    <row r="25" spans="2:12" x14ac:dyDescent="0.25">
      <c r="B25" s="83">
        <v>20</v>
      </c>
      <c r="C25" s="85" cm="1">
        <f t="array" ref="C25">Cd(E24)</f>
        <v>2.7264370530178343</v>
      </c>
      <c r="D25" s="81" cm="1">
        <f t="array" ref="D25">u_og($O$4,$O$6,$O$7,C25)</f>
        <v>0.39668426461911782</v>
      </c>
      <c r="E25" s="85" cm="1">
        <f t="array" ref="E25">N_re_og($O$6,D25,$O$4,$O$8)</f>
        <v>14.911133243925468</v>
      </c>
      <c r="F25" s="67">
        <f>C25/C24-1</f>
        <v>5.8928648627443181E-9</v>
      </c>
      <c r="H25" s="86">
        <v>20</v>
      </c>
      <c r="I25" s="85" cm="1">
        <f t="array" ref="I25">Cd(K24)</f>
        <v>11.698522746594341</v>
      </c>
      <c r="J25" s="81" cm="1">
        <f t="array" ref="J25">u_go($O$5,$O$6,$O$7,I25)</f>
        <v>1.66934977571595E-2</v>
      </c>
      <c r="K25" s="85" cm="1">
        <f t="array" ref="K25">N_re_go($O$7,J25,$O$5,$O$9)</f>
        <v>2.5333338581093958</v>
      </c>
      <c r="L25" s="88">
        <f t="shared" si="0"/>
        <v>3.6358423183280308E-7</v>
      </c>
    </row>
    <row r="26" spans="2:12" x14ac:dyDescent="0.25">
      <c r="B26" s="83">
        <v>21</v>
      </c>
      <c r="C26" s="85" cm="1">
        <f t="array" ref="C26">Cd(E25)</f>
        <v>2.7264370589047662</v>
      </c>
      <c r="D26" s="81" cm="1">
        <f t="array" ref="D26">u_og($O$4,$O$6,$O$7,C26)</f>
        <v>0.39668426419085684</v>
      </c>
      <c r="E26" s="85" cm="1">
        <f t="array" ref="E26">N_re_og($O$6,D26,$O$4,$O$8)</f>
        <v>14.911133227827387</v>
      </c>
      <c r="F26" s="67">
        <f>C26/C25-1</f>
        <v>2.1592032606321254E-9</v>
      </c>
      <c r="H26" s="86">
        <v>21</v>
      </c>
      <c r="I26" s="85" cm="1">
        <f t="array" ref="I26">Cd(K25)</f>
        <v>11.698524640159317</v>
      </c>
      <c r="J26" s="81" cm="1">
        <f t="array" ref="J26">u_go($O$5,$O$6,$O$7,I26)</f>
        <v>1.6693496406124865E-2</v>
      </c>
      <c r="K26" s="85" cm="1">
        <f t="array" ref="K26">N_re_go($O$7,J26,$O$5,$O$9)</f>
        <v>2.5333336530821549</v>
      </c>
      <c r="L26" s="88">
        <f t="shared" si="0"/>
        <v>1.6186359741432454E-7</v>
      </c>
    </row>
    <row r="27" spans="2:12" x14ac:dyDescent="0.25">
      <c r="B27" s="83">
        <v>22</v>
      </c>
      <c r="C27" s="85" cm="1">
        <f t="array" ref="C27">Cd(E26)</f>
        <v>2.7264370610617954</v>
      </c>
      <c r="D27" s="81" cm="1">
        <f t="array" ref="D27">u_og($O$4,$O$6,$O$7,C27)</f>
        <v>0.39668426403393781</v>
      </c>
      <c r="E27" s="85" cm="1">
        <f t="array" ref="E27">N_re_og($O$6,D27,$O$4,$O$8)</f>
        <v>14.911133221928891</v>
      </c>
      <c r="F27" s="67">
        <f t="shared" ref="F27:F32" si="3">C27/C26-1</f>
        <v>7.9115314299826878E-10</v>
      </c>
      <c r="H27" s="86">
        <v>22</v>
      </c>
      <c r="I27" s="85" cm="1">
        <f t="array" ref="I27">Cd(K26)</f>
        <v>11.698525483153269</v>
      </c>
      <c r="J27" s="81" cm="1">
        <f t="array" ref="J27">u_go($O$5,$O$6,$O$7,I27)</f>
        <v>1.669349580465946E-2</v>
      </c>
      <c r="K27" s="85" cm="1">
        <f t="array" ref="K27">N_re_go($O$7,J27,$O$5,$O$9)</f>
        <v>2.533333561806336</v>
      </c>
      <c r="L27" s="88">
        <f t="shared" ref="L27:L31" si="4">I27/I26-1</f>
        <v>7.2059851863315316E-8</v>
      </c>
    </row>
    <row r="28" spans="2:12" x14ac:dyDescent="0.25">
      <c r="B28" s="83">
        <v>23</v>
      </c>
      <c r="C28" s="85" cm="1">
        <f t="array" ref="C28">Cd(E27)</f>
        <v>2.7264370618521521</v>
      </c>
      <c r="D28" s="81" cm="1">
        <f t="array" ref="D28">u_og($O$4,$O$6,$O$7,C28)</f>
        <v>0.39668426397644119</v>
      </c>
      <c r="E28" s="85" cm="1">
        <f t="array" ref="E28">N_re_og($O$6,D28,$O$4,$O$8)</f>
        <v>14.911133219767624</v>
      </c>
      <c r="F28" s="67">
        <f t="shared" si="3"/>
        <v>2.8988633715698597E-10</v>
      </c>
      <c r="H28" s="86">
        <v>23</v>
      </c>
      <c r="I28" s="85" cm="1">
        <f t="array" ref="I28">Cd(K27)</f>
        <v>11.698525858444725</v>
      </c>
      <c r="J28" s="81" cm="1">
        <f t="array" ref="J28">u_go($O$5,$O$6,$O$7,I28)</f>
        <v>1.6693495536893824E-2</v>
      </c>
      <c r="K28" s="85" cm="1">
        <f t="array" ref="K28">N_re_go($O$7,J28,$O$5,$O$9)</f>
        <v>2.5333335211713677</v>
      </c>
      <c r="L28" s="88">
        <f t="shared" si="4"/>
        <v>3.2080235801146273E-8</v>
      </c>
    </row>
    <row r="29" spans="2:12" x14ac:dyDescent="0.25">
      <c r="B29" s="83">
        <v>24</v>
      </c>
      <c r="C29" s="85" cm="1">
        <f t="array" ref="C29">Cd(E28)</f>
        <v>2.7264370621417466</v>
      </c>
      <c r="D29" s="81" cm="1">
        <f t="array" ref="D29">u_og($O$4,$O$6,$O$7,C29)</f>
        <v>0.39668426395537382</v>
      </c>
      <c r="E29" s="85" cm="1">
        <f t="array" ref="E29">N_re_og($O$6,D29,$O$4,$O$8)</f>
        <v>14.911133218975714</v>
      </c>
      <c r="F29" s="67">
        <f t="shared" si="3"/>
        <v>1.0621725721193798E-10</v>
      </c>
      <c r="H29" s="86">
        <v>24</v>
      </c>
      <c r="I29" s="85" cm="1">
        <f t="array" ref="I29">Cd(K28)</f>
        <v>11.698526025520271</v>
      </c>
      <c r="J29" s="81" cm="1">
        <f t="array" ref="J29">u_go($O$5,$O$6,$O$7,I29)</f>
        <v>1.6693495417687571E-2</v>
      </c>
      <c r="K29" s="85" cm="1">
        <f t="array" ref="K29">N_re_go($O$7,J29,$O$5,$O$9)</f>
        <v>2.5333335030811366</v>
      </c>
      <c r="L29" s="88">
        <f t="shared" si="4"/>
        <v>1.4281760662981924E-8</v>
      </c>
    </row>
    <row r="30" spans="2:12" x14ac:dyDescent="0.25">
      <c r="B30" s="83">
        <v>25</v>
      </c>
      <c r="C30" s="85" cm="1">
        <f t="array" ref="C30">Cd(E29)</f>
        <v>2.7264370622478569</v>
      </c>
      <c r="D30" s="81" cm="1">
        <f t="array" ref="D30">u_og($O$4,$O$6,$O$7,C30)</f>
        <v>0.39668426394765455</v>
      </c>
      <c r="E30" s="85" cm="1">
        <f t="array" ref="E30">N_re_og($O$6,D30,$O$4,$O$8)</f>
        <v>14.911133218685551</v>
      </c>
      <c r="F30" s="67">
        <f t="shared" si="3"/>
        <v>3.8919090172839788E-11</v>
      </c>
      <c r="H30" s="86">
        <v>25</v>
      </c>
      <c r="I30" s="85" cm="1">
        <f t="array" ref="I30">Cd(K29)</f>
        <v>11.698526099900427</v>
      </c>
      <c r="J30" s="81" cm="1">
        <f t="array" ref="J30">u_go($O$5,$O$6,$O$7,I30)</f>
        <v>1.669349536461829E-2</v>
      </c>
      <c r="K30" s="85" cm="1">
        <f t="array" ref="K30">N_re_go($O$7,J30,$O$5,$O$9)</f>
        <v>2.5333334950275694</v>
      </c>
      <c r="L30" s="88">
        <f t="shared" si="4"/>
        <v>6.3580791742623433E-9</v>
      </c>
    </row>
    <row r="31" spans="2:12" x14ac:dyDescent="0.25">
      <c r="B31" s="83">
        <v>26</v>
      </c>
      <c r="C31" s="85" cm="1">
        <f t="array" ref="C31">Cd(E30)</f>
        <v>2.7264370622867364</v>
      </c>
      <c r="D31" s="81" cm="1">
        <f t="array" ref="D31">u_og($O$4,$O$6,$O$7,C31)</f>
        <v>0.39668426394482614</v>
      </c>
      <c r="E31" s="85" cm="1">
        <f t="array" ref="E31">N_re_og($O$6,D31,$O$4,$O$8)</f>
        <v>14.911133218579234</v>
      </c>
      <c r="F31" s="67">
        <f t="shared" si="3"/>
        <v>1.4260148617495361E-11</v>
      </c>
      <c r="H31" s="86">
        <v>26</v>
      </c>
      <c r="I31" s="85" cm="1">
        <f t="array" ref="I31">Cd(K30)</f>
        <v>11.698526133013637</v>
      </c>
      <c r="J31" s="81" cm="1">
        <f t="array" ref="J31">u_go($O$5,$O$6,$O$7,I31)</f>
        <v>1.6693495340992438E-2</v>
      </c>
      <c r="K31" s="85" cm="1">
        <f t="array" ref="K31">N_re_go($O$7,J31,$O$5,$O$9)</f>
        <v>2.5333334914422112</v>
      </c>
      <c r="L31" s="88">
        <f t="shared" si="4"/>
        <v>2.8305453536603409E-9</v>
      </c>
    </row>
    <row r="32" spans="2:12" x14ac:dyDescent="0.25">
      <c r="B32" s="83">
        <v>27</v>
      </c>
      <c r="C32" s="85" cm="1">
        <f t="array" ref="C32">Cd(E31)</f>
        <v>2.7264370623009819</v>
      </c>
      <c r="D32" s="81" cm="1">
        <f t="array" ref="D32">u_og($O$4,$O$6,$O$7,C32)</f>
        <v>0.39668426394378981</v>
      </c>
      <c r="E32" s="85" cm="1">
        <f t="array" ref="E32">N_re_og($O$6,D32,$O$4,$O$8)</f>
        <v>14.911133218540277</v>
      </c>
      <c r="F32" s="67">
        <f t="shared" si="3"/>
        <v>5.2249315984909117E-12</v>
      </c>
      <c r="H32" s="86">
        <v>27</v>
      </c>
      <c r="I32" s="85" cm="1">
        <f t="array" ref="I32">Cd(K31)</f>
        <v>11.698526147755267</v>
      </c>
      <c r="J32" s="81" cm="1">
        <f t="array" ref="J32">u_go($O$5,$O$6,$O$7,I32)</f>
        <v>1.6693495330474477E-2</v>
      </c>
      <c r="K32" s="85" cm="1">
        <f t="array" ref="K32">N_re_go($O$7,J32,$O$5,$O$9)</f>
        <v>2.5333334898460502</v>
      </c>
      <c r="L32" s="88">
        <f>I32/I31-1</f>
        <v>1.2601271137668846E-9</v>
      </c>
    </row>
    <row r="33" spans="8:12" x14ac:dyDescent="0.25">
      <c r="H33" s="14"/>
      <c r="I33" s="8"/>
      <c r="J33" s="8"/>
      <c r="K33" s="9"/>
      <c r="L33" s="15"/>
    </row>
    <row r="34" spans="8:12" x14ac:dyDescent="0.25">
      <c r="H34" s="14"/>
      <c r="I34" s="8"/>
      <c r="J34" s="8"/>
      <c r="K34" s="9"/>
      <c r="L34" s="15"/>
    </row>
    <row r="35" spans="8:12" x14ac:dyDescent="0.25">
      <c r="H35" s="14"/>
      <c r="I35" s="8"/>
      <c r="J35" s="8"/>
      <c r="K35" s="9"/>
      <c r="L35" s="15"/>
    </row>
    <row r="36" spans="8:12" x14ac:dyDescent="0.25">
      <c r="H36" s="14"/>
      <c r="I36" s="8"/>
      <c r="J36" s="8"/>
      <c r="K36" s="9"/>
      <c r="L36" s="15"/>
    </row>
  </sheetData>
  <mergeCells count="2">
    <mergeCell ref="B3:F3"/>
    <mergeCell ref="H3:L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A1238A24152746A5B25FD38213D8D3" ma:contentTypeVersion="14" ma:contentTypeDescription="Create a new document." ma:contentTypeScope="" ma:versionID="5a2088ca67e6a01afdf8f144658c9fb8">
  <xsd:schema xmlns:xsd="http://www.w3.org/2001/XMLSchema" xmlns:xs="http://www.w3.org/2001/XMLSchema" xmlns:p="http://schemas.microsoft.com/office/2006/metadata/properties" xmlns:ns3="683f2a1a-fbe6-4665-8614-304321537593" xmlns:ns4="c499c737-ef84-4012-ac8d-d21a4b6af435" targetNamespace="http://schemas.microsoft.com/office/2006/metadata/properties" ma:root="true" ma:fieldsID="7d5da00dcbe7698cbb0cbb8bd8cf3b8e" ns3:_="" ns4:_="">
    <xsd:import namespace="683f2a1a-fbe6-4665-8614-304321537593"/>
    <xsd:import namespace="c499c737-ef84-4012-ac8d-d21a4b6af43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3f2a1a-fbe6-4665-8614-3043215375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99c737-ef84-4012-ac8d-d21a4b6af43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E7A51A5-B6FC-44AB-8277-F043509D68AB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purl.org/dc/elements/1.1/"/>
    <ds:schemaRef ds:uri="c499c737-ef84-4012-ac8d-d21a4b6af435"/>
    <ds:schemaRef ds:uri="http://schemas.microsoft.com/office/infopath/2007/PartnerControls"/>
    <ds:schemaRef ds:uri="683f2a1a-fbe6-4665-8614-304321537593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FA07039-732C-4FF1-8105-0DA39BDD021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905558-100D-4D7B-BB2C-E84D99B7B3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83f2a1a-fbe6-4665-8614-304321537593"/>
    <ds:schemaRef ds:uri="c499c737-ef84-4012-ac8d-d21a4b6af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2-phase calc</vt:lpstr>
      <vt:lpstr>Height</vt:lpstr>
      <vt:lpstr>Velo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Elias Bogen</dc:creator>
  <cp:lastModifiedBy>Elias Bogen</cp:lastModifiedBy>
  <dcterms:created xsi:type="dcterms:W3CDTF">2021-09-01T09:48:43Z</dcterms:created>
  <dcterms:modified xsi:type="dcterms:W3CDTF">2021-12-20T22:40:16Z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0x01010027A1238A24152746A5B25FD38213D8D3</vt:lpwstr>
  </property>
</Properties>
</file>